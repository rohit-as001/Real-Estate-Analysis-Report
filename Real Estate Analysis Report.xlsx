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bookViews>
    <workbookView xWindow="240" yWindow="90" windowWidth="20115" windowHeight="9270" activeTab="1"/>
  </bookViews>
  <sheets>
    <sheet name="Real Estate Analysis" sheetId="7" r:id="rId1"/>
    <sheet name="Real Estate Report Key Insight" sheetId="8" r:id="rId2"/>
    <sheet name="Real Estate Report" sheetId="6" r:id="rId3"/>
    <sheet name="Real Estate Data" sheetId="5" r:id="rId4"/>
  </sheets>
  <definedNames>
    <definedName name="_xlnm._FilterDatabase" localSheetId="3" hidden="1">'Real Estate Data'!$A$1:$M$3290</definedName>
    <definedName name="Slicer_Location">#N/A</definedName>
    <definedName name="Slicer_MonthName">#N/A</definedName>
  </definedNames>
  <calcPr calcId="144525"/>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G16" i="7" l="1"/>
  <c r="G17" i="7"/>
  <c r="G18" i="7"/>
  <c r="G19" i="7"/>
  <c r="G15" i="7"/>
  <c r="L15" i="7"/>
  <c r="L16" i="7"/>
  <c r="L17" i="7"/>
  <c r="L18" i="7"/>
  <c r="L19" i="7"/>
  <c r="L13" i="7"/>
  <c r="V20" i="6"/>
  <c r="V19" i="6"/>
  <c r="V18" i="6"/>
  <c r="V17" i="6"/>
  <c r="V16" i="6"/>
  <c r="T20" i="6"/>
  <c r="J19" i="7" s="1"/>
  <c r="U20" i="6"/>
  <c r="K19" i="7" s="1"/>
  <c r="S20" i="6"/>
  <c r="I19" i="7" s="1"/>
  <c r="I15" i="7"/>
  <c r="J15" i="7"/>
  <c r="K15" i="7"/>
  <c r="I16" i="7"/>
  <c r="J16" i="7"/>
  <c r="K16" i="7"/>
  <c r="I17" i="7"/>
  <c r="J17" i="7"/>
  <c r="K17" i="7"/>
  <c r="I18" i="7"/>
  <c r="J18" i="7"/>
  <c r="K18" i="7"/>
  <c r="J13" i="7"/>
  <c r="K13" i="7"/>
  <c r="I13" i="7"/>
  <c r="G13" i="7"/>
  <c r="S15" i="6"/>
  <c r="T15" i="6"/>
  <c r="U15" i="6"/>
  <c r="S16" i="6"/>
  <c r="T16" i="6"/>
  <c r="U16" i="6"/>
  <c r="S17" i="6"/>
  <c r="T17" i="6"/>
  <c r="U17" i="6"/>
  <c r="S18" i="6"/>
  <c r="T18" i="6"/>
  <c r="U18" i="6"/>
  <c r="S19" i="6"/>
  <c r="T19" i="6"/>
  <c r="U19" i="6"/>
  <c r="R16" i="6"/>
  <c r="R17" i="6"/>
  <c r="R18" i="6"/>
  <c r="R19" i="6"/>
  <c r="R15" i="6"/>
  <c r="A32" i="6" l="1"/>
  <c r="A25" i="6"/>
  <c r="A18" i="6"/>
  <c r="A11" i="6"/>
  <c r="I2" i="5" l="1"/>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746" i="5"/>
  <c r="I747" i="5"/>
  <c r="I748" i="5"/>
  <c r="I749" i="5"/>
  <c r="I750" i="5"/>
  <c r="I751" i="5"/>
  <c r="I752" i="5"/>
  <c r="I753" i="5"/>
  <c r="I754" i="5"/>
  <c r="I755" i="5"/>
  <c r="I756" i="5"/>
  <c r="I757" i="5"/>
  <c r="I758" i="5"/>
  <c r="I759" i="5"/>
  <c r="I760" i="5"/>
  <c r="I761" i="5"/>
  <c r="I762" i="5"/>
  <c r="I763" i="5"/>
  <c r="I764" i="5"/>
  <c r="I765" i="5"/>
  <c r="I766" i="5"/>
  <c r="I767" i="5"/>
  <c r="I768" i="5"/>
  <c r="I769" i="5"/>
  <c r="I770" i="5"/>
  <c r="I771" i="5"/>
  <c r="I772" i="5"/>
  <c r="I773" i="5"/>
  <c r="I774" i="5"/>
  <c r="I775" i="5"/>
  <c r="I776" i="5"/>
  <c r="I777" i="5"/>
  <c r="I778" i="5"/>
  <c r="I779" i="5"/>
  <c r="I780" i="5"/>
  <c r="I781" i="5"/>
  <c r="I782" i="5"/>
  <c r="I783" i="5"/>
  <c r="I784" i="5"/>
  <c r="I785" i="5"/>
  <c r="I786" i="5"/>
  <c r="I787" i="5"/>
  <c r="I788" i="5"/>
  <c r="I789" i="5"/>
  <c r="I790" i="5"/>
  <c r="I791" i="5"/>
  <c r="I792" i="5"/>
  <c r="I793" i="5"/>
  <c r="I794" i="5"/>
  <c r="I795" i="5"/>
  <c r="I796" i="5"/>
  <c r="I797" i="5"/>
  <c r="I798" i="5"/>
  <c r="I799" i="5"/>
  <c r="I800" i="5"/>
  <c r="I801" i="5"/>
  <c r="I802" i="5"/>
  <c r="I803" i="5"/>
  <c r="I804" i="5"/>
  <c r="I805" i="5"/>
  <c r="I806" i="5"/>
  <c r="I807" i="5"/>
  <c r="I808" i="5"/>
  <c r="I809" i="5"/>
  <c r="I810" i="5"/>
  <c r="I811" i="5"/>
  <c r="I812" i="5"/>
  <c r="I813" i="5"/>
  <c r="I814" i="5"/>
  <c r="I815" i="5"/>
  <c r="I816" i="5"/>
  <c r="I817" i="5"/>
  <c r="I818" i="5"/>
  <c r="I819" i="5"/>
  <c r="I820" i="5"/>
  <c r="I821" i="5"/>
  <c r="I822" i="5"/>
  <c r="I823" i="5"/>
  <c r="I824" i="5"/>
  <c r="I825" i="5"/>
  <c r="I826" i="5"/>
  <c r="I827" i="5"/>
  <c r="I828" i="5"/>
  <c r="I829" i="5"/>
  <c r="I830" i="5"/>
  <c r="I831" i="5"/>
  <c r="I832" i="5"/>
  <c r="I833" i="5"/>
  <c r="I834" i="5"/>
  <c r="I835" i="5"/>
  <c r="I836" i="5"/>
  <c r="I837" i="5"/>
  <c r="I838" i="5"/>
  <c r="I839" i="5"/>
  <c r="I840" i="5"/>
  <c r="I841" i="5"/>
  <c r="I842" i="5"/>
  <c r="I843" i="5"/>
  <c r="I844" i="5"/>
  <c r="I845" i="5"/>
  <c r="I846" i="5"/>
  <c r="I847" i="5"/>
  <c r="I848" i="5"/>
  <c r="I849" i="5"/>
  <c r="I850" i="5"/>
  <c r="I851" i="5"/>
  <c r="I852" i="5"/>
  <c r="I853" i="5"/>
  <c r="I854" i="5"/>
  <c r="I855" i="5"/>
  <c r="I856" i="5"/>
  <c r="I857" i="5"/>
  <c r="I858" i="5"/>
  <c r="I859" i="5"/>
  <c r="I860" i="5"/>
  <c r="I861" i="5"/>
  <c r="I862" i="5"/>
  <c r="I863" i="5"/>
  <c r="I864" i="5"/>
  <c r="I865" i="5"/>
  <c r="I866" i="5"/>
  <c r="I867" i="5"/>
  <c r="I868" i="5"/>
  <c r="I869" i="5"/>
  <c r="I870" i="5"/>
  <c r="I871" i="5"/>
  <c r="I872" i="5"/>
  <c r="I873" i="5"/>
  <c r="I874" i="5"/>
  <c r="I875" i="5"/>
  <c r="I876" i="5"/>
  <c r="I877" i="5"/>
  <c r="I878" i="5"/>
  <c r="I879" i="5"/>
  <c r="I880" i="5"/>
  <c r="I881" i="5"/>
  <c r="I882" i="5"/>
  <c r="I883" i="5"/>
  <c r="I884" i="5"/>
  <c r="I885" i="5"/>
  <c r="I886" i="5"/>
  <c r="I887" i="5"/>
  <c r="I888" i="5"/>
  <c r="I889" i="5"/>
  <c r="I890" i="5"/>
  <c r="I891" i="5"/>
  <c r="I892" i="5"/>
  <c r="I893" i="5"/>
  <c r="I894" i="5"/>
  <c r="I895" i="5"/>
  <c r="I896" i="5"/>
  <c r="I897" i="5"/>
  <c r="I898" i="5"/>
  <c r="I899" i="5"/>
  <c r="I900" i="5"/>
  <c r="I901" i="5"/>
  <c r="I902" i="5"/>
  <c r="I903" i="5"/>
  <c r="I904" i="5"/>
  <c r="I905" i="5"/>
  <c r="I906" i="5"/>
  <c r="I907" i="5"/>
  <c r="I908" i="5"/>
  <c r="I909" i="5"/>
  <c r="I910" i="5"/>
  <c r="I911" i="5"/>
  <c r="I912" i="5"/>
  <c r="I913" i="5"/>
  <c r="I914" i="5"/>
  <c r="I915" i="5"/>
  <c r="I916" i="5"/>
  <c r="I917" i="5"/>
  <c r="I918" i="5"/>
  <c r="I919" i="5"/>
  <c r="I920" i="5"/>
  <c r="I921" i="5"/>
  <c r="I922" i="5"/>
  <c r="I923" i="5"/>
  <c r="I924" i="5"/>
  <c r="I925" i="5"/>
  <c r="I926" i="5"/>
  <c r="I927" i="5"/>
  <c r="I928" i="5"/>
  <c r="I929" i="5"/>
  <c r="I930" i="5"/>
  <c r="I931" i="5"/>
  <c r="I932" i="5"/>
  <c r="I933" i="5"/>
  <c r="I934" i="5"/>
  <c r="I935" i="5"/>
  <c r="I936" i="5"/>
  <c r="I937" i="5"/>
  <c r="I938" i="5"/>
  <c r="I939" i="5"/>
  <c r="I940" i="5"/>
  <c r="I941" i="5"/>
  <c r="I942" i="5"/>
  <c r="I943" i="5"/>
  <c r="I944" i="5"/>
  <c r="I945" i="5"/>
  <c r="I946" i="5"/>
  <c r="I947" i="5"/>
  <c r="I948" i="5"/>
  <c r="I949" i="5"/>
  <c r="I950" i="5"/>
  <c r="I951" i="5"/>
  <c r="I952" i="5"/>
  <c r="I953" i="5"/>
  <c r="I954" i="5"/>
  <c r="I955" i="5"/>
  <c r="I956" i="5"/>
  <c r="I957" i="5"/>
  <c r="I958" i="5"/>
  <c r="I959" i="5"/>
  <c r="I960" i="5"/>
  <c r="I961" i="5"/>
  <c r="I962" i="5"/>
  <c r="I963" i="5"/>
  <c r="I964" i="5"/>
  <c r="I965" i="5"/>
  <c r="I966" i="5"/>
  <c r="I967" i="5"/>
  <c r="I968" i="5"/>
  <c r="I969" i="5"/>
  <c r="I970" i="5"/>
  <c r="I971" i="5"/>
  <c r="I972" i="5"/>
  <c r="I973" i="5"/>
  <c r="I974" i="5"/>
  <c r="I975" i="5"/>
  <c r="I976" i="5"/>
  <c r="I977" i="5"/>
  <c r="I978" i="5"/>
  <c r="I979" i="5"/>
  <c r="I980" i="5"/>
  <c r="I981" i="5"/>
  <c r="I982" i="5"/>
  <c r="I983" i="5"/>
  <c r="I984" i="5"/>
  <c r="I985" i="5"/>
  <c r="I986" i="5"/>
  <c r="I987" i="5"/>
  <c r="I988" i="5"/>
  <c r="I989" i="5"/>
  <c r="I990" i="5"/>
  <c r="I991" i="5"/>
  <c r="I992" i="5"/>
  <c r="I993" i="5"/>
  <c r="I994" i="5"/>
  <c r="I995" i="5"/>
  <c r="I996" i="5"/>
  <c r="I997" i="5"/>
  <c r="I998" i="5"/>
  <c r="I999" i="5"/>
  <c r="I1000" i="5"/>
  <c r="I1001" i="5"/>
  <c r="I1002" i="5"/>
  <c r="I1003" i="5"/>
  <c r="I1004" i="5"/>
  <c r="I1005" i="5"/>
  <c r="I1006" i="5"/>
  <c r="I1007" i="5"/>
  <c r="I1008" i="5"/>
  <c r="I1009" i="5"/>
  <c r="I1010" i="5"/>
  <c r="I1011" i="5"/>
  <c r="I1012" i="5"/>
  <c r="I1013" i="5"/>
  <c r="I1014" i="5"/>
  <c r="I1015" i="5"/>
  <c r="I1016" i="5"/>
  <c r="I1017" i="5"/>
  <c r="I1018" i="5"/>
  <c r="I1019" i="5"/>
  <c r="I1020" i="5"/>
  <c r="I1021" i="5"/>
  <c r="I1022" i="5"/>
  <c r="I1023" i="5"/>
  <c r="I1024" i="5"/>
  <c r="I1025" i="5"/>
  <c r="I1026" i="5"/>
  <c r="I1027" i="5"/>
  <c r="I1028" i="5"/>
  <c r="I1029" i="5"/>
  <c r="I1030" i="5"/>
  <c r="I1031" i="5"/>
  <c r="I1032" i="5"/>
  <c r="I1033" i="5"/>
  <c r="I1034" i="5"/>
  <c r="I1035" i="5"/>
  <c r="I1036" i="5"/>
  <c r="I1037" i="5"/>
  <c r="I1038" i="5"/>
  <c r="I1039" i="5"/>
  <c r="I1040" i="5"/>
  <c r="I1041" i="5"/>
  <c r="I1042" i="5"/>
  <c r="I1043" i="5"/>
  <c r="I1044" i="5"/>
  <c r="I1045" i="5"/>
  <c r="I1046" i="5"/>
  <c r="I1047" i="5"/>
  <c r="I1048" i="5"/>
  <c r="I1049" i="5"/>
  <c r="I1050" i="5"/>
  <c r="I1051" i="5"/>
  <c r="I1052" i="5"/>
  <c r="I1053" i="5"/>
  <c r="I1054" i="5"/>
  <c r="I1055" i="5"/>
  <c r="I1056" i="5"/>
  <c r="I1057" i="5"/>
  <c r="I1058" i="5"/>
  <c r="I1059" i="5"/>
  <c r="I1060" i="5"/>
  <c r="I1061" i="5"/>
  <c r="I1062" i="5"/>
  <c r="I1063" i="5"/>
  <c r="I1064" i="5"/>
  <c r="I1065" i="5"/>
  <c r="I1066" i="5"/>
  <c r="I1067" i="5"/>
  <c r="I1068" i="5"/>
  <c r="I1069" i="5"/>
  <c r="I1070" i="5"/>
  <c r="I1071" i="5"/>
  <c r="I1072" i="5"/>
  <c r="I1073" i="5"/>
  <c r="I1074" i="5"/>
  <c r="I1075" i="5"/>
  <c r="I1076" i="5"/>
  <c r="I1077" i="5"/>
  <c r="I1078" i="5"/>
  <c r="I1079" i="5"/>
  <c r="I1080" i="5"/>
  <c r="I1081" i="5"/>
  <c r="I1082" i="5"/>
  <c r="I1083" i="5"/>
  <c r="I1084" i="5"/>
  <c r="I1085" i="5"/>
  <c r="I1086" i="5"/>
  <c r="I1087" i="5"/>
  <c r="I1088" i="5"/>
  <c r="I1089" i="5"/>
  <c r="I1090" i="5"/>
  <c r="I1091" i="5"/>
  <c r="I1092" i="5"/>
  <c r="I1093" i="5"/>
  <c r="I1094" i="5"/>
  <c r="I1095" i="5"/>
  <c r="I1096" i="5"/>
  <c r="I1097" i="5"/>
  <c r="I1098" i="5"/>
  <c r="I1099" i="5"/>
  <c r="I1100" i="5"/>
  <c r="I1101" i="5"/>
  <c r="I1102" i="5"/>
  <c r="I1103" i="5"/>
  <c r="I1104" i="5"/>
  <c r="I1105" i="5"/>
  <c r="I1106" i="5"/>
  <c r="I1107" i="5"/>
  <c r="I1108" i="5"/>
  <c r="I1109" i="5"/>
  <c r="I1110" i="5"/>
  <c r="I1111" i="5"/>
  <c r="I1112" i="5"/>
  <c r="I1113" i="5"/>
  <c r="I1114" i="5"/>
  <c r="I1115" i="5"/>
  <c r="I1116" i="5"/>
  <c r="I1117" i="5"/>
  <c r="I1118" i="5"/>
  <c r="I1119" i="5"/>
  <c r="I1120" i="5"/>
  <c r="I1121" i="5"/>
  <c r="I1122" i="5"/>
  <c r="I1123" i="5"/>
  <c r="I1124" i="5"/>
  <c r="I1125" i="5"/>
  <c r="I1126" i="5"/>
  <c r="I1127" i="5"/>
  <c r="I1128" i="5"/>
  <c r="I1129" i="5"/>
  <c r="I1130" i="5"/>
  <c r="I1131" i="5"/>
  <c r="I1132" i="5"/>
  <c r="I1133" i="5"/>
  <c r="I1134" i="5"/>
  <c r="I1135" i="5"/>
  <c r="I1136" i="5"/>
  <c r="I1137" i="5"/>
  <c r="I1138" i="5"/>
  <c r="I1139" i="5"/>
  <c r="I1140" i="5"/>
  <c r="I1141" i="5"/>
  <c r="I1142" i="5"/>
  <c r="I1143" i="5"/>
  <c r="I1144" i="5"/>
  <c r="I1145" i="5"/>
  <c r="I1146" i="5"/>
  <c r="I1147" i="5"/>
  <c r="I1148" i="5"/>
  <c r="I1149" i="5"/>
  <c r="I1150" i="5"/>
  <c r="I1151" i="5"/>
  <c r="I1152" i="5"/>
  <c r="I1153" i="5"/>
  <c r="I1154" i="5"/>
  <c r="I1155" i="5"/>
  <c r="I1156" i="5"/>
  <c r="I1157" i="5"/>
  <c r="I1158" i="5"/>
  <c r="I1159" i="5"/>
  <c r="I1160" i="5"/>
  <c r="I1161" i="5"/>
  <c r="I1162" i="5"/>
  <c r="I1163" i="5"/>
  <c r="I1164" i="5"/>
  <c r="I1165" i="5"/>
  <c r="I1166" i="5"/>
  <c r="I1167" i="5"/>
  <c r="I1168" i="5"/>
  <c r="I1169" i="5"/>
  <c r="I1170" i="5"/>
  <c r="I1171" i="5"/>
  <c r="I1172" i="5"/>
  <c r="I1173" i="5"/>
  <c r="I1174" i="5"/>
  <c r="I1175" i="5"/>
  <c r="I1176" i="5"/>
  <c r="I1177" i="5"/>
  <c r="I1178" i="5"/>
  <c r="I1179" i="5"/>
  <c r="I1180" i="5"/>
  <c r="I1181" i="5"/>
  <c r="I1182" i="5"/>
  <c r="I1183" i="5"/>
  <c r="I1184" i="5"/>
  <c r="I1185" i="5"/>
  <c r="I1186" i="5"/>
  <c r="I1187" i="5"/>
  <c r="I1188" i="5"/>
  <c r="I1189" i="5"/>
  <c r="I1190" i="5"/>
  <c r="I1191" i="5"/>
  <c r="I1192" i="5"/>
  <c r="I1193" i="5"/>
  <c r="I1194" i="5"/>
  <c r="I1195" i="5"/>
  <c r="I1196" i="5"/>
  <c r="I1197" i="5"/>
  <c r="I1198" i="5"/>
  <c r="I1199" i="5"/>
  <c r="I1200" i="5"/>
  <c r="I1201" i="5"/>
  <c r="I1202" i="5"/>
  <c r="I1203" i="5"/>
  <c r="I1204" i="5"/>
  <c r="I1205" i="5"/>
  <c r="I1206" i="5"/>
  <c r="I1207" i="5"/>
  <c r="I1208" i="5"/>
  <c r="I1209" i="5"/>
  <c r="I1210" i="5"/>
  <c r="I1211" i="5"/>
  <c r="I1212" i="5"/>
  <c r="I1213" i="5"/>
  <c r="I1214" i="5"/>
  <c r="I1215" i="5"/>
  <c r="I1216" i="5"/>
  <c r="I1217" i="5"/>
  <c r="I1218" i="5"/>
  <c r="I1219" i="5"/>
  <c r="I1220" i="5"/>
  <c r="I1221" i="5"/>
  <c r="I1222" i="5"/>
  <c r="I1223" i="5"/>
  <c r="I1224" i="5"/>
  <c r="I1225" i="5"/>
  <c r="I1226" i="5"/>
  <c r="I1227" i="5"/>
  <c r="I1228" i="5"/>
  <c r="I1229" i="5"/>
  <c r="I1230" i="5"/>
  <c r="I1231" i="5"/>
  <c r="I1232" i="5"/>
  <c r="I1233" i="5"/>
  <c r="I1234" i="5"/>
  <c r="I1235" i="5"/>
  <c r="I1236" i="5"/>
  <c r="I1237" i="5"/>
  <c r="I1238" i="5"/>
  <c r="I1239" i="5"/>
  <c r="I1240" i="5"/>
  <c r="I1241" i="5"/>
  <c r="I1242" i="5"/>
  <c r="I1243" i="5"/>
  <c r="I1244" i="5"/>
  <c r="I1245" i="5"/>
  <c r="I1246" i="5"/>
  <c r="I1247" i="5"/>
  <c r="I1248" i="5"/>
  <c r="I1249" i="5"/>
  <c r="I1250" i="5"/>
  <c r="I1251" i="5"/>
  <c r="I1252" i="5"/>
  <c r="I1253" i="5"/>
  <c r="I1254" i="5"/>
  <c r="I1255" i="5"/>
  <c r="I1256" i="5"/>
  <c r="I1257" i="5"/>
  <c r="I1258" i="5"/>
  <c r="I1259" i="5"/>
  <c r="I1260" i="5"/>
  <c r="I1261" i="5"/>
  <c r="I1262" i="5"/>
  <c r="I1263" i="5"/>
  <c r="I1264" i="5"/>
  <c r="I1265" i="5"/>
  <c r="I1266" i="5"/>
  <c r="I1267" i="5"/>
  <c r="I1268" i="5"/>
  <c r="I1269" i="5"/>
  <c r="I1270" i="5"/>
  <c r="I1271" i="5"/>
  <c r="I1272" i="5"/>
  <c r="I1273" i="5"/>
  <c r="I1274" i="5"/>
  <c r="I1275" i="5"/>
  <c r="I1276" i="5"/>
  <c r="I1277" i="5"/>
  <c r="I1278" i="5"/>
  <c r="I1279" i="5"/>
  <c r="I1280" i="5"/>
  <c r="I1281" i="5"/>
  <c r="I1282" i="5"/>
  <c r="I1283" i="5"/>
  <c r="I1284" i="5"/>
  <c r="I1285" i="5"/>
  <c r="I1286" i="5"/>
  <c r="I1287" i="5"/>
  <c r="I1288" i="5"/>
  <c r="I1289" i="5"/>
  <c r="I1290" i="5"/>
  <c r="I1291" i="5"/>
  <c r="I1292" i="5"/>
  <c r="I1293" i="5"/>
  <c r="I1294" i="5"/>
  <c r="I1295" i="5"/>
  <c r="I1296" i="5"/>
  <c r="I1297" i="5"/>
  <c r="I1298" i="5"/>
  <c r="I1299" i="5"/>
  <c r="I1300" i="5"/>
  <c r="I1301" i="5"/>
  <c r="I1302" i="5"/>
  <c r="I1303" i="5"/>
  <c r="I1304" i="5"/>
  <c r="I1305" i="5"/>
  <c r="I1306" i="5"/>
  <c r="I1307" i="5"/>
  <c r="I1308" i="5"/>
  <c r="I1309" i="5"/>
  <c r="I1310" i="5"/>
  <c r="I1311" i="5"/>
  <c r="I1312" i="5"/>
  <c r="I1313" i="5"/>
  <c r="I1314" i="5"/>
  <c r="I1315" i="5"/>
  <c r="I1316" i="5"/>
  <c r="I1317" i="5"/>
  <c r="I1318" i="5"/>
  <c r="I1319" i="5"/>
  <c r="I1320" i="5"/>
  <c r="I1321" i="5"/>
  <c r="I1322" i="5"/>
  <c r="I1323" i="5"/>
  <c r="I1324" i="5"/>
  <c r="I1325" i="5"/>
  <c r="I1326" i="5"/>
  <c r="I1327" i="5"/>
  <c r="I1328" i="5"/>
  <c r="I1329" i="5"/>
  <c r="I1330" i="5"/>
  <c r="I1331" i="5"/>
  <c r="I1332" i="5"/>
  <c r="I1333" i="5"/>
  <c r="I1334" i="5"/>
  <c r="I1335" i="5"/>
  <c r="I1336" i="5"/>
  <c r="I1337" i="5"/>
  <c r="I1338" i="5"/>
  <c r="I1339" i="5"/>
  <c r="I1340" i="5"/>
  <c r="I1341" i="5"/>
  <c r="I1342" i="5"/>
  <c r="I1343" i="5"/>
  <c r="I1344" i="5"/>
  <c r="I1345" i="5"/>
  <c r="I1346" i="5"/>
  <c r="I1347" i="5"/>
  <c r="I1348" i="5"/>
  <c r="I1349" i="5"/>
  <c r="I1350" i="5"/>
  <c r="I1351" i="5"/>
  <c r="I1352" i="5"/>
  <c r="I1353" i="5"/>
  <c r="I1354" i="5"/>
  <c r="I1355" i="5"/>
  <c r="I1356" i="5"/>
  <c r="I1357" i="5"/>
  <c r="I1358" i="5"/>
  <c r="I1359" i="5"/>
  <c r="I1360" i="5"/>
  <c r="I1361" i="5"/>
  <c r="I1362" i="5"/>
  <c r="I1363" i="5"/>
  <c r="I1364" i="5"/>
  <c r="I1365" i="5"/>
  <c r="I1366" i="5"/>
  <c r="I1367" i="5"/>
  <c r="I1368" i="5"/>
  <c r="I1369" i="5"/>
  <c r="I1370" i="5"/>
  <c r="I1371" i="5"/>
  <c r="I1372" i="5"/>
  <c r="I1373" i="5"/>
  <c r="I1374" i="5"/>
  <c r="I1375" i="5"/>
  <c r="I1376" i="5"/>
  <c r="I1377" i="5"/>
  <c r="I1378" i="5"/>
  <c r="I1379" i="5"/>
  <c r="I1380" i="5"/>
  <c r="I1381" i="5"/>
  <c r="I1382" i="5"/>
  <c r="I1383" i="5"/>
  <c r="I1384" i="5"/>
  <c r="I1385" i="5"/>
  <c r="I1386" i="5"/>
  <c r="I1387" i="5"/>
  <c r="I1388" i="5"/>
  <c r="I1389" i="5"/>
  <c r="I1390" i="5"/>
  <c r="I1391" i="5"/>
  <c r="I1392" i="5"/>
  <c r="I1393" i="5"/>
  <c r="I1394" i="5"/>
  <c r="I1395" i="5"/>
  <c r="I1396" i="5"/>
  <c r="I1397" i="5"/>
  <c r="I1398" i="5"/>
  <c r="I1399" i="5"/>
  <c r="I1400" i="5"/>
  <c r="I1401" i="5"/>
  <c r="I1402" i="5"/>
  <c r="I1403" i="5"/>
  <c r="I1404" i="5"/>
  <c r="I1405" i="5"/>
  <c r="I1406" i="5"/>
  <c r="I1407" i="5"/>
  <c r="I1408" i="5"/>
  <c r="I1409" i="5"/>
  <c r="I1410" i="5"/>
  <c r="I1411" i="5"/>
  <c r="I1412" i="5"/>
  <c r="I1413" i="5"/>
  <c r="I1414" i="5"/>
  <c r="I1415" i="5"/>
  <c r="I1416" i="5"/>
  <c r="I1417" i="5"/>
  <c r="I1418" i="5"/>
  <c r="I1419" i="5"/>
  <c r="I1420" i="5"/>
  <c r="I1421" i="5"/>
  <c r="I1422" i="5"/>
  <c r="I1423" i="5"/>
  <c r="I1424" i="5"/>
  <c r="I1425" i="5"/>
  <c r="I1426" i="5"/>
  <c r="I1427" i="5"/>
  <c r="I1428" i="5"/>
  <c r="I1429" i="5"/>
  <c r="I1430" i="5"/>
  <c r="I1431" i="5"/>
  <c r="I1432" i="5"/>
  <c r="I1433" i="5"/>
  <c r="I1434" i="5"/>
  <c r="I1435" i="5"/>
  <c r="I1436" i="5"/>
  <c r="I1437" i="5"/>
  <c r="I1438" i="5"/>
  <c r="I1439" i="5"/>
  <c r="I1440" i="5"/>
  <c r="I1441" i="5"/>
  <c r="I1442" i="5"/>
  <c r="I1443" i="5"/>
  <c r="I1444" i="5"/>
  <c r="I1445" i="5"/>
  <c r="I1446" i="5"/>
  <c r="I1447" i="5"/>
  <c r="I1448" i="5"/>
  <c r="I1449" i="5"/>
  <c r="I1450" i="5"/>
  <c r="I1451" i="5"/>
  <c r="I1452" i="5"/>
  <c r="I1453" i="5"/>
  <c r="I1454" i="5"/>
  <c r="I1455" i="5"/>
  <c r="I1456" i="5"/>
  <c r="I1457" i="5"/>
  <c r="I1458" i="5"/>
  <c r="I1459" i="5"/>
  <c r="I1460" i="5"/>
  <c r="I1461" i="5"/>
  <c r="I1462" i="5"/>
  <c r="I1463" i="5"/>
  <c r="I1464" i="5"/>
  <c r="I1465" i="5"/>
  <c r="I1466" i="5"/>
  <c r="I1467" i="5"/>
  <c r="I1468" i="5"/>
  <c r="I1469" i="5"/>
  <c r="I1470" i="5"/>
  <c r="I1471" i="5"/>
  <c r="I1472" i="5"/>
  <c r="I1473" i="5"/>
  <c r="I1474" i="5"/>
  <c r="I1475" i="5"/>
  <c r="I1476" i="5"/>
  <c r="I1477" i="5"/>
  <c r="I1478" i="5"/>
  <c r="I1479" i="5"/>
  <c r="I1480" i="5"/>
  <c r="I1481" i="5"/>
  <c r="I1482" i="5"/>
  <c r="I1483" i="5"/>
  <c r="I1484" i="5"/>
  <c r="I1485" i="5"/>
  <c r="I1486" i="5"/>
  <c r="I1487" i="5"/>
  <c r="I1488" i="5"/>
  <c r="I1489" i="5"/>
  <c r="I1490" i="5"/>
  <c r="I1491" i="5"/>
  <c r="I1492" i="5"/>
  <c r="I1493" i="5"/>
  <c r="I1494" i="5"/>
  <c r="I1495" i="5"/>
  <c r="I1496" i="5"/>
  <c r="I1497" i="5"/>
  <c r="I1498" i="5"/>
  <c r="I1499" i="5"/>
  <c r="I1500" i="5"/>
  <c r="I1501" i="5"/>
  <c r="I1502" i="5"/>
  <c r="I1503" i="5"/>
  <c r="I1504" i="5"/>
  <c r="I1505" i="5"/>
  <c r="I1506" i="5"/>
  <c r="I1507" i="5"/>
  <c r="I1508" i="5"/>
  <c r="I1509" i="5"/>
  <c r="I1510" i="5"/>
  <c r="I1511" i="5"/>
  <c r="I1512" i="5"/>
  <c r="I1513" i="5"/>
  <c r="I1514" i="5"/>
  <c r="I1515" i="5"/>
  <c r="I1516" i="5"/>
  <c r="I1517" i="5"/>
  <c r="I1518" i="5"/>
  <c r="I1519" i="5"/>
  <c r="I1520" i="5"/>
  <c r="I1521" i="5"/>
  <c r="I1522" i="5"/>
  <c r="I1523" i="5"/>
  <c r="I1524" i="5"/>
  <c r="I1525" i="5"/>
  <c r="I1526" i="5"/>
  <c r="I1527" i="5"/>
  <c r="I1528" i="5"/>
  <c r="I1529" i="5"/>
  <c r="I1530" i="5"/>
  <c r="I1531" i="5"/>
  <c r="I1532" i="5"/>
  <c r="I1533" i="5"/>
  <c r="I1534" i="5"/>
  <c r="I1535" i="5"/>
  <c r="I1536" i="5"/>
  <c r="I1537" i="5"/>
  <c r="I1538" i="5"/>
  <c r="I1539" i="5"/>
  <c r="I1540" i="5"/>
  <c r="I1541" i="5"/>
  <c r="I1542" i="5"/>
  <c r="I1543" i="5"/>
  <c r="I1544" i="5"/>
  <c r="I1545" i="5"/>
  <c r="I1546" i="5"/>
  <c r="I1547" i="5"/>
  <c r="I1548" i="5"/>
  <c r="I1549" i="5"/>
  <c r="I1550" i="5"/>
  <c r="I1551" i="5"/>
  <c r="I1552" i="5"/>
  <c r="I1553" i="5"/>
  <c r="I1554" i="5"/>
  <c r="I1555" i="5"/>
  <c r="I1556" i="5"/>
  <c r="I1557" i="5"/>
  <c r="I1558" i="5"/>
  <c r="I1559" i="5"/>
  <c r="I1560" i="5"/>
  <c r="I1561" i="5"/>
  <c r="I1562" i="5"/>
  <c r="I1563" i="5"/>
  <c r="I1564" i="5"/>
  <c r="I1565" i="5"/>
  <c r="I1566" i="5"/>
  <c r="I1567" i="5"/>
  <c r="I1568" i="5"/>
  <c r="I1569" i="5"/>
  <c r="I1570" i="5"/>
  <c r="I1571" i="5"/>
  <c r="I1572" i="5"/>
  <c r="I1573" i="5"/>
  <c r="I1574" i="5"/>
  <c r="I1575" i="5"/>
  <c r="I1576" i="5"/>
  <c r="I1577" i="5"/>
  <c r="I1578" i="5"/>
  <c r="I1579" i="5"/>
  <c r="I1580" i="5"/>
  <c r="I1581" i="5"/>
  <c r="I1582" i="5"/>
  <c r="I1583" i="5"/>
  <c r="I1584" i="5"/>
  <c r="I1585" i="5"/>
  <c r="I1586" i="5"/>
  <c r="I1587" i="5"/>
  <c r="I1588" i="5"/>
  <c r="I1589" i="5"/>
  <c r="I1590" i="5"/>
  <c r="I1591" i="5"/>
  <c r="I1592" i="5"/>
  <c r="I1593" i="5"/>
  <c r="I1594" i="5"/>
  <c r="I1595" i="5"/>
  <c r="I1596" i="5"/>
  <c r="I1597" i="5"/>
  <c r="I1598" i="5"/>
  <c r="I1599" i="5"/>
  <c r="I1600" i="5"/>
  <c r="I1601" i="5"/>
  <c r="I1602" i="5"/>
  <c r="I1603" i="5"/>
  <c r="I1604" i="5"/>
  <c r="I1605" i="5"/>
  <c r="I1606" i="5"/>
  <c r="I1607" i="5"/>
  <c r="I1608" i="5"/>
  <c r="I1609" i="5"/>
  <c r="I1610" i="5"/>
  <c r="I1611" i="5"/>
  <c r="I1612" i="5"/>
  <c r="I1613" i="5"/>
  <c r="I1614" i="5"/>
  <c r="I1615" i="5"/>
  <c r="I1616" i="5"/>
  <c r="I1617" i="5"/>
  <c r="I1618" i="5"/>
  <c r="I1619" i="5"/>
  <c r="I1620" i="5"/>
  <c r="I1621" i="5"/>
  <c r="I1622" i="5"/>
  <c r="I1623" i="5"/>
  <c r="I1624" i="5"/>
  <c r="I1625" i="5"/>
  <c r="I1626" i="5"/>
  <c r="I1627" i="5"/>
  <c r="I1628" i="5"/>
  <c r="I1629" i="5"/>
  <c r="I1630" i="5"/>
  <c r="I1631" i="5"/>
  <c r="I1632" i="5"/>
  <c r="I1633" i="5"/>
  <c r="I1634" i="5"/>
  <c r="I1635" i="5"/>
  <c r="I1636" i="5"/>
  <c r="I1637" i="5"/>
  <c r="I1638" i="5"/>
  <c r="I1639" i="5"/>
  <c r="I1640" i="5"/>
  <c r="I1641" i="5"/>
  <c r="I1642" i="5"/>
  <c r="I1643" i="5"/>
  <c r="I1644" i="5"/>
  <c r="I1645" i="5"/>
  <c r="I1646" i="5"/>
  <c r="I1647" i="5"/>
  <c r="I1648" i="5"/>
  <c r="I1649" i="5"/>
  <c r="I1650" i="5"/>
  <c r="I1651" i="5"/>
  <c r="I1652" i="5"/>
  <c r="I1653" i="5"/>
  <c r="I1654" i="5"/>
  <c r="I1655" i="5"/>
  <c r="I1656" i="5"/>
  <c r="I1657" i="5"/>
  <c r="I1658" i="5"/>
  <c r="I1659" i="5"/>
  <c r="I1660" i="5"/>
  <c r="I1661" i="5"/>
  <c r="I1662" i="5"/>
  <c r="I1663" i="5"/>
  <c r="I1664" i="5"/>
  <c r="I1665" i="5"/>
  <c r="I1666" i="5"/>
  <c r="I1667" i="5"/>
  <c r="I1668" i="5"/>
  <c r="I1669" i="5"/>
  <c r="I1670" i="5"/>
  <c r="I1671" i="5"/>
  <c r="I1672" i="5"/>
  <c r="I1673" i="5"/>
  <c r="I1674" i="5"/>
  <c r="I1675" i="5"/>
  <c r="I1676" i="5"/>
  <c r="I1677" i="5"/>
  <c r="I1678" i="5"/>
  <c r="I1679" i="5"/>
  <c r="I1680" i="5"/>
  <c r="I1681" i="5"/>
  <c r="I1682" i="5"/>
  <c r="I1683" i="5"/>
  <c r="I1684" i="5"/>
  <c r="I1685" i="5"/>
  <c r="I1686" i="5"/>
  <c r="I1687" i="5"/>
  <c r="I1688" i="5"/>
  <c r="I1689" i="5"/>
  <c r="I1690" i="5"/>
  <c r="I1691" i="5"/>
  <c r="I1692" i="5"/>
  <c r="I1693" i="5"/>
  <c r="I1694" i="5"/>
  <c r="I1695" i="5"/>
  <c r="I1696" i="5"/>
  <c r="I1697" i="5"/>
  <c r="I1698" i="5"/>
  <c r="I1699" i="5"/>
  <c r="I1700" i="5"/>
  <c r="I1701" i="5"/>
  <c r="I1702" i="5"/>
  <c r="I1703" i="5"/>
  <c r="I1704" i="5"/>
  <c r="I1705" i="5"/>
  <c r="I1706" i="5"/>
  <c r="I1707" i="5"/>
  <c r="I1708" i="5"/>
  <c r="I1709" i="5"/>
  <c r="I1710" i="5"/>
  <c r="I1711" i="5"/>
  <c r="I1712" i="5"/>
  <c r="I1713" i="5"/>
  <c r="I1714" i="5"/>
  <c r="I1715" i="5"/>
  <c r="I1716" i="5"/>
  <c r="I1717" i="5"/>
  <c r="I1718" i="5"/>
  <c r="I1719" i="5"/>
  <c r="I1720" i="5"/>
  <c r="I1721" i="5"/>
  <c r="I1722" i="5"/>
  <c r="I1723" i="5"/>
  <c r="I1724" i="5"/>
  <c r="I1725" i="5"/>
  <c r="I1726" i="5"/>
  <c r="I1727" i="5"/>
  <c r="I1728" i="5"/>
  <c r="I1729" i="5"/>
  <c r="I1730" i="5"/>
  <c r="I1731" i="5"/>
  <c r="I1732" i="5"/>
  <c r="I1733" i="5"/>
  <c r="I1734" i="5"/>
  <c r="I1735" i="5"/>
  <c r="I1736" i="5"/>
  <c r="I1737" i="5"/>
  <c r="I1738" i="5"/>
  <c r="I1739" i="5"/>
  <c r="I1740" i="5"/>
  <c r="I1741" i="5"/>
  <c r="I1742" i="5"/>
  <c r="I1743" i="5"/>
  <c r="I1744" i="5"/>
  <c r="I1745" i="5"/>
  <c r="I1746" i="5"/>
  <c r="I1747" i="5"/>
  <c r="I1748" i="5"/>
  <c r="I1749" i="5"/>
  <c r="I1750" i="5"/>
  <c r="I1751" i="5"/>
  <c r="I1752" i="5"/>
  <c r="I1753" i="5"/>
  <c r="I1754" i="5"/>
  <c r="I1755" i="5"/>
  <c r="I1756" i="5"/>
  <c r="I1757" i="5"/>
  <c r="I1758" i="5"/>
  <c r="I1759" i="5"/>
  <c r="I1760" i="5"/>
  <c r="I1761" i="5"/>
  <c r="I1762" i="5"/>
  <c r="I1763" i="5"/>
  <c r="I1764" i="5"/>
  <c r="I1765" i="5"/>
  <c r="I1766" i="5"/>
  <c r="I1767" i="5"/>
  <c r="I1768" i="5"/>
  <c r="I1769" i="5"/>
  <c r="I1770" i="5"/>
  <c r="I1771" i="5"/>
  <c r="I1772" i="5"/>
  <c r="I1773" i="5"/>
  <c r="I1774" i="5"/>
  <c r="I1775" i="5"/>
  <c r="I1776" i="5"/>
  <c r="I1777" i="5"/>
  <c r="I1778" i="5"/>
  <c r="I1779" i="5"/>
  <c r="I1780" i="5"/>
  <c r="I1781" i="5"/>
  <c r="I1782" i="5"/>
  <c r="I1783" i="5"/>
  <c r="I1784" i="5"/>
  <c r="I1785" i="5"/>
  <c r="I1786" i="5"/>
  <c r="I1787" i="5"/>
  <c r="I1788" i="5"/>
  <c r="I1789" i="5"/>
  <c r="I1790" i="5"/>
  <c r="I1791" i="5"/>
  <c r="I1792" i="5"/>
  <c r="I1793" i="5"/>
  <c r="I1794" i="5"/>
  <c r="I1795" i="5"/>
  <c r="I1796" i="5"/>
  <c r="I1797" i="5"/>
  <c r="I1798" i="5"/>
  <c r="I1799" i="5"/>
  <c r="I1800" i="5"/>
  <c r="I1801" i="5"/>
  <c r="I1802" i="5"/>
  <c r="I1803" i="5"/>
  <c r="I1804" i="5"/>
  <c r="I1805" i="5"/>
  <c r="I1806" i="5"/>
  <c r="I1807" i="5"/>
  <c r="I1808" i="5"/>
  <c r="I1809" i="5"/>
  <c r="I1810" i="5"/>
  <c r="I1811" i="5"/>
  <c r="I1812" i="5"/>
  <c r="I1813" i="5"/>
  <c r="I1814" i="5"/>
  <c r="I1815" i="5"/>
  <c r="I1816" i="5"/>
  <c r="I1817" i="5"/>
  <c r="I1818" i="5"/>
  <c r="I1819" i="5"/>
  <c r="I1820" i="5"/>
  <c r="I1821" i="5"/>
  <c r="I1822" i="5"/>
  <c r="I1823" i="5"/>
  <c r="I1824" i="5"/>
  <c r="I1825" i="5"/>
  <c r="I1826" i="5"/>
  <c r="I1827" i="5"/>
  <c r="I1828" i="5"/>
  <c r="I1829" i="5"/>
  <c r="I1830" i="5"/>
  <c r="I1831" i="5"/>
  <c r="I1832" i="5"/>
  <c r="I1833" i="5"/>
  <c r="I1834" i="5"/>
  <c r="I1835" i="5"/>
  <c r="I1836" i="5"/>
  <c r="I1837" i="5"/>
  <c r="I1838" i="5"/>
  <c r="I1839" i="5"/>
  <c r="I1840" i="5"/>
  <c r="I1841" i="5"/>
  <c r="I1842" i="5"/>
  <c r="I1843" i="5"/>
  <c r="I1844" i="5"/>
  <c r="I1845" i="5"/>
  <c r="I1846" i="5"/>
  <c r="I1847" i="5"/>
  <c r="I1848" i="5"/>
  <c r="I1849" i="5"/>
  <c r="I1850" i="5"/>
  <c r="I1851" i="5"/>
  <c r="I1852" i="5"/>
  <c r="I1853" i="5"/>
  <c r="I1854" i="5"/>
  <c r="I1855" i="5"/>
  <c r="I1856" i="5"/>
  <c r="I1857" i="5"/>
  <c r="I1858" i="5"/>
  <c r="I1859" i="5"/>
  <c r="I1860" i="5"/>
  <c r="I1861" i="5"/>
  <c r="I1862" i="5"/>
  <c r="I1863" i="5"/>
  <c r="I1864" i="5"/>
  <c r="I1865" i="5"/>
  <c r="I1866" i="5"/>
  <c r="I1867" i="5"/>
  <c r="I1868" i="5"/>
  <c r="I1869" i="5"/>
  <c r="I1870" i="5"/>
  <c r="I1871" i="5"/>
  <c r="I1872" i="5"/>
  <c r="I1873" i="5"/>
  <c r="I1874" i="5"/>
  <c r="I1875" i="5"/>
  <c r="I1876" i="5"/>
  <c r="I1877" i="5"/>
  <c r="I1878" i="5"/>
  <c r="I1879" i="5"/>
  <c r="I1880" i="5"/>
  <c r="I1881" i="5"/>
  <c r="I1882" i="5"/>
  <c r="I1883" i="5"/>
  <c r="I1884" i="5"/>
  <c r="I1885" i="5"/>
  <c r="I1886" i="5"/>
  <c r="I1887" i="5"/>
  <c r="I1888" i="5"/>
  <c r="I1889" i="5"/>
  <c r="I1890" i="5"/>
  <c r="I1891" i="5"/>
  <c r="I1892" i="5"/>
  <c r="I1893" i="5"/>
  <c r="I1894" i="5"/>
  <c r="I1895" i="5"/>
  <c r="I1896" i="5"/>
  <c r="I1897" i="5"/>
  <c r="I1898" i="5"/>
  <c r="I1899" i="5"/>
  <c r="I1900" i="5"/>
  <c r="I1901" i="5"/>
  <c r="I1902" i="5"/>
  <c r="I1903" i="5"/>
  <c r="I1904" i="5"/>
  <c r="I1905" i="5"/>
  <c r="I1906" i="5"/>
  <c r="I1907" i="5"/>
  <c r="I1908" i="5"/>
  <c r="I1909" i="5"/>
  <c r="I1910" i="5"/>
  <c r="I1911" i="5"/>
  <c r="I1912" i="5"/>
  <c r="I1913" i="5"/>
  <c r="I1914" i="5"/>
  <c r="I1915" i="5"/>
  <c r="I1916" i="5"/>
  <c r="I1917" i="5"/>
  <c r="I1918" i="5"/>
  <c r="I1919" i="5"/>
  <c r="I1920" i="5"/>
  <c r="I1921" i="5"/>
  <c r="I1922" i="5"/>
  <c r="I1923" i="5"/>
  <c r="I1924" i="5"/>
  <c r="I1925" i="5"/>
  <c r="I1926" i="5"/>
  <c r="I1927" i="5"/>
  <c r="I1928" i="5"/>
  <c r="I1929" i="5"/>
  <c r="I1930" i="5"/>
  <c r="I1931" i="5"/>
  <c r="I1932" i="5"/>
  <c r="I1933" i="5"/>
  <c r="I1934" i="5"/>
  <c r="I1935" i="5"/>
  <c r="I1936" i="5"/>
  <c r="I1937" i="5"/>
  <c r="I1938" i="5"/>
  <c r="I1939" i="5"/>
  <c r="I1940" i="5"/>
  <c r="I1941" i="5"/>
  <c r="I1942" i="5"/>
  <c r="I1943" i="5"/>
  <c r="I1944" i="5"/>
  <c r="I1945" i="5"/>
  <c r="I1946" i="5"/>
  <c r="I1947" i="5"/>
  <c r="I1948" i="5"/>
  <c r="I1949" i="5"/>
  <c r="I1950" i="5"/>
  <c r="I1951" i="5"/>
  <c r="I1952" i="5"/>
  <c r="I1953" i="5"/>
  <c r="I1954" i="5"/>
  <c r="I1955" i="5"/>
  <c r="I1956" i="5"/>
  <c r="I1957" i="5"/>
  <c r="I1958" i="5"/>
  <c r="I1959" i="5"/>
  <c r="I1960" i="5"/>
  <c r="I1961" i="5"/>
  <c r="I1962" i="5"/>
  <c r="I1963" i="5"/>
  <c r="I1964" i="5"/>
  <c r="I1965" i="5"/>
  <c r="I1966" i="5"/>
  <c r="I1967" i="5"/>
  <c r="I1968" i="5"/>
  <c r="I1969" i="5"/>
  <c r="I1970" i="5"/>
  <c r="I1971" i="5"/>
  <c r="I1972" i="5"/>
  <c r="I1973" i="5"/>
  <c r="I1974" i="5"/>
  <c r="I1975" i="5"/>
  <c r="I1976" i="5"/>
  <c r="I1977" i="5"/>
  <c r="I1978" i="5"/>
  <c r="I1979" i="5"/>
  <c r="I1980" i="5"/>
  <c r="I1981" i="5"/>
  <c r="I1982" i="5"/>
  <c r="I1983" i="5"/>
  <c r="I1984" i="5"/>
  <c r="I1985" i="5"/>
  <c r="I1986" i="5"/>
  <c r="I1987" i="5"/>
  <c r="I1988" i="5"/>
  <c r="I1989" i="5"/>
  <c r="I1990" i="5"/>
  <c r="I1991" i="5"/>
  <c r="I1992" i="5"/>
  <c r="I1993" i="5"/>
  <c r="I1994" i="5"/>
  <c r="I1995" i="5"/>
  <c r="I1996" i="5"/>
  <c r="I1997" i="5"/>
  <c r="I1998" i="5"/>
  <c r="I1999" i="5"/>
  <c r="I2000" i="5"/>
  <c r="I2001" i="5"/>
  <c r="I2002" i="5"/>
  <c r="I2003" i="5"/>
  <c r="I2004" i="5"/>
  <c r="I2005" i="5"/>
  <c r="I2006" i="5"/>
  <c r="I2007" i="5"/>
  <c r="I2008" i="5"/>
  <c r="I2009" i="5"/>
  <c r="I2010" i="5"/>
  <c r="I2011" i="5"/>
  <c r="I2012" i="5"/>
  <c r="I2013" i="5"/>
  <c r="I2014" i="5"/>
  <c r="I2015" i="5"/>
  <c r="I2016" i="5"/>
  <c r="I2017" i="5"/>
  <c r="I2018" i="5"/>
  <c r="I2019" i="5"/>
  <c r="I2020" i="5"/>
  <c r="I2021" i="5"/>
  <c r="I2022" i="5"/>
  <c r="I2023" i="5"/>
  <c r="I2024" i="5"/>
  <c r="I2025" i="5"/>
  <c r="I2026" i="5"/>
  <c r="I2027" i="5"/>
  <c r="I2028" i="5"/>
  <c r="I2029" i="5"/>
  <c r="I2030" i="5"/>
  <c r="I2031" i="5"/>
  <c r="I2032" i="5"/>
  <c r="I2033" i="5"/>
  <c r="I2034" i="5"/>
  <c r="I2035" i="5"/>
  <c r="I2036" i="5"/>
  <c r="I2037" i="5"/>
  <c r="I2038" i="5"/>
  <c r="I2039" i="5"/>
  <c r="I2040" i="5"/>
  <c r="I2041" i="5"/>
  <c r="I2042" i="5"/>
  <c r="I2043" i="5"/>
  <c r="I2044" i="5"/>
  <c r="I2045" i="5"/>
  <c r="I2046" i="5"/>
  <c r="I2047" i="5"/>
  <c r="I2048" i="5"/>
  <c r="I2049" i="5"/>
  <c r="I2050" i="5"/>
  <c r="I2051" i="5"/>
  <c r="I2052" i="5"/>
  <c r="I2053" i="5"/>
  <c r="I2054" i="5"/>
  <c r="I2055" i="5"/>
  <c r="I2056" i="5"/>
  <c r="I2057" i="5"/>
  <c r="I2058" i="5"/>
  <c r="I2059" i="5"/>
  <c r="I2060" i="5"/>
  <c r="I2061" i="5"/>
  <c r="I2062" i="5"/>
  <c r="I2063" i="5"/>
  <c r="I2064" i="5"/>
  <c r="I2065" i="5"/>
  <c r="I2066" i="5"/>
  <c r="I2067" i="5"/>
  <c r="I2068" i="5"/>
  <c r="I2069" i="5"/>
  <c r="I2070" i="5"/>
  <c r="I2071" i="5"/>
  <c r="I2072" i="5"/>
  <c r="I2073" i="5"/>
  <c r="I2074" i="5"/>
  <c r="I2075" i="5"/>
  <c r="I2076" i="5"/>
  <c r="I2077" i="5"/>
  <c r="I2078" i="5"/>
  <c r="I2079" i="5"/>
  <c r="I2080" i="5"/>
  <c r="I2081" i="5"/>
  <c r="I2082" i="5"/>
  <c r="I2083" i="5"/>
  <c r="I2084" i="5"/>
  <c r="I2085" i="5"/>
  <c r="I2086" i="5"/>
  <c r="I2087" i="5"/>
  <c r="I2088" i="5"/>
  <c r="I2089" i="5"/>
  <c r="I2090" i="5"/>
  <c r="I2091" i="5"/>
  <c r="I2092" i="5"/>
  <c r="I2093" i="5"/>
  <c r="I2094" i="5"/>
  <c r="I2095" i="5"/>
  <c r="I2096" i="5"/>
  <c r="I2097" i="5"/>
  <c r="I2098" i="5"/>
  <c r="I2099" i="5"/>
  <c r="I2100" i="5"/>
  <c r="I2101" i="5"/>
  <c r="I2102" i="5"/>
  <c r="I2103" i="5"/>
  <c r="I2104" i="5"/>
  <c r="I2105" i="5"/>
  <c r="I2106" i="5"/>
  <c r="I2107" i="5"/>
  <c r="I2108" i="5"/>
  <c r="I2109" i="5"/>
  <c r="I2110" i="5"/>
  <c r="I2111" i="5"/>
  <c r="I2112" i="5"/>
  <c r="I2113" i="5"/>
  <c r="I2114" i="5"/>
  <c r="I2115" i="5"/>
  <c r="I2116" i="5"/>
  <c r="I2117" i="5"/>
  <c r="I2118" i="5"/>
  <c r="I2119" i="5"/>
  <c r="I2120" i="5"/>
  <c r="I2121" i="5"/>
  <c r="I2122" i="5"/>
  <c r="I2123" i="5"/>
  <c r="I2124" i="5"/>
  <c r="I2125" i="5"/>
  <c r="I2126" i="5"/>
  <c r="I2127" i="5"/>
  <c r="I2128" i="5"/>
  <c r="I2129" i="5"/>
  <c r="I2130" i="5"/>
  <c r="I2131" i="5"/>
  <c r="I2132" i="5"/>
  <c r="I2133" i="5"/>
  <c r="I2134" i="5"/>
  <c r="I2135" i="5"/>
  <c r="I2136" i="5"/>
  <c r="I2137" i="5"/>
  <c r="I2138" i="5"/>
  <c r="I2139" i="5"/>
  <c r="I2140" i="5"/>
  <c r="I2141" i="5"/>
  <c r="I2142" i="5"/>
  <c r="I2143" i="5"/>
  <c r="I2144" i="5"/>
  <c r="I2145" i="5"/>
  <c r="I2146" i="5"/>
  <c r="I2147" i="5"/>
  <c r="I2148" i="5"/>
  <c r="I2149" i="5"/>
  <c r="I2150" i="5"/>
  <c r="I2151" i="5"/>
  <c r="I2152" i="5"/>
  <c r="I2153" i="5"/>
  <c r="I2154" i="5"/>
  <c r="I2155" i="5"/>
  <c r="I2156" i="5"/>
  <c r="I2157" i="5"/>
  <c r="I2158" i="5"/>
  <c r="I2159" i="5"/>
  <c r="I2160" i="5"/>
  <c r="I2161" i="5"/>
  <c r="I2162" i="5"/>
  <c r="I2163" i="5"/>
  <c r="I2164" i="5"/>
  <c r="I2165" i="5"/>
  <c r="I2166" i="5"/>
  <c r="I2167" i="5"/>
  <c r="I2168" i="5"/>
  <c r="I2169" i="5"/>
  <c r="I2170" i="5"/>
  <c r="I2171" i="5"/>
  <c r="I2172" i="5"/>
  <c r="I2173" i="5"/>
  <c r="I2174" i="5"/>
  <c r="I2175" i="5"/>
  <c r="I2176" i="5"/>
  <c r="I2177" i="5"/>
  <c r="I2178" i="5"/>
  <c r="I2179" i="5"/>
  <c r="I2180" i="5"/>
  <c r="I2181" i="5"/>
  <c r="I2182" i="5"/>
  <c r="I2183" i="5"/>
  <c r="I2184" i="5"/>
  <c r="I2185" i="5"/>
  <c r="I2186" i="5"/>
  <c r="I2187" i="5"/>
  <c r="I2188" i="5"/>
  <c r="I2189" i="5"/>
  <c r="I2190" i="5"/>
  <c r="I2191" i="5"/>
  <c r="I2192" i="5"/>
  <c r="I2193" i="5"/>
  <c r="I2194" i="5"/>
  <c r="I2195" i="5"/>
  <c r="I2196" i="5"/>
  <c r="I2197" i="5"/>
  <c r="I2198" i="5"/>
  <c r="I2199" i="5"/>
  <c r="I2200" i="5"/>
  <c r="I2201" i="5"/>
  <c r="I2202" i="5"/>
  <c r="I2203" i="5"/>
  <c r="I2204" i="5"/>
  <c r="I2205" i="5"/>
  <c r="I2206" i="5"/>
  <c r="I2207" i="5"/>
  <c r="I2208" i="5"/>
  <c r="I2209" i="5"/>
  <c r="I2210" i="5"/>
  <c r="I2211" i="5"/>
  <c r="I2212" i="5"/>
  <c r="I2213" i="5"/>
  <c r="I2214" i="5"/>
  <c r="I2215" i="5"/>
  <c r="I2216" i="5"/>
  <c r="I2217" i="5"/>
  <c r="I2218" i="5"/>
  <c r="I2219" i="5"/>
  <c r="I2220" i="5"/>
  <c r="I2221" i="5"/>
  <c r="I2222" i="5"/>
  <c r="I2223" i="5"/>
  <c r="I2224" i="5"/>
  <c r="I2225" i="5"/>
  <c r="I2226" i="5"/>
  <c r="I2227" i="5"/>
  <c r="I2228" i="5"/>
  <c r="I2229" i="5"/>
  <c r="I2230" i="5"/>
  <c r="I2231" i="5"/>
  <c r="I2232" i="5"/>
  <c r="I2233" i="5"/>
  <c r="I2234" i="5"/>
  <c r="I2235" i="5"/>
  <c r="I2236" i="5"/>
  <c r="I2237" i="5"/>
  <c r="I2238" i="5"/>
  <c r="I2239" i="5"/>
  <c r="I2240" i="5"/>
  <c r="I2241" i="5"/>
  <c r="I2242" i="5"/>
  <c r="I2243" i="5"/>
  <c r="I2244" i="5"/>
  <c r="I2245" i="5"/>
  <c r="I2246" i="5"/>
  <c r="I2247" i="5"/>
  <c r="I2248" i="5"/>
  <c r="I2249" i="5"/>
  <c r="I2250" i="5"/>
  <c r="I2251" i="5"/>
  <c r="I2252" i="5"/>
  <c r="I2253" i="5"/>
  <c r="I2254" i="5"/>
  <c r="I2255" i="5"/>
  <c r="I2256" i="5"/>
  <c r="I2257" i="5"/>
  <c r="I2258" i="5"/>
  <c r="I2259" i="5"/>
  <c r="I2260" i="5"/>
  <c r="I2261" i="5"/>
  <c r="I2262" i="5"/>
  <c r="I2263" i="5"/>
  <c r="I2264" i="5"/>
  <c r="I2265" i="5"/>
  <c r="I2266" i="5"/>
  <c r="I2267" i="5"/>
  <c r="I2268" i="5"/>
  <c r="I2269" i="5"/>
  <c r="I2270" i="5"/>
  <c r="I2271" i="5"/>
  <c r="I2272" i="5"/>
  <c r="I2273" i="5"/>
  <c r="I2274" i="5"/>
  <c r="I2275" i="5"/>
  <c r="I2276" i="5"/>
  <c r="I2277" i="5"/>
  <c r="I2278" i="5"/>
  <c r="I2279" i="5"/>
  <c r="I2280" i="5"/>
  <c r="I2281" i="5"/>
  <c r="I2282" i="5"/>
  <c r="I2283" i="5"/>
  <c r="I2284" i="5"/>
  <c r="I2285" i="5"/>
  <c r="I2286" i="5"/>
  <c r="I2287" i="5"/>
  <c r="I2288" i="5"/>
  <c r="I2289" i="5"/>
  <c r="I2290" i="5"/>
  <c r="I2291" i="5"/>
  <c r="I2292" i="5"/>
  <c r="I2293" i="5"/>
  <c r="I2294" i="5"/>
  <c r="I2295" i="5"/>
  <c r="I2296" i="5"/>
  <c r="I2297" i="5"/>
  <c r="I2298" i="5"/>
  <c r="I2299" i="5"/>
  <c r="I2300" i="5"/>
  <c r="I2301" i="5"/>
  <c r="I2302" i="5"/>
  <c r="I2303" i="5"/>
  <c r="I2304" i="5"/>
  <c r="I2305" i="5"/>
  <c r="I2306" i="5"/>
  <c r="I2307" i="5"/>
  <c r="I2308" i="5"/>
  <c r="I2309" i="5"/>
  <c r="I2310" i="5"/>
  <c r="I2311" i="5"/>
  <c r="I2312" i="5"/>
  <c r="I2313" i="5"/>
  <c r="I2314" i="5"/>
  <c r="I2315" i="5"/>
  <c r="I2316" i="5"/>
  <c r="I2317" i="5"/>
  <c r="I2318" i="5"/>
  <c r="I2319" i="5"/>
  <c r="I2320" i="5"/>
  <c r="I2321" i="5"/>
  <c r="I2322" i="5"/>
  <c r="I2323" i="5"/>
  <c r="I2324" i="5"/>
  <c r="I2325" i="5"/>
  <c r="I2326" i="5"/>
  <c r="I2327" i="5"/>
  <c r="I2328" i="5"/>
  <c r="I2329" i="5"/>
  <c r="I2330" i="5"/>
  <c r="I2331" i="5"/>
  <c r="I2332" i="5"/>
  <c r="I2333" i="5"/>
  <c r="I2334" i="5"/>
  <c r="I2335" i="5"/>
  <c r="I2336" i="5"/>
  <c r="I2337" i="5"/>
  <c r="I2338" i="5"/>
  <c r="I2339" i="5"/>
  <c r="I2340" i="5"/>
  <c r="I2341" i="5"/>
  <c r="I2342" i="5"/>
  <c r="I2343" i="5"/>
  <c r="I2344" i="5"/>
  <c r="I2345" i="5"/>
  <c r="I2346" i="5"/>
  <c r="I2347" i="5"/>
  <c r="I2348" i="5"/>
  <c r="I2349" i="5"/>
  <c r="I2350" i="5"/>
  <c r="I2351" i="5"/>
  <c r="I2352" i="5"/>
  <c r="I2353" i="5"/>
  <c r="I2354" i="5"/>
  <c r="I2355" i="5"/>
  <c r="I2356" i="5"/>
  <c r="I2357" i="5"/>
  <c r="I2358" i="5"/>
  <c r="I2359" i="5"/>
  <c r="I2360" i="5"/>
  <c r="I2361" i="5"/>
  <c r="I2362" i="5"/>
  <c r="I2363" i="5"/>
  <c r="I2364" i="5"/>
  <c r="I2365" i="5"/>
  <c r="I2366" i="5"/>
  <c r="I2367" i="5"/>
  <c r="I2368" i="5"/>
  <c r="I2369" i="5"/>
  <c r="I2370" i="5"/>
  <c r="I2371" i="5"/>
  <c r="I2372" i="5"/>
  <c r="I2373" i="5"/>
  <c r="I2374" i="5"/>
  <c r="I2375" i="5"/>
  <c r="I2376" i="5"/>
  <c r="I2377" i="5"/>
  <c r="I2378" i="5"/>
  <c r="I2379" i="5"/>
  <c r="I2380" i="5"/>
  <c r="I2381" i="5"/>
  <c r="I2382" i="5"/>
  <c r="I2383" i="5"/>
  <c r="I2384" i="5"/>
  <c r="I2385" i="5"/>
  <c r="I2386" i="5"/>
  <c r="I2387" i="5"/>
  <c r="I2388" i="5"/>
  <c r="I2389" i="5"/>
  <c r="I2390" i="5"/>
  <c r="I2391" i="5"/>
  <c r="I2392" i="5"/>
  <c r="I2393" i="5"/>
  <c r="I2394" i="5"/>
  <c r="I2395" i="5"/>
  <c r="I2396" i="5"/>
  <c r="I2397" i="5"/>
  <c r="I2398" i="5"/>
  <c r="I2399" i="5"/>
  <c r="I2400" i="5"/>
  <c r="I2401" i="5"/>
  <c r="I2402" i="5"/>
  <c r="I2403" i="5"/>
  <c r="I2404" i="5"/>
  <c r="I2405" i="5"/>
  <c r="I2406" i="5"/>
  <c r="I2407" i="5"/>
  <c r="I2408" i="5"/>
  <c r="I2409" i="5"/>
  <c r="I2410" i="5"/>
  <c r="I2411" i="5"/>
  <c r="I2412" i="5"/>
  <c r="I2413" i="5"/>
  <c r="I2414" i="5"/>
  <c r="I2415" i="5"/>
  <c r="I2416" i="5"/>
  <c r="I2417" i="5"/>
  <c r="I2418" i="5"/>
  <c r="I2419" i="5"/>
  <c r="I2420" i="5"/>
  <c r="I2421" i="5"/>
  <c r="I2422" i="5"/>
  <c r="I2423" i="5"/>
  <c r="I2424" i="5"/>
  <c r="I2425" i="5"/>
  <c r="I2426" i="5"/>
  <c r="I2427" i="5"/>
  <c r="I2428" i="5"/>
  <c r="I2429" i="5"/>
  <c r="I2430" i="5"/>
  <c r="I2431" i="5"/>
  <c r="I2432" i="5"/>
  <c r="I2433" i="5"/>
  <c r="I2434" i="5"/>
  <c r="I2435" i="5"/>
  <c r="I2436" i="5"/>
  <c r="I2437" i="5"/>
  <c r="I2438" i="5"/>
  <c r="I2439" i="5"/>
  <c r="I2440" i="5"/>
  <c r="I2441" i="5"/>
  <c r="I2442" i="5"/>
  <c r="I2443" i="5"/>
  <c r="I2444" i="5"/>
  <c r="I2445" i="5"/>
  <c r="I2446" i="5"/>
  <c r="I2447" i="5"/>
  <c r="I2448" i="5"/>
  <c r="I2449" i="5"/>
  <c r="I2450" i="5"/>
  <c r="I2451" i="5"/>
  <c r="I2452" i="5"/>
  <c r="I2453" i="5"/>
  <c r="I2454" i="5"/>
  <c r="I2455" i="5"/>
  <c r="I2456" i="5"/>
  <c r="I2457" i="5"/>
  <c r="I2458" i="5"/>
  <c r="I2459" i="5"/>
  <c r="I2460" i="5"/>
  <c r="I2461" i="5"/>
  <c r="I2462" i="5"/>
  <c r="I2463" i="5"/>
  <c r="I2464" i="5"/>
  <c r="I2465" i="5"/>
  <c r="I2466" i="5"/>
  <c r="I2467" i="5"/>
  <c r="I2468" i="5"/>
  <c r="I2469" i="5"/>
  <c r="I2470" i="5"/>
  <c r="I2471" i="5"/>
  <c r="I2472" i="5"/>
  <c r="I2473" i="5"/>
  <c r="I2474" i="5"/>
  <c r="I2475" i="5"/>
  <c r="I2476" i="5"/>
  <c r="I2477" i="5"/>
  <c r="I2478" i="5"/>
  <c r="I2479" i="5"/>
  <c r="I2480" i="5"/>
  <c r="I2481" i="5"/>
  <c r="I2482" i="5"/>
  <c r="I2483" i="5"/>
  <c r="I2484" i="5"/>
  <c r="I2485" i="5"/>
  <c r="I2486" i="5"/>
  <c r="I2487" i="5"/>
  <c r="I2488" i="5"/>
  <c r="I2489" i="5"/>
  <c r="I2490" i="5"/>
  <c r="I2491" i="5"/>
  <c r="I2492" i="5"/>
  <c r="I2493" i="5"/>
  <c r="I2494" i="5"/>
  <c r="I2495" i="5"/>
  <c r="I2496" i="5"/>
  <c r="I2497" i="5"/>
  <c r="I2498" i="5"/>
  <c r="I2499" i="5"/>
  <c r="I2500" i="5"/>
  <c r="I2501" i="5"/>
  <c r="I2502" i="5"/>
  <c r="I2503" i="5"/>
  <c r="I2504" i="5"/>
  <c r="I2505" i="5"/>
  <c r="I2506" i="5"/>
  <c r="I2507" i="5"/>
  <c r="I2508" i="5"/>
  <c r="I2509" i="5"/>
  <c r="I2510" i="5"/>
  <c r="I2511" i="5"/>
  <c r="I2512" i="5"/>
  <c r="I2513" i="5"/>
  <c r="I2514" i="5"/>
  <c r="I2515" i="5"/>
  <c r="I2516" i="5"/>
  <c r="I2517" i="5"/>
  <c r="I2518" i="5"/>
  <c r="I2519" i="5"/>
  <c r="I2520" i="5"/>
  <c r="I2521" i="5"/>
  <c r="I2522" i="5"/>
  <c r="I2523" i="5"/>
  <c r="I2524" i="5"/>
  <c r="I2525" i="5"/>
  <c r="I2526" i="5"/>
  <c r="I2527" i="5"/>
  <c r="I2528" i="5"/>
  <c r="I2529" i="5"/>
  <c r="I2530" i="5"/>
  <c r="I2531" i="5"/>
  <c r="I2532" i="5"/>
  <c r="I2533" i="5"/>
  <c r="I2534" i="5"/>
  <c r="I2535" i="5"/>
  <c r="I2536" i="5"/>
  <c r="I2537" i="5"/>
  <c r="I2538" i="5"/>
  <c r="I2539" i="5"/>
  <c r="I2540" i="5"/>
  <c r="I2541" i="5"/>
  <c r="I2542" i="5"/>
  <c r="I2543" i="5"/>
  <c r="I2544" i="5"/>
  <c r="I2545" i="5"/>
  <c r="I2546" i="5"/>
  <c r="I2547" i="5"/>
  <c r="I2548" i="5"/>
  <c r="I2549" i="5"/>
  <c r="I2550" i="5"/>
  <c r="I2551" i="5"/>
  <c r="I2552" i="5"/>
  <c r="I2553" i="5"/>
  <c r="I2554" i="5"/>
  <c r="I2555" i="5"/>
  <c r="I2556" i="5"/>
  <c r="I2557" i="5"/>
  <c r="I2558" i="5"/>
  <c r="I2559" i="5"/>
  <c r="I2560" i="5"/>
  <c r="I2561" i="5"/>
  <c r="I2562" i="5"/>
  <c r="I2563" i="5"/>
  <c r="I2564" i="5"/>
  <c r="I2565" i="5"/>
  <c r="I2566" i="5"/>
  <c r="I2567" i="5"/>
  <c r="I2568" i="5"/>
  <c r="I2569" i="5"/>
  <c r="I2570" i="5"/>
  <c r="I2571" i="5"/>
  <c r="I2572" i="5"/>
  <c r="I2573" i="5"/>
  <c r="I2574" i="5"/>
  <c r="I2575" i="5"/>
  <c r="I2576" i="5"/>
  <c r="I2577" i="5"/>
  <c r="I2578" i="5"/>
  <c r="I2579" i="5"/>
  <c r="I2580" i="5"/>
  <c r="I2581" i="5"/>
  <c r="I2582" i="5"/>
  <c r="I2583" i="5"/>
  <c r="I2584" i="5"/>
  <c r="I2585" i="5"/>
  <c r="I2586" i="5"/>
  <c r="I2587" i="5"/>
  <c r="I2588" i="5"/>
  <c r="I2589" i="5"/>
  <c r="I2590" i="5"/>
  <c r="I2591" i="5"/>
  <c r="I2592" i="5"/>
  <c r="I2593" i="5"/>
  <c r="I2594" i="5"/>
  <c r="I2595" i="5"/>
  <c r="I2596" i="5"/>
  <c r="I2597" i="5"/>
  <c r="I2598" i="5"/>
  <c r="I2599" i="5"/>
  <c r="I2600" i="5"/>
  <c r="I2601" i="5"/>
  <c r="I2602" i="5"/>
  <c r="I2603" i="5"/>
  <c r="I2604" i="5"/>
  <c r="I2605" i="5"/>
  <c r="I2606" i="5"/>
  <c r="I2607" i="5"/>
  <c r="I2608" i="5"/>
  <c r="I2609" i="5"/>
  <c r="I2610" i="5"/>
  <c r="I2611" i="5"/>
  <c r="I2612" i="5"/>
  <c r="I2613" i="5"/>
  <c r="I2614" i="5"/>
  <c r="I2615" i="5"/>
  <c r="I2616" i="5"/>
  <c r="I2617" i="5"/>
  <c r="I2618" i="5"/>
  <c r="I2619" i="5"/>
  <c r="I2620" i="5"/>
  <c r="I2621" i="5"/>
  <c r="I2622" i="5"/>
  <c r="I2623" i="5"/>
  <c r="I2624" i="5"/>
  <c r="I2625" i="5"/>
  <c r="I2626" i="5"/>
  <c r="I2627" i="5"/>
  <c r="I2628" i="5"/>
  <c r="I2629" i="5"/>
  <c r="I2630" i="5"/>
  <c r="I2631" i="5"/>
  <c r="I2632" i="5"/>
  <c r="I2633" i="5"/>
  <c r="I2634" i="5"/>
  <c r="I2635" i="5"/>
  <c r="I2636" i="5"/>
  <c r="I2637" i="5"/>
  <c r="I2638" i="5"/>
  <c r="I2639" i="5"/>
  <c r="I2640" i="5"/>
  <c r="I2641" i="5"/>
  <c r="I2642" i="5"/>
  <c r="I2643" i="5"/>
  <c r="I2644" i="5"/>
  <c r="I2645" i="5"/>
  <c r="I2646" i="5"/>
  <c r="I2647" i="5"/>
  <c r="I2648" i="5"/>
  <c r="I2649" i="5"/>
  <c r="I2650" i="5"/>
  <c r="I2651" i="5"/>
  <c r="I2652" i="5"/>
  <c r="I2653" i="5"/>
  <c r="I2654" i="5"/>
  <c r="I2655" i="5"/>
  <c r="I2656" i="5"/>
  <c r="I2657" i="5"/>
  <c r="I2658" i="5"/>
  <c r="I2659" i="5"/>
  <c r="I2660" i="5"/>
  <c r="I2661" i="5"/>
  <c r="I2662" i="5"/>
  <c r="I2663" i="5"/>
  <c r="I2664" i="5"/>
  <c r="I2665" i="5"/>
  <c r="I2666" i="5"/>
  <c r="I2667" i="5"/>
  <c r="I2668" i="5"/>
  <c r="I2669" i="5"/>
  <c r="I2670" i="5"/>
  <c r="I2671" i="5"/>
  <c r="I2672" i="5"/>
  <c r="I2673" i="5"/>
  <c r="I2674" i="5"/>
  <c r="I2675" i="5"/>
  <c r="I2676" i="5"/>
  <c r="I2677" i="5"/>
  <c r="I2678" i="5"/>
  <c r="I2679" i="5"/>
  <c r="I2680" i="5"/>
  <c r="I2681" i="5"/>
  <c r="I2682" i="5"/>
  <c r="I2683" i="5"/>
  <c r="I2684" i="5"/>
  <c r="I2685" i="5"/>
  <c r="I2686" i="5"/>
  <c r="I2687" i="5"/>
  <c r="I2688" i="5"/>
  <c r="I2689" i="5"/>
  <c r="I2690" i="5"/>
  <c r="I2691" i="5"/>
  <c r="I2692" i="5"/>
  <c r="I2693" i="5"/>
  <c r="I2694" i="5"/>
  <c r="I2695" i="5"/>
  <c r="I2696" i="5"/>
  <c r="I2697" i="5"/>
  <c r="I2698" i="5"/>
  <c r="I2699" i="5"/>
  <c r="I2700" i="5"/>
  <c r="I2701" i="5"/>
  <c r="I2702" i="5"/>
  <c r="I2703" i="5"/>
  <c r="I2704" i="5"/>
  <c r="I2705" i="5"/>
  <c r="I2706" i="5"/>
  <c r="I2707" i="5"/>
  <c r="I2708" i="5"/>
  <c r="I2709" i="5"/>
  <c r="I2710" i="5"/>
  <c r="I2711" i="5"/>
  <c r="I2712" i="5"/>
  <c r="I2713" i="5"/>
  <c r="I2714" i="5"/>
  <c r="I2715" i="5"/>
  <c r="I2716" i="5"/>
  <c r="I2717" i="5"/>
  <c r="I2718" i="5"/>
  <c r="I2719" i="5"/>
  <c r="I2720" i="5"/>
  <c r="I2721" i="5"/>
  <c r="I2722" i="5"/>
  <c r="I2723" i="5"/>
  <c r="I2724" i="5"/>
  <c r="I2725" i="5"/>
  <c r="I2726" i="5"/>
  <c r="I2727" i="5"/>
  <c r="I2728" i="5"/>
  <c r="I2729" i="5"/>
  <c r="I2730" i="5"/>
  <c r="I2731" i="5"/>
  <c r="I2732" i="5"/>
  <c r="I2733" i="5"/>
  <c r="I2734" i="5"/>
  <c r="I2735" i="5"/>
  <c r="I2736" i="5"/>
  <c r="I2737" i="5"/>
  <c r="I2738" i="5"/>
  <c r="I2739" i="5"/>
  <c r="I2740" i="5"/>
  <c r="I2741" i="5"/>
  <c r="I2742" i="5"/>
  <c r="I2743" i="5"/>
  <c r="I2744" i="5"/>
  <c r="I2745" i="5"/>
  <c r="I2746" i="5"/>
  <c r="I2747" i="5"/>
  <c r="I2748" i="5"/>
  <c r="I2749" i="5"/>
  <c r="I2750" i="5"/>
  <c r="I2751" i="5"/>
  <c r="I2752" i="5"/>
  <c r="I2753" i="5"/>
  <c r="I2754" i="5"/>
  <c r="I2755" i="5"/>
  <c r="I2756" i="5"/>
  <c r="I2757" i="5"/>
  <c r="I2758" i="5"/>
  <c r="I2759" i="5"/>
  <c r="I2760" i="5"/>
  <c r="I2761" i="5"/>
  <c r="I2762" i="5"/>
  <c r="I2763" i="5"/>
  <c r="I2764" i="5"/>
  <c r="I2765" i="5"/>
  <c r="I2766" i="5"/>
  <c r="I2767" i="5"/>
  <c r="I2768" i="5"/>
  <c r="I2769" i="5"/>
  <c r="I2770" i="5"/>
  <c r="I2771" i="5"/>
  <c r="I2772" i="5"/>
  <c r="I2773" i="5"/>
  <c r="I2774" i="5"/>
  <c r="I2775" i="5"/>
  <c r="I2776" i="5"/>
  <c r="I2777" i="5"/>
  <c r="I2778" i="5"/>
  <c r="I2779" i="5"/>
  <c r="I2780" i="5"/>
  <c r="I2781" i="5"/>
  <c r="I2782" i="5"/>
  <c r="I2783" i="5"/>
  <c r="I2784" i="5"/>
  <c r="I2785" i="5"/>
  <c r="I2786" i="5"/>
  <c r="I2787" i="5"/>
  <c r="I2788" i="5"/>
  <c r="I2789" i="5"/>
  <c r="I2790" i="5"/>
  <c r="I2791" i="5"/>
  <c r="I2792" i="5"/>
  <c r="I2793" i="5"/>
  <c r="I2794" i="5"/>
  <c r="I2795" i="5"/>
  <c r="I2796" i="5"/>
  <c r="I2797" i="5"/>
  <c r="I2798" i="5"/>
  <c r="I2799" i="5"/>
  <c r="I2800" i="5"/>
  <c r="I2801" i="5"/>
  <c r="I2802" i="5"/>
  <c r="I2803" i="5"/>
  <c r="I2804" i="5"/>
  <c r="I2805" i="5"/>
  <c r="I2806" i="5"/>
  <c r="I2807" i="5"/>
  <c r="I2808" i="5"/>
  <c r="I2809" i="5"/>
  <c r="I2810" i="5"/>
  <c r="I2811" i="5"/>
  <c r="I2812" i="5"/>
  <c r="I2813" i="5"/>
  <c r="I2814" i="5"/>
  <c r="I2815" i="5"/>
  <c r="I2816" i="5"/>
  <c r="I2817" i="5"/>
  <c r="I2818" i="5"/>
  <c r="I2819" i="5"/>
  <c r="I2820" i="5"/>
  <c r="I2821" i="5"/>
  <c r="I2822" i="5"/>
  <c r="I2823" i="5"/>
  <c r="I2824" i="5"/>
  <c r="I2825" i="5"/>
  <c r="I2826" i="5"/>
  <c r="I2827" i="5"/>
  <c r="I2828" i="5"/>
  <c r="I2829" i="5"/>
  <c r="I2830" i="5"/>
  <c r="I2831" i="5"/>
  <c r="I2832" i="5"/>
  <c r="I2833" i="5"/>
  <c r="I2834" i="5"/>
  <c r="I2835" i="5"/>
  <c r="I2836" i="5"/>
  <c r="I2837" i="5"/>
  <c r="I2838" i="5"/>
  <c r="I2839" i="5"/>
  <c r="I2840" i="5"/>
  <c r="I2841" i="5"/>
  <c r="I2842" i="5"/>
  <c r="I2843" i="5"/>
  <c r="I2844" i="5"/>
  <c r="I2845" i="5"/>
  <c r="I2846" i="5"/>
  <c r="I2847" i="5"/>
  <c r="I2848" i="5"/>
  <c r="I2849" i="5"/>
  <c r="I2850" i="5"/>
  <c r="I2851" i="5"/>
  <c r="I2852" i="5"/>
  <c r="I2853" i="5"/>
  <c r="I2854" i="5"/>
  <c r="I2855" i="5"/>
  <c r="I2856" i="5"/>
  <c r="I2857" i="5"/>
  <c r="I2858" i="5"/>
  <c r="I2859" i="5"/>
  <c r="I2860" i="5"/>
  <c r="I2861" i="5"/>
  <c r="I2862" i="5"/>
  <c r="I2863" i="5"/>
  <c r="I2864" i="5"/>
  <c r="I2865" i="5"/>
  <c r="I2866" i="5"/>
  <c r="I2867" i="5"/>
  <c r="I2868" i="5"/>
  <c r="I2869" i="5"/>
  <c r="I2870" i="5"/>
  <c r="I2871" i="5"/>
  <c r="I2872" i="5"/>
  <c r="I2873" i="5"/>
  <c r="I2874" i="5"/>
  <c r="I2875" i="5"/>
  <c r="I2876" i="5"/>
  <c r="I2877" i="5"/>
  <c r="I2878" i="5"/>
  <c r="I2879" i="5"/>
  <c r="I2880" i="5"/>
  <c r="I2881" i="5"/>
  <c r="I2882" i="5"/>
  <c r="I2883" i="5"/>
  <c r="I2884" i="5"/>
  <c r="I2885" i="5"/>
  <c r="I2886" i="5"/>
  <c r="I2887" i="5"/>
  <c r="I2888" i="5"/>
  <c r="I2889" i="5"/>
  <c r="I2890" i="5"/>
  <c r="I2891" i="5"/>
  <c r="I2892" i="5"/>
  <c r="I2893" i="5"/>
  <c r="I2894" i="5"/>
  <c r="I2895" i="5"/>
  <c r="I2896" i="5"/>
  <c r="I2897" i="5"/>
  <c r="I2898" i="5"/>
  <c r="I2899" i="5"/>
  <c r="I2900" i="5"/>
  <c r="I2901" i="5"/>
  <c r="I2902" i="5"/>
  <c r="I2903" i="5"/>
  <c r="I2904" i="5"/>
  <c r="I2905" i="5"/>
  <c r="I2906" i="5"/>
  <c r="I2907" i="5"/>
  <c r="I2908" i="5"/>
  <c r="I2909" i="5"/>
  <c r="I2910" i="5"/>
  <c r="I2911" i="5"/>
  <c r="I2912" i="5"/>
  <c r="I2913" i="5"/>
  <c r="I2914" i="5"/>
  <c r="I2915" i="5"/>
  <c r="I2916" i="5"/>
  <c r="I2917" i="5"/>
  <c r="I2918" i="5"/>
  <c r="I2919" i="5"/>
  <c r="I2920" i="5"/>
  <c r="I2921" i="5"/>
  <c r="I2922" i="5"/>
  <c r="I2923" i="5"/>
  <c r="I2924" i="5"/>
  <c r="I2925" i="5"/>
  <c r="I2926" i="5"/>
  <c r="I2927" i="5"/>
  <c r="I2928" i="5"/>
  <c r="I2929" i="5"/>
  <c r="I2930" i="5"/>
  <c r="I2931" i="5"/>
  <c r="I2932" i="5"/>
  <c r="I2933" i="5"/>
  <c r="I2934" i="5"/>
  <c r="I2935" i="5"/>
  <c r="I2936" i="5"/>
  <c r="I2937" i="5"/>
  <c r="I2938" i="5"/>
  <c r="I2939" i="5"/>
  <c r="I2940" i="5"/>
  <c r="I2941" i="5"/>
  <c r="I2942" i="5"/>
  <c r="I2943" i="5"/>
  <c r="I2944" i="5"/>
  <c r="I2945" i="5"/>
  <c r="I2946" i="5"/>
  <c r="I2947" i="5"/>
  <c r="I2948" i="5"/>
  <c r="I2949" i="5"/>
  <c r="I2950" i="5"/>
  <c r="I2951" i="5"/>
  <c r="I2952" i="5"/>
  <c r="I2953" i="5"/>
  <c r="I2954" i="5"/>
  <c r="I2955" i="5"/>
  <c r="I2956" i="5"/>
  <c r="I2957" i="5"/>
  <c r="I2958" i="5"/>
  <c r="I2959" i="5"/>
  <c r="I2960" i="5"/>
  <c r="I2961" i="5"/>
  <c r="I2962" i="5"/>
  <c r="I2963" i="5"/>
  <c r="I2964" i="5"/>
  <c r="I2965" i="5"/>
  <c r="I2966" i="5"/>
  <c r="I2967" i="5"/>
  <c r="I2968" i="5"/>
  <c r="I2969" i="5"/>
  <c r="I2970" i="5"/>
  <c r="I2971" i="5"/>
  <c r="I2972" i="5"/>
  <c r="I2973" i="5"/>
  <c r="I2974" i="5"/>
  <c r="I2975" i="5"/>
  <c r="I2976" i="5"/>
  <c r="I2977" i="5"/>
  <c r="I2978" i="5"/>
  <c r="I2979" i="5"/>
  <c r="I2980" i="5"/>
  <c r="I2981" i="5"/>
  <c r="I2982" i="5"/>
  <c r="I2983" i="5"/>
  <c r="I2984" i="5"/>
  <c r="I2985" i="5"/>
  <c r="I2986" i="5"/>
  <c r="I2987" i="5"/>
  <c r="I2988" i="5"/>
  <c r="I2989" i="5"/>
  <c r="I2990" i="5"/>
  <c r="I2991" i="5"/>
  <c r="I2992" i="5"/>
  <c r="I2993" i="5"/>
  <c r="I2994" i="5"/>
  <c r="I2995" i="5"/>
  <c r="I2996" i="5"/>
  <c r="I2997" i="5"/>
  <c r="I2998" i="5"/>
  <c r="I2999" i="5"/>
  <c r="I3000" i="5"/>
  <c r="I3001" i="5"/>
  <c r="I3002" i="5"/>
  <c r="I3003" i="5"/>
  <c r="I3004" i="5"/>
  <c r="I3005" i="5"/>
  <c r="I3006" i="5"/>
  <c r="I3007" i="5"/>
  <c r="I3008" i="5"/>
  <c r="I3009" i="5"/>
  <c r="I3010" i="5"/>
  <c r="I3011" i="5"/>
  <c r="I3012" i="5"/>
  <c r="I3013" i="5"/>
  <c r="I3014" i="5"/>
  <c r="I3015" i="5"/>
  <c r="I3016" i="5"/>
  <c r="I3017" i="5"/>
  <c r="I3018" i="5"/>
  <c r="I3019" i="5"/>
  <c r="I3020" i="5"/>
  <c r="I3021" i="5"/>
  <c r="I3022" i="5"/>
  <c r="I3023" i="5"/>
  <c r="I3024" i="5"/>
  <c r="I3025" i="5"/>
  <c r="I3026" i="5"/>
  <c r="I3027" i="5"/>
  <c r="I3028" i="5"/>
  <c r="I3029" i="5"/>
  <c r="I3030" i="5"/>
  <c r="I3031" i="5"/>
  <c r="I3032" i="5"/>
  <c r="I3033" i="5"/>
  <c r="I3034" i="5"/>
  <c r="I3035" i="5"/>
  <c r="I3036" i="5"/>
  <c r="I3037" i="5"/>
  <c r="I3038" i="5"/>
  <c r="I3039" i="5"/>
  <c r="I3040" i="5"/>
  <c r="I3041" i="5"/>
  <c r="I3042" i="5"/>
  <c r="I3043" i="5"/>
  <c r="I3044" i="5"/>
  <c r="I3045" i="5"/>
  <c r="I3046" i="5"/>
  <c r="I3047" i="5"/>
  <c r="I3048" i="5"/>
  <c r="I3049" i="5"/>
  <c r="I3050" i="5"/>
  <c r="I3051" i="5"/>
  <c r="I3052" i="5"/>
  <c r="I3053" i="5"/>
  <c r="I3054" i="5"/>
  <c r="I3055" i="5"/>
  <c r="I3056" i="5"/>
  <c r="I3057" i="5"/>
  <c r="I3058" i="5"/>
  <c r="I3059" i="5"/>
  <c r="I3060" i="5"/>
  <c r="I3061" i="5"/>
  <c r="I3062" i="5"/>
  <c r="I3063" i="5"/>
  <c r="I3064" i="5"/>
  <c r="I3065" i="5"/>
  <c r="I3066" i="5"/>
  <c r="I3067" i="5"/>
  <c r="I3068" i="5"/>
  <c r="I3069" i="5"/>
  <c r="I3070" i="5"/>
  <c r="I3071" i="5"/>
  <c r="I3072" i="5"/>
  <c r="I3073" i="5"/>
  <c r="I3074" i="5"/>
  <c r="I3075" i="5"/>
  <c r="I3076" i="5"/>
  <c r="I3077" i="5"/>
  <c r="I3078" i="5"/>
  <c r="I3079" i="5"/>
  <c r="I3080" i="5"/>
  <c r="I3081" i="5"/>
  <c r="I3082" i="5"/>
  <c r="I3083" i="5"/>
  <c r="I3084" i="5"/>
  <c r="I3085" i="5"/>
  <c r="I3086" i="5"/>
  <c r="I3087" i="5"/>
  <c r="I3088" i="5"/>
  <c r="I3089" i="5"/>
  <c r="I3090" i="5"/>
  <c r="I3091" i="5"/>
  <c r="I3092" i="5"/>
  <c r="I3093" i="5"/>
  <c r="I3094" i="5"/>
  <c r="I3095" i="5"/>
  <c r="I3096" i="5"/>
  <c r="I3097" i="5"/>
  <c r="I3098" i="5"/>
  <c r="I3099" i="5"/>
  <c r="I3100" i="5"/>
  <c r="I3101" i="5"/>
  <c r="I3102" i="5"/>
  <c r="I3103" i="5"/>
  <c r="I3104" i="5"/>
  <c r="I3105" i="5"/>
  <c r="I3106" i="5"/>
  <c r="I3107" i="5"/>
  <c r="I3108" i="5"/>
  <c r="I3109" i="5"/>
  <c r="I3110" i="5"/>
  <c r="I3111" i="5"/>
  <c r="I3112" i="5"/>
  <c r="I3113" i="5"/>
  <c r="I3114" i="5"/>
  <c r="I3115" i="5"/>
  <c r="I3116" i="5"/>
  <c r="I3117" i="5"/>
  <c r="I3118" i="5"/>
  <c r="I3119" i="5"/>
  <c r="I3120" i="5"/>
  <c r="I3121" i="5"/>
  <c r="I3122" i="5"/>
  <c r="I3123" i="5"/>
  <c r="I3124" i="5"/>
  <c r="I3125" i="5"/>
  <c r="I3126" i="5"/>
  <c r="I3127" i="5"/>
  <c r="I3128" i="5"/>
  <c r="I3129" i="5"/>
  <c r="I3130" i="5"/>
  <c r="I3131" i="5"/>
  <c r="I3132" i="5"/>
  <c r="I3133" i="5"/>
  <c r="I3134" i="5"/>
  <c r="I3135" i="5"/>
  <c r="I3136" i="5"/>
  <c r="I3137" i="5"/>
  <c r="I3138" i="5"/>
  <c r="I3139" i="5"/>
  <c r="I3140" i="5"/>
  <c r="I3141" i="5"/>
  <c r="I3142" i="5"/>
  <c r="I3143" i="5"/>
  <c r="I3144" i="5"/>
  <c r="I3145" i="5"/>
  <c r="I3146" i="5"/>
  <c r="I3147" i="5"/>
  <c r="I3148" i="5"/>
  <c r="I3149" i="5"/>
  <c r="I3150" i="5"/>
  <c r="I3151" i="5"/>
  <c r="I3152" i="5"/>
  <c r="I3153" i="5"/>
  <c r="I3154" i="5"/>
  <c r="I3155" i="5"/>
  <c r="I3156" i="5"/>
  <c r="I3157" i="5"/>
  <c r="I3158" i="5"/>
  <c r="I3159" i="5"/>
  <c r="I3160" i="5"/>
  <c r="I3161" i="5"/>
  <c r="I3162" i="5"/>
  <c r="I3163" i="5"/>
  <c r="I3164" i="5"/>
  <c r="I3165" i="5"/>
  <c r="I3166" i="5"/>
  <c r="I3167" i="5"/>
  <c r="I3168" i="5"/>
  <c r="I3169" i="5"/>
  <c r="I3170" i="5"/>
  <c r="I3171" i="5"/>
  <c r="I3172" i="5"/>
  <c r="I3173" i="5"/>
  <c r="I3174" i="5"/>
  <c r="I3175" i="5"/>
  <c r="I3176" i="5"/>
  <c r="I3177" i="5"/>
  <c r="I3178" i="5"/>
  <c r="I3179" i="5"/>
  <c r="I3180" i="5"/>
  <c r="I3181" i="5"/>
  <c r="I3182" i="5"/>
  <c r="I3183" i="5"/>
  <c r="I3184" i="5"/>
  <c r="I3185" i="5"/>
  <c r="I3186" i="5"/>
  <c r="I3187" i="5"/>
  <c r="I3188" i="5"/>
  <c r="I3189" i="5"/>
  <c r="I3190" i="5"/>
  <c r="I3191" i="5"/>
  <c r="I3192" i="5"/>
  <c r="I3193" i="5"/>
  <c r="I3194" i="5"/>
  <c r="I3195" i="5"/>
  <c r="I3196" i="5"/>
  <c r="I3197" i="5"/>
  <c r="I3198" i="5"/>
  <c r="I3199" i="5"/>
  <c r="I3200" i="5"/>
  <c r="I3201" i="5"/>
  <c r="I3202" i="5"/>
  <c r="I3203" i="5"/>
  <c r="I3204" i="5"/>
  <c r="I3205" i="5"/>
  <c r="I3206" i="5"/>
  <c r="I3207" i="5"/>
  <c r="I3208" i="5"/>
  <c r="I3209" i="5"/>
  <c r="I3210" i="5"/>
  <c r="I3211" i="5"/>
  <c r="I3212" i="5"/>
  <c r="I3213" i="5"/>
  <c r="I3214" i="5"/>
  <c r="I3215" i="5"/>
  <c r="I3216" i="5"/>
  <c r="I3217" i="5"/>
  <c r="I3218" i="5"/>
  <c r="I3219" i="5"/>
  <c r="I3220" i="5"/>
  <c r="I3221" i="5"/>
  <c r="I3222" i="5"/>
  <c r="I3223" i="5"/>
  <c r="I3224" i="5"/>
  <c r="I3225" i="5"/>
  <c r="I3226" i="5"/>
  <c r="I3227" i="5"/>
  <c r="I3228" i="5"/>
  <c r="I3229" i="5"/>
  <c r="I3230" i="5"/>
  <c r="I3231" i="5"/>
  <c r="I3232" i="5"/>
  <c r="I3233" i="5"/>
  <c r="I3234" i="5"/>
  <c r="I3235" i="5"/>
  <c r="I3236" i="5"/>
  <c r="I3237" i="5"/>
  <c r="I3238" i="5"/>
  <c r="I3239" i="5"/>
  <c r="I3240" i="5"/>
  <c r="I3241" i="5"/>
  <c r="I3242" i="5"/>
  <c r="I3243" i="5"/>
  <c r="I3244" i="5"/>
  <c r="I3245" i="5"/>
  <c r="I3246" i="5"/>
  <c r="I3247" i="5"/>
  <c r="I3248" i="5"/>
  <c r="I3249" i="5"/>
  <c r="I3250" i="5"/>
  <c r="I3251" i="5"/>
  <c r="I3252" i="5"/>
  <c r="I3253" i="5"/>
  <c r="I3254" i="5"/>
  <c r="I3255" i="5"/>
  <c r="I3256" i="5"/>
  <c r="I3257" i="5"/>
  <c r="I3258" i="5"/>
  <c r="I3259" i="5"/>
  <c r="I3260" i="5"/>
  <c r="I3261" i="5"/>
  <c r="I3262" i="5"/>
  <c r="I3263" i="5"/>
  <c r="I3264" i="5"/>
  <c r="I3265" i="5"/>
  <c r="I3266" i="5"/>
  <c r="I3267" i="5"/>
  <c r="I3268" i="5"/>
  <c r="I3269" i="5"/>
  <c r="I3270" i="5"/>
  <c r="I3271" i="5"/>
  <c r="I3272" i="5"/>
  <c r="I3273" i="5"/>
  <c r="I3274" i="5"/>
  <c r="I3275" i="5"/>
  <c r="I3276" i="5"/>
  <c r="I3277" i="5"/>
  <c r="I3278" i="5"/>
  <c r="I3279" i="5"/>
  <c r="I3280" i="5"/>
  <c r="I3281" i="5"/>
  <c r="I3282" i="5"/>
  <c r="I3283" i="5"/>
  <c r="I3284" i="5"/>
  <c r="I3285" i="5"/>
  <c r="I3286" i="5"/>
  <c r="I3287" i="5"/>
  <c r="I3288" i="5"/>
  <c r="I3289" i="5"/>
  <c r="I3290"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453" i="5"/>
  <c r="H454" i="5"/>
  <c r="H455" i="5"/>
  <c r="H456" i="5"/>
  <c r="H457" i="5"/>
  <c r="H458" i="5"/>
  <c r="H459" i="5"/>
  <c r="H460" i="5"/>
  <c r="H461" i="5"/>
  <c r="H462" i="5"/>
  <c r="H463" i="5"/>
  <c r="H464" i="5"/>
  <c r="H465" i="5"/>
  <c r="H466" i="5"/>
  <c r="H467" i="5"/>
  <c r="H468" i="5"/>
  <c r="H469" i="5"/>
  <c r="H470" i="5"/>
  <c r="H471" i="5"/>
  <c r="H472" i="5"/>
  <c r="H473" i="5"/>
  <c r="H474" i="5"/>
  <c r="H475" i="5"/>
  <c r="H476" i="5"/>
  <c r="H477" i="5"/>
  <c r="H478" i="5"/>
  <c r="H479" i="5"/>
  <c r="H480" i="5"/>
  <c r="H481" i="5"/>
  <c r="H482" i="5"/>
  <c r="H483" i="5"/>
  <c r="H484" i="5"/>
  <c r="H485" i="5"/>
  <c r="H486" i="5"/>
  <c r="H487" i="5"/>
  <c r="H488" i="5"/>
  <c r="H489" i="5"/>
  <c r="H490" i="5"/>
  <c r="H491" i="5"/>
  <c r="H492" i="5"/>
  <c r="H493" i="5"/>
  <c r="H494" i="5"/>
  <c r="H495" i="5"/>
  <c r="H496" i="5"/>
  <c r="H497" i="5"/>
  <c r="H498" i="5"/>
  <c r="H499" i="5"/>
  <c r="H500" i="5"/>
  <c r="H501" i="5"/>
  <c r="H502" i="5"/>
  <c r="H503" i="5"/>
  <c r="H504" i="5"/>
  <c r="H505" i="5"/>
  <c r="H506" i="5"/>
  <c r="H507" i="5"/>
  <c r="H508" i="5"/>
  <c r="H509" i="5"/>
  <c r="H510" i="5"/>
  <c r="H511" i="5"/>
  <c r="H512" i="5"/>
  <c r="H513" i="5"/>
  <c r="H514" i="5"/>
  <c r="H515" i="5"/>
  <c r="H516" i="5"/>
  <c r="H517" i="5"/>
  <c r="H518" i="5"/>
  <c r="H519" i="5"/>
  <c r="H520" i="5"/>
  <c r="H521" i="5"/>
  <c r="H522" i="5"/>
  <c r="H523" i="5"/>
  <c r="H524" i="5"/>
  <c r="H525" i="5"/>
  <c r="H526" i="5"/>
  <c r="H527" i="5"/>
  <c r="H528" i="5"/>
  <c r="H529" i="5"/>
  <c r="H530" i="5"/>
  <c r="H531" i="5"/>
  <c r="H532" i="5"/>
  <c r="H533" i="5"/>
  <c r="H534" i="5"/>
  <c r="H535" i="5"/>
  <c r="H536" i="5"/>
  <c r="H537" i="5"/>
  <c r="H538" i="5"/>
  <c r="H539" i="5"/>
  <c r="H540" i="5"/>
  <c r="H541" i="5"/>
  <c r="H542" i="5"/>
  <c r="H543" i="5"/>
  <c r="H544" i="5"/>
  <c r="H545" i="5"/>
  <c r="H546" i="5"/>
  <c r="H547" i="5"/>
  <c r="H548" i="5"/>
  <c r="H549" i="5"/>
  <c r="H550" i="5"/>
  <c r="H551" i="5"/>
  <c r="H552" i="5"/>
  <c r="H553" i="5"/>
  <c r="H554" i="5"/>
  <c r="H555" i="5"/>
  <c r="H556" i="5"/>
  <c r="H557" i="5"/>
  <c r="H558" i="5"/>
  <c r="H559" i="5"/>
  <c r="H560" i="5"/>
  <c r="H561" i="5"/>
  <c r="H562" i="5"/>
  <c r="H563" i="5"/>
  <c r="H564" i="5"/>
  <c r="H565" i="5"/>
  <c r="H566" i="5"/>
  <c r="H567" i="5"/>
  <c r="H568" i="5"/>
  <c r="H569" i="5"/>
  <c r="H570" i="5"/>
  <c r="H571" i="5"/>
  <c r="H572" i="5"/>
  <c r="H573" i="5"/>
  <c r="H574" i="5"/>
  <c r="H575" i="5"/>
  <c r="H576" i="5"/>
  <c r="H577" i="5"/>
  <c r="H578" i="5"/>
  <c r="H579" i="5"/>
  <c r="H580" i="5"/>
  <c r="H581" i="5"/>
  <c r="H582" i="5"/>
  <c r="H583" i="5"/>
  <c r="H584" i="5"/>
  <c r="H585" i="5"/>
  <c r="H586" i="5"/>
  <c r="H587" i="5"/>
  <c r="H588" i="5"/>
  <c r="H589" i="5"/>
  <c r="H590" i="5"/>
  <c r="H591" i="5"/>
  <c r="H592" i="5"/>
  <c r="H593" i="5"/>
  <c r="H594" i="5"/>
  <c r="H595" i="5"/>
  <c r="H596" i="5"/>
  <c r="H597" i="5"/>
  <c r="H598" i="5"/>
  <c r="H599" i="5"/>
  <c r="H600" i="5"/>
  <c r="H601" i="5"/>
  <c r="H602" i="5"/>
  <c r="H603" i="5"/>
  <c r="H604" i="5"/>
  <c r="H605" i="5"/>
  <c r="H606" i="5"/>
  <c r="H607" i="5"/>
  <c r="H608" i="5"/>
  <c r="H609" i="5"/>
  <c r="H610" i="5"/>
  <c r="H611" i="5"/>
  <c r="H612" i="5"/>
  <c r="H613" i="5"/>
  <c r="H614" i="5"/>
  <c r="H615" i="5"/>
  <c r="H616" i="5"/>
  <c r="H617" i="5"/>
  <c r="H618" i="5"/>
  <c r="H619" i="5"/>
  <c r="H620" i="5"/>
  <c r="H621" i="5"/>
  <c r="H622" i="5"/>
  <c r="H623" i="5"/>
  <c r="H624" i="5"/>
  <c r="H625" i="5"/>
  <c r="H626" i="5"/>
  <c r="H627" i="5"/>
  <c r="H628" i="5"/>
  <c r="H629" i="5"/>
  <c r="H630" i="5"/>
  <c r="H631" i="5"/>
  <c r="H632" i="5"/>
  <c r="H633" i="5"/>
  <c r="H634" i="5"/>
  <c r="H635" i="5"/>
  <c r="H636" i="5"/>
  <c r="H637" i="5"/>
  <c r="H638" i="5"/>
  <c r="H639" i="5"/>
  <c r="H640" i="5"/>
  <c r="H641" i="5"/>
  <c r="H642" i="5"/>
  <c r="H643" i="5"/>
  <c r="H644" i="5"/>
  <c r="H645" i="5"/>
  <c r="H646" i="5"/>
  <c r="H647" i="5"/>
  <c r="H648" i="5"/>
  <c r="H649" i="5"/>
  <c r="H650" i="5"/>
  <c r="H651" i="5"/>
  <c r="H652" i="5"/>
  <c r="H653" i="5"/>
  <c r="H654" i="5"/>
  <c r="H655" i="5"/>
  <c r="H656" i="5"/>
  <c r="H657" i="5"/>
  <c r="H658" i="5"/>
  <c r="H659" i="5"/>
  <c r="H660" i="5"/>
  <c r="H661" i="5"/>
  <c r="H662" i="5"/>
  <c r="H663" i="5"/>
  <c r="H664" i="5"/>
  <c r="H665" i="5"/>
  <c r="H666" i="5"/>
  <c r="H667" i="5"/>
  <c r="H668" i="5"/>
  <c r="H669" i="5"/>
  <c r="H670" i="5"/>
  <c r="H671" i="5"/>
  <c r="H672" i="5"/>
  <c r="H673" i="5"/>
  <c r="H674" i="5"/>
  <c r="H675" i="5"/>
  <c r="H676" i="5"/>
  <c r="H677" i="5"/>
  <c r="H678" i="5"/>
  <c r="H679" i="5"/>
  <c r="H680" i="5"/>
  <c r="H681" i="5"/>
  <c r="H682" i="5"/>
  <c r="H683" i="5"/>
  <c r="H684" i="5"/>
  <c r="H685" i="5"/>
  <c r="H686" i="5"/>
  <c r="H687" i="5"/>
  <c r="H688" i="5"/>
  <c r="H689" i="5"/>
  <c r="H690" i="5"/>
  <c r="H691" i="5"/>
  <c r="H692" i="5"/>
  <c r="H693" i="5"/>
  <c r="H694" i="5"/>
  <c r="H695" i="5"/>
  <c r="H696" i="5"/>
  <c r="H697" i="5"/>
  <c r="H698" i="5"/>
  <c r="H699" i="5"/>
  <c r="H700" i="5"/>
  <c r="H701" i="5"/>
  <c r="H702" i="5"/>
  <c r="H703" i="5"/>
  <c r="H704" i="5"/>
  <c r="H705" i="5"/>
  <c r="H706" i="5"/>
  <c r="H707" i="5"/>
  <c r="H708" i="5"/>
  <c r="H709" i="5"/>
  <c r="H710" i="5"/>
  <c r="H711" i="5"/>
  <c r="H712" i="5"/>
  <c r="H713" i="5"/>
  <c r="H714" i="5"/>
  <c r="H715" i="5"/>
  <c r="H716" i="5"/>
  <c r="H717" i="5"/>
  <c r="H718" i="5"/>
  <c r="H719" i="5"/>
  <c r="H720" i="5"/>
  <c r="H721" i="5"/>
  <c r="H722" i="5"/>
  <c r="H723" i="5"/>
  <c r="H724" i="5"/>
  <c r="H725" i="5"/>
  <c r="H726" i="5"/>
  <c r="H727" i="5"/>
  <c r="H728" i="5"/>
  <c r="H729" i="5"/>
  <c r="H730" i="5"/>
  <c r="H731" i="5"/>
  <c r="H732" i="5"/>
  <c r="H733" i="5"/>
  <c r="H734" i="5"/>
  <c r="H735" i="5"/>
  <c r="H736" i="5"/>
  <c r="H737" i="5"/>
  <c r="H738" i="5"/>
  <c r="H739" i="5"/>
  <c r="H740" i="5"/>
  <c r="H741" i="5"/>
  <c r="H742" i="5"/>
  <c r="H743" i="5"/>
  <c r="H744" i="5"/>
  <c r="H745" i="5"/>
  <c r="H746" i="5"/>
  <c r="H747" i="5"/>
  <c r="H748" i="5"/>
  <c r="H749" i="5"/>
  <c r="H750" i="5"/>
  <c r="H751" i="5"/>
  <c r="H752" i="5"/>
  <c r="H753" i="5"/>
  <c r="H754" i="5"/>
  <c r="H755" i="5"/>
  <c r="H756" i="5"/>
  <c r="H757" i="5"/>
  <c r="H758" i="5"/>
  <c r="H759" i="5"/>
  <c r="H760" i="5"/>
  <c r="H761" i="5"/>
  <c r="H762" i="5"/>
  <c r="H763" i="5"/>
  <c r="H764" i="5"/>
  <c r="H765" i="5"/>
  <c r="H766" i="5"/>
  <c r="H767" i="5"/>
  <c r="H768" i="5"/>
  <c r="H769" i="5"/>
  <c r="H770" i="5"/>
  <c r="H771" i="5"/>
  <c r="H772" i="5"/>
  <c r="H773" i="5"/>
  <c r="H774" i="5"/>
  <c r="H775" i="5"/>
  <c r="H776" i="5"/>
  <c r="H777" i="5"/>
  <c r="H778" i="5"/>
  <c r="H779" i="5"/>
  <c r="H780" i="5"/>
  <c r="H781" i="5"/>
  <c r="H782" i="5"/>
  <c r="H783" i="5"/>
  <c r="H784" i="5"/>
  <c r="H785" i="5"/>
  <c r="H786" i="5"/>
  <c r="H787" i="5"/>
  <c r="H788" i="5"/>
  <c r="H789" i="5"/>
  <c r="H790" i="5"/>
  <c r="H791" i="5"/>
  <c r="H792" i="5"/>
  <c r="H793" i="5"/>
  <c r="H794" i="5"/>
  <c r="H795" i="5"/>
  <c r="H796" i="5"/>
  <c r="H797" i="5"/>
  <c r="H798" i="5"/>
  <c r="H799" i="5"/>
  <c r="H800" i="5"/>
  <c r="H801" i="5"/>
  <c r="H802" i="5"/>
  <c r="H803" i="5"/>
  <c r="H804" i="5"/>
  <c r="H805" i="5"/>
  <c r="H806" i="5"/>
  <c r="H807" i="5"/>
  <c r="H808" i="5"/>
  <c r="H809" i="5"/>
  <c r="H810" i="5"/>
  <c r="H811" i="5"/>
  <c r="H812" i="5"/>
  <c r="H813" i="5"/>
  <c r="H814" i="5"/>
  <c r="H815" i="5"/>
  <c r="H816" i="5"/>
  <c r="H817" i="5"/>
  <c r="H818" i="5"/>
  <c r="H819" i="5"/>
  <c r="H820" i="5"/>
  <c r="H821" i="5"/>
  <c r="H822" i="5"/>
  <c r="H823" i="5"/>
  <c r="H824" i="5"/>
  <c r="H825" i="5"/>
  <c r="H826" i="5"/>
  <c r="H827" i="5"/>
  <c r="H828" i="5"/>
  <c r="H829" i="5"/>
  <c r="H830" i="5"/>
  <c r="H831" i="5"/>
  <c r="H832" i="5"/>
  <c r="H833" i="5"/>
  <c r="H834" i="5"/>
  <c r="H835" i="5"/>
  <c r="H836" i="5"/>
  <c r="H837" i="5"/>
  <c r="H838" i="5"/>
  <c r="H839" i="5"/>
  <c r="H840" i="5"/>
  <c r="H841" i="5"/>
  <c r="H842" i="5"/>
  <c r="H843" i="5"/>
  <c r="H844" i="5"/>
  <c r="H845" i="5"/>
  <c r="H846" i="5"/>
  <c r="H847" i="5"/>
  <c r="H848" i="5"/>
  <c r="H849" i="5"/>
  <c r="H850" i="5"/>
  <c r="H851" i="5"/>
  <c r="H852" i="5"/>
  <c r="H853" i="5"/>
  <c r="H854" i="5"/>
  <c r="H855" i="5"/>
  <c r="H856" i="5"/>
  <c r="H857" i="5"/>
  <c r="H858" i="5"/>
  <c r="H859" i="5"/>
  <c r="H860" i="5"/>
  <c r="H861" i="5"/>
  <c r="H862" i="5"/>
  <c r="H863" i="5"/>
  <c r="H864" i="5"/>
  <c r="H865" i="5"/>
  <c r="H866" i="5"/>
  <c r="H867" i="5"/>
  <c r="H868" i="5"/>
  <c r="H869" i="5"/>
  <c r="H870" i="5"/>
  <c r="H871" i="5"/>
  <c r="H872" i="5"/>
  <c r="H873" i="5"/>
  <c r="H874" i="5"/>
  <c r="H875" i="5"/>
  <c r="H876" i="5"/>
  <c r="H877" i="5"/>
  <c r="H878" i="5"/>
  <c r="H879" i="5"/>
  <c r="H880" i="5"/>
  <c r="H881" i="5"/>
  <c r="H882" i="5"/>
  <c r="H883" i="5"/>
  <c r="H884" i="5"/>
  <c r="H885" i="5"/>
  <c r="H886" i="5"/>
  <c r="H887" i="5"/>
  <c r="H888" i="5"/>
  <c r="H889" i="5"/>
  <c r="H890" i="5"/>
  <c r="H891" i="5"/>
  <c r="H892" i="5"/>
  <c r="H893" i="5"/>
  <c r="H894" i="5"/>
  <c r="H895" i="5"/>
  <c r="H896" i="5"/>
  <c r="H897" i="5"/>
  <c r="H898" i="5"/>
  <c r="H899" i="5"/>
  <c r="H900" i="5"/>
  <c r="H901" i="5"/>
  <c r="H902" i="5"/>
  <c r="H903" i="5"/>
  <c r="H904" i="5"/>
  <c r="H905" i="5"/>
  <c r="H906" i="5"/>
  <c r="H907" i="5"/>
  <c r="H908" i="5"/>
  <c r="H909" i="5"/>
  <c r="H910" i="5"/>
  <c r="H911" i="5"/>
  <c r="H912" i="5"/>
  <c r="H913" i="5"/>
  <c r="H914" i="5"/>
  <c r="H915" i="5"/>
  <c r="H916" i="5"/>
  <c r="H917" i="5"/>
  <c r="H918" i="5"/>
  <c r="H919" i="5"/>
  <c r="H920" i="5"/>
  <c r="H921" i="5"/>
  <c r="H922" i="5"/>
  <c r="H923" i="5"/>
  <c r="H924" i="5"/>
  <c r="H925" i="5"/>
  <c r="H926" i="5"/>
  <c r="H927" i="5"/>
  <c r="H928" i="5"/>
  <c r="H929" i="5"/>
  <c r="H930" i="5"/>
  <c r="H931" i="5"/>
  <c r="H932" i="5"/>
  <c r="H933" i="5"/>
  <c r="H934" i="5"/>
  <c r="H935" i="5"/>
  <c r="H936" i="5"/>
  <c r="H937" i="5"/>
  <c r="H938" i="5"/>
  <c r="H939" i="5"/>
  <c r="H940" i="5"/>
  <c r="H941" i="5"/>
  <c r="H942" i="5"/>
  <c r="H943" i="5"/>
  <c r="H944" i="5"/>
  <c r="H945" i="5"/>
  <c r="H946" i="5"/>
  <c r="H947" i="5"/>
  <c r="H948" i="5"/>
  <c r="H949" i="5"/>
  <c r="H950" i="5"/>
  <c r="H951" i="5"/>
  <c r="H952" i="5"/>
  <c r="H953" i="5"/>
  <c r="H954" i="5"/>
  <c r="H955" i="5"/>
  <c r="H956" i="5"/>
  <c r="H957" i="5"/>
  <c r="H958" i="5"/>
  <c r="H959" i="5"/>
  <c r="H960" i="5"/>
  <c r="H961" i="5"/>
  <c r="H962" i="5"/>
  <c r="H963" i="5"/>
  <c r="H964" i="5"/>
  <c r="H965" i="5"/>
  <c r="H966" i="5"/>
  <c r="H967" i="5"/>
  <c r="H968" i="5"/>
  <c r="H969" i="5"/>
  <c r="H970" i="5"/>
  <c r="H971" i="5"/>
  <c r="H972" i="5"/>
  <c r="H973" i="5"/>
  <c r="H974" i="5"/>
  <c r="H975" i="5"/>
  <c r="H976" i="5"/>
  <c r="H977" i="5"/>
  <c r="H978" i="5"/>
  <c r="H979" i="5"/>
  <c r="H980" i="5"/>
  <c r="H981" i="5"/>
  <c r="H982" i="5"/>
  <c r="H983" i="5"/>
  <c r="H984" i="5"/>
  <c r="H985" i="5"/>
  <c r="H986" i="5"/>
  <c r="H987" i="5"/>
  <c r="H988" i="5"/>
  <c r="H989" i="5"/>
  <c r="H990" i="5"/>
  <c r="H991" i="5"/>
  <c r="H992" i="5"/>
  <c r="H993" i="5"/>
  <c r="H994" i="5"/>
  <c r="H995" i="5"/>
  <c r="H996" i="5"/>
  <c r="H997" i="5"/>
  <c r="H998" i="5"/>
  <c r="H999" i="5"/>
  <c r="H1000" i="5"/>
  <c r="H1001" i="5"/>
  <c r="H1002" i="5"/>
  <c r="H1003" i="5"/>
  <c r="H1004" i="5"/>
  <c r="H1005" i="5"/>
  <c r="H1006" i="5"/>
  <c r="H1007" i="5"/>
  <c r="H1008" i="5"/>
  <c r="H1009" i="5"/>
  <c r="H1010" i="5"/>
  <c r="H1011" i="5"/>
  <c r="H1012" i="5"/>
  <c r="H1013" i="5"/>
  <c r="H1014" i="5"/>
  <c r="H1015" i="5"/>
  <c r="H1016" i="5"/>
  <c r="H1017" i="5"/>
  <c r="H1018" i="5"/>
  <c r="H1019" i="5"/>
  <c r="H1020" i="5"/>
  <c r="H1021" i="5"/>
  <c r="H1022" i="5"/>
  <c r="H1023" i="5"/>
  <c r="H1024" i="5"/>
  <c r="H1025" i="5"/>
  <c r="H1026" i="5"/>
  <c r="H1027" i="5"/>
  <c r="H1028" i="5"/>
  <c r="H1029" i="5"/>
  <c r="H1030" i="5"/>
  <c r="H1031" i="5"/>
  <c r="H1032" i="5"/>
  <c r="H1033" i="5"/>
  <c r="H1034" i="5"/>
  <c r="H1035" i="5"/>
  <c r="H1036" i="5"/>
  <c r="H1037" i="5"/>
  <c r="H1038" i="5"/>
  <c r="H1039" i="5"/>
  <c r="H1040" i="5"/>
  <c r="H1041" i="5"/>
  <c r="H1042" i="5"/>
  <c r="H1043" i="5"/>
  <c r="H1044" i="5"/>
  <c r="H1045" i="5"/>
  <c r="H1046" i="5"/>
  <c r="H1047" i="5"/>
  <c r="H1048" i="5"/>
  <c r="H1049" i="5"/>
  <c r="H1050" i="5"/>
  <c r="H1051" i="5"/>
  <c r="H1052" i="5"/>
  <c r="H1053" i="5"/>
  <c r="H1054" i="5"/>
  <c r="H1055" i="5"/>
  <c r="H1056" i="5"/>
  <c r="H1057" i="5"/>
  <c r="H1058" i="5"/>
  <c r="H1059" i="5"/>
  <c r="H1060" i="5"/>
  <c r="H1061" i="5"/>
  <c r="H1062" i="5"/>
  <c r="H1063" i="5"/>
  <c r="H1064" i="5"/>
  <c r="H1065" i="5"/>
  <c r="H1066" i="5"/>
  <c r="H1067" i="5"/>
  <c r="H1068" i="5"/>
  <c r="H1069" i="5"/>
  <c r="H1070" i="5"/>
  <c r="H1071" i="5"/>
  <c r="H1072" i="5"/>
  <c r="H1073" i="5"/>
  <c r="H1074" i="5"/>
  <c r="H1075" i="5"/>
  <c r="H1076" i="5"/>
  <c r="H1077" i="5"/>
  <c r="H1078" i="5"/>
  <c r="H1079" i="5"/>
  <c r="H1080" i="5"/>
  <c r="H1081" i="5"/>
  <c r="H1082" i="5"/>
  <c r="H1083" i="5"/>
  <c r="H1084" i="5"/>
  <c r="H1085" i="5"/>
  <c r="H1086" i="5"/>
  <c r="H1087" i="5"/>
  <c r="H1088" i="5"/>
  <c r="H1089" i="5"/>
  <c r="H1090" i="5"/>
  <c r="H1091" i="5"/>
  <c r="H1092" i="5"/>
  <c r="H1093" i="5"/>
  <c r="H1094" i="5"/>
  <c r="H1095" i="5"/>
  <c r="H1096" i="5"/>
  <c r="H1097" i="5"/>
  <c r="H1098" i="5"/>
  <c r="H1099" i="5"/>
  <c r="H1100" i="5"/>
  <c r="H1101" i="5"/>
  <c r="H1102" i="5"/>
  <c r="H1103" i="5"/>
  <c r="H1104" i="5"/>
  <c r="H1105" i="5"/>
  <c r="H1106" i="5"/>
  <c r="H1107" i="5"/>
  <c r="H1108" i="5"/>
  <c r="H1109" i="5"/>
  <c r="H1110" i="5"/>
  <c r="H1111" i="5"/>
  <c r="H1112" i="5"/>
  <c r="H1113" i="5"/>
  <c r="H1114" i="5"/>
  <c r="H1115" i="5"/>
  <c r="H1116" i="5"/>
  <c r="H1117" i="5"/>
  <c r="H1118" i="5"/>
  <c r="H1119" i="5"/>
  <c r="H1120" i="5"/>
  <c r="H1121" i="5"/>
  <c r="H1122" i="5"/>
  <c r="H1123" i="5"/>
  <c r="H1124" i="5"/>
  <c r="H1125" i="5"/>
  <c r="H1126" i="5"/>
  <c r="H1127" i="5"/>
  <c r="H1128" i="5"/>
  <c r="H1129" i="5"/>
  <c r="H1130" i="5"/>
  <c r="H1131" i="5"/>
  <c r="H1132" i="5"/>
  <c r="H1133" i="5"/>
  <c r="H1134" i="5"/>
  <c r="H1135" i="5"/>
  <c r="H1136" i="5"/>
  <c r="H1137" i="5"/>
  <c r="H1138" i="5"/>
  <c r="H1139" i="5"/>
  <c r="H1140" i="5"/>
  <c r="H1141" i="5"/>
  <c r="H1142" i="5"/>
  <c r="H1143" i="5"/>
  <c r="H1144" i="5"/>
  <c r="H1145" i="5"/>
  <c r="H1146" i="5"/>
  <c r="H1147" i="5"/>
  <c r="H1148" i="5"/>
  <c r="H1149" i="5"/>
  <c r="H1150" i="5"/>
  <c r="H1151" i="5"/>
  <c r="H1152" i="5"/>
  <c r="H1153" i="5"/>
  <c r="H1154" i="5"/>
  <c r="H1155" i="5"/>
  <c r="H1156" i="5"/>
  <c r="H1157" i="5"/>
  <c r="H1158" i="5"/>
  <c r="H1159" i="5"/>
  <c r="H1160" i="5"/>
  <c r="H1161" i="5"/>
  <c r="H1162" i="5"/>
  <c r="H1163" i="5"/>
  <c r="H1164" i="5"/>
  <c r="H1165" i="5"/>
  <c r="H1166" i="5"/>
  <c r="H1167" i="5"/>
  <c r="H1168" i="5"/>
  <c r="H1169" i="5"/>
  <c r="H1170" i="5"/>
  <c r="H1171" i="5"/>
  <c r="H1172" i="5"/>
  <c r="H1173" i="5"/>
  <c r="H1174" i="5"/>
  <c r="H1175" i="5"/>
  <c r="H1176" i="5"/>
  <c r="H1177" i="5"/>
  <c r="H1178" i="5"/>
  <c r="H1179" i="5"/>
  <c r="H1180" i="5"/>
  <c r="H1181" i="5"/>
  <c r="H1182" i="5"/>
  <c r="H1183" i="5"/>
  <c r="H1184" i="5"/>
  <c r="H1185" i="5"/>
  <c r="H1186" i="5"/>
  <c r="H1187" i="5"/>
  <c r="H1188" i="5"/>
  <c r="H1189" i="5"/>
  <c r="H1190" i="5"/>
  <c r="H1191" i="5"/>
  <c r="H1192" i="5"/>
  <c r="H1193" i="5"/>
  <c r="H1194" i="5"/>
  <c r="H1195" i="5"/>
  <c r="H1196" i="5"/>
  <c r="H1197" i="5"/>
  <c r="H1198" i="5"/>
  <c r="H1199" i="5"/>
  <c r="H1200" i="5"/>
  <c r="H1201" i="5"/>
  <c r="H1202" i="5"/>
  <c r="H1203" i="5"/>
  <c r="H1204" i="5"/>
  <c r="H1205" i="5"/>
  <c r="H1206" i="5"/>
  <c r="H1207" i="5"/>
  <c r="H1208" i="5"/>
  <c r="H1209" i="5"/>
  <c r="H1210" i="5"/>
  <c r="H1211" i="5"/>
  <c r="H1212" i="5"/>
  <c r="H1213" i="5"/>
  <c r="H1214" i="5"/>
  <c r="H1215" i="5"/>
  <c r="H1216" i="5"/>
  <c r="H1217" i="5"/>
  <c r="H1218" i="5"/>
  <c r="H1219" i="5"/>
  <c r="H1220" i="5"/>
  <c r="H1221" i="5"/>
  <c r="H1222" i="5"/>
  <c r="H1223" i="5"/>
  <c r="H1224" i="5"/>
  <c r="H1225" i="5"/>
  <c r="H1226" i="5"/>
  <c r="H1227" i="5"/>
  <c r="H1228" i="5"/>
  <c r="H1229" i="5"/>
  <c r="H1230" i="5"/>
  <c r="H1231" i="5"/>
  <c r="H1232" i="5"/>
  <c r="H1233" i="5"/>
  <c r="H1234" i="5"/>
  <c r="H1235" i="5"/>
  <c r="H1236" i="5"/>
  <c r="H1237" i="5"/>
  <c r="H1238" i="5"/>
  <c r="H1239" i="5"/>
  <c r="H1240" i="5"/>
  <c r="H1241" i="5"/>
  <c r="H1242" i="5"/>
  <c r="H1243" i="5"/>
  <c r="H1244" i="5"/>
  <c r="H1245" i="5"/>
  <c r="H1246" i="5"/>
  <c r="H1247" i="5"/>
  <c r="H1248" i="5"/>
  <c r="H1249" i="5"/>
  <c r="H1250" i="5"/>
  <c r="H1251" i="5"/>
  <c r="H1252" i="5"/>
  <c r="H1253" i="5"/>
  <c r="H1254" i="5"/>
  <c r="H1255" i="5"/>
  <c r="H1256" i="5"/>
  <c r="H1257" i="5"/>
  <c r="H1258" i="5"/>
  <c r="H1259" i="5"/>
  <c r="H1260" i="5"/>
  <c r="H1261" i="5"/>
  <c r="H1262" i="5"/>
  <c r="H1263" i="5"/>
  <c r="H1264" i="5"/>
  <c r="H1265" i="5"/>
  <c r="H1266" i="5"/>
  <c r="H1267" i="5"/>
  <c r="H1268" i="5"/>
  <c r="H1269" i="5"/>
  <c r="H1270" i="5"/>
  <c r="H1271" i="5"/>
  <c r="H1272" i="5"/>
  <c r="H1273" i="5"/>
  <c r="H1274" i="5"/>
  <c r="H1275" i="5"/>
  <c r="H1276" i="5"/>
  <c r="H1277" i="5"/>
  <c r="H1278" i="5"/>
  <c r="H1279" i="5"/>
  <c r="H1280" i="5"/>
  <c r="H1281" i="5"/>
  <c r="H1282" i="5"/>
  <c r="H1283" i="5"/>
  <c r="H1284" i="5"/>
  <c r="H1285" i="5"/>
  <c r="H1286" i="5"/>
  <c r="H1287" i="5"/>
  <c r="H1288" i="5"/>
  <c r="H1289" i="5"/>
  <c r="H1290" i="5"/>
  <c r="H1291" i="5"/>
  <c r="H1292" i="5"/>
  <c r="H1293" i="5"/>
  <c r="H1294" i="5"/>
  <c r="H1295" i="5"/>
  <c r="H1296" i="5"/>
  <c r="H1297" i="5"/>
  <c r="H1298" i="5"/>
  <c r="H1299" i="5"/>
  <c r="H1300" i="5"/>
  <c r="H1301" i="5"/>
  <c r="H1302" i="5"/>
  <c r="H1303" i="5"/>
  <c r="H1304" i="5"/>
  <c r="H1305" i="5"/>
  <c r="H1306" i="5"/>
  <c r="H1307" i="5"/>
  <c r="H1308" i="5"/>
  <c r="H1309" i="5"/>
  <c r="H1310" i="5"/>
  <c r="H1311" i="5"/>
  <c r="H1312" i="5"/>
  <c r="H1313" i="5"/>
  <c r="H1314" i="5"/>
  <c r="H1315" i="5"/>
  <c r="H1316" i="5"/>
  <c r="H1317" i="5"/>
  <c r="H1318" i="5"/>
  <c r="H1319" i="5"/>
  <c r="H1320" i="5"/>
  <c r="H1321" i="5"/>
  <c r="H1322" i="5"/>
  <c r="H1323" i="5"/>
  <c r="H1324" i="5"/>
  <c r="H1325" i="5"/>
  <c r="H1326" i="5"/>
  <c r="H1327" i="5"/>
  <c r="H1328" i="5"/>
  <c r="H1329" i="5"/>
  <c r="H1330" i="5"/>
  <c r="H1331" i="5"/>
  <c r="H1332" i="5"/>
  <c r="H1333" i="5"/>
  <c r="H1334" i="5"/>
  <c r="H1335" i="5"/>
  <c r="H1336" i="5"/>
  <c r="H1337" i="5"/>
  <c r="H1338" i="5"/>
  <c r="H1339" i="5"/>
  <c r="H1340" i="5"/>
  <c r="H1341" i="5"/>
  <c r="H1342" i="5"/>
  <c r="H1343" i="5"/>
  <c r="H1344" i="5"/>
  <c r="H1345" i="5"/>
  <c r="H1346" i="5"/>
  <c r="H1347" i="5"/>
  <c r="H1348" i="5"/>
  <c r="H1349" i="5"/>
  <c r="H1350" i="5"/>
  <c r="H1351" i="5"/>
  <c r="H1352" i="5"/>
  <c r="H1353" i="5"/>
  <c r="H1354" i="5"/>
  <c r="H1355" i="5"/>
  <c r="H1356" i="5"/>
  <c r="H1357" i="5"/>
  <c r="H1358" i="5"/>
  <c r="H1359" i="5"/>
  <c r="H1360" i="5"/>
  <c r="H1361" i="5"/>
  <c r="H1362" i="5"/>
  <c r="H1363" i="5"/>
  <c r="H1364" i="5"/>
  <c r="H1365" i="5"/>
  <c r="H1366" i="5"/>
  <c r="H1367" i="5"/>
  <c r="H1368" i="5"/>
  <c r="H1369" i="5"/>
  <c r="H1370" i="5"/>
  <c r="H1371" i="5"/>
  <c r="H1372" i="5"/>
  <c r="H1373" i="5"/>
  <c r="H1374" i="5"/>
  <c r="H1375" i="5"/>
  <c r="H1376" i="5"/>
  <c r="H1377" i="5"/>
  <c r="H1378" i="5"/>
  <c r="H1379" i="5"/>
  <c r="H1380" i="5"/>
  <c r="H1381" i="5"/>
  <c r="H1382" i="5"/>
  <c r="H1383" i="5"/>
  <c r="H1384" i="5"/>
  <c r="H1385" i="5"/>
  <c r="H1386" i="5"/>
  <c r="H1387" i="5"/>
  <c r="H1388" i="5"/>
  <c r="H1389" i="5"/>
  <c r="H1390" i="5"/>
  <c r="H1391" i="5"/>
  <c r="H1392" i="5"/>
  <c r="H1393" i="5"/>
  <c r="H1394" i="5"/>
  <c r="H1395" i="5"/>
  <c r="H1396" i="5"/>
  <c r="H1397" i="5"/>
  <c r="H1398" i="5"/>
  <c r="H1399" i="5"/>
  <c r="H1400" i="5"/>
  <c r="H1401" i="5"/>
  <c r="H1402" i="5"/>
  <c r="H1403" i="5"/>
  <c r="H1404" i="5"/>
  <c r="H1405" i="5"/>
  <c r="H1406" i="5"/>
  <c r="H1407" i="5"/>
  <c r="H1408" i="5"/>
  <c r="H1409" i="5"/>
  <c r="H1410" i="5"/>
  <c r="H1411" i="5"/>
  <c r="H1412" i="5"/>
  <c r="H1413" i="5"/>
  <c r="H1414" i="5"/>
  <c r="H1415" i="5"/>
  <c r="H1416" i="5"/>
  <c r="H1417" i="5"/>
  <c r="H1418" i="5"/>
  <c r="H1419" i="5"/>
  <c r="H1420" i="5"/>
  <c r="H1421" i="5"/>
  <c r="H1422" i="5"/>
  <c r="H1423" i="5"/>
  <c r="H1424" i="5"/>
  <c r="H1425" i="5"/>
  <c r="H1426" i="5"/>
  <c r="H1427" i="5"/>
  <c r="H1428" i="5"/>
  <c r="H1429" i="5"/>
  <c r="H1430" i="5"/>
  <c r="H1431" i="5"/>
  <c r="H1432" i="5"/>
  <c r="H1433" i="5"/>
  <c r="H1434" i="5"/>
  <c r="H1435" i="5"/>
  <c r="H1436" i="5"/>
  <c r="H1437" i="5"/>
  <c r="H1438" i="5"/>
  <c r="H1439" i="5"/>
  <c r="H1440" i="5"/>
  <c r="H1441" i="5"/>
  <c r="H1442" i="5"/>
  <c r="H1443" i="5"/>
  <c r="H1444" i="5"/>
  <c r="H1445" i="5"/>
  <c r="H1446" i="5"/>
  <c r="H1447" i="5"/>
  <c r="H1448" i="5"/>
  <c r="H1449" i="5"/>
  <c r="H1450" i="5"/>
  <c r="H1451" i="5"/>
  <c r="H1452" i="5"/>
  <c r="H1453" i="5"/>
  <c r="H1454" i="5"/>
  <c r="H1455" i="5"/>
  <c r="H1456" i="5"/>
  <c r="H1457" i="5"/>
  <c r="H1458" i="5"/>
  <c r="H1459" i="5"/>
  <c r="H1460" i="5"/>
  <c r="H1461" i="5"/>
  <c r="H1462" i="5"/>
  <c r="H1463" i="5"/>
  <c r="H1464" i="5"/>
  <c r="H1465" i="5"/>
  <c r="H1466" i="5"/>
  <c r="H1467" i="5"/>
  <c r="H1468" i="5"/>
  <c r="H1469" i="5"/>
  <c r="H1470" i="5"/>
  <c r="H1471" i="5"/>
  <c r="H1472" i="5"/>
  <c r="H1473" i="5"/>
  <c r="H1474" i="5"/>
  <c r="H1475" i="5"/>
  <c r="H1476" i="5"/>
  <c r="H1477" i="5"/>
  <c r="H1478" i="5"/>
  <c r="H1479" i="5"/>
  <c r="H1480" i="5"/>
  <c r="H1481" i="5"/>
  <c r="H1482" i="5"/>
  <c r="H1483" i="5"/>
  <c r="H1484" i="5"/>
  <c r="H1485" i="5"/>
  <c r="H1486" i="5"/>
  <c r="H1487" i="5"/>
  <c r="H1488" i="5"/>
  <c r="H1489" i="5"/>
  <c r="H1490" i="5"/>
  <c r="H1491" i="5"/>
  <c r="H1492" i="5"/>
  <c r="H1493" i="5"/>
  <c r="H1494" i="5"/>
  <c r="H1495" i="5"/>
  <c r="H1496" i="5"/>
  <c r="H1497" i="5"/>
  <c r="H1498" i="5"/>
  <c r="H1499" i="5"/>
  <c r="H1500" i="5"/>
  <c r="H1501" i="5"/>
  <c r="H1502" i="5"/>
  <c r="H1503" i="5"/>
  <c r="H1504" i="5"/>
  <c r="H1505" i="5"/>
  <c r="H1506" i="5"/>
  <c r="H1507" i="5"/>
  <c r="H1508" i="5"/>
  <c r="H1509" i="5"/>
  <c r="H1510" i="5"/>
  <c r="H1511" i="5"/>
  <c r="H1512" i="5"/>
  <c r="H1513" i="5"/>
  <c r="H1514" i="5"/>
  <c r="H1515" i="5"/>
  <c r="H1516" i="5"/>
  <c r="H1517" i="5"/>
  <c r="H1518" i="5"/>
  <c r="H1519" i="5"/>
  <c r="H1520" i="5"/>
  <c r="H1521" i="5"/>
  <c r="H1522" i="5"/>
  <c r="H1523" i="5"/>
  <c r="H1524" i="5"/>
  <c r="H1525" i="5"/>
  <c r="H1526" i="5"/>
  <c r="H1527" i="5"/>
  <c r="H1528" i="5"/>
  <c r="H1529" i="5"/>
  <c r="H1530" i="5"/>
  <c r="H1531" i="5"/>
  <c r="H1532" i="5"/>
  <c r="H1533" i="5"/>
  <c r="H1534" i="5"/>
  <c r="H1535" i="5"/>
  <c r="H1536" i="5"/>
  <c r="H1537" i="5"/>
  <c r="H1538" i="5"/>
  <c r="H1539" i="5"/>
  <c r="H1540" i="5"/>
  <c r="H1541" i="5"/>
  <c r="H1542" i="5"/>
  <c r="H1543" i="5"/>
  <c r="H1544" i="5"/>
  <c r="H1545" i="5"/>
  <c r="H1546" i="5"/>
  <c r="H1547" i="5"/>
  <c r="H1548" i="5"/>
  <c r="H1549" i="5"/>
  <c r="H1550" i="5"/>
  <c r="H1551" i="5"/>
  <c r="H1552" i="5"/>
  <c r="H1553" i="5"/>
  <c r="H1554" i="5"/>
  <c r="H1555" i="5"/>
  <c r="H1556" i="5"/>
  <c r="H1557" i="5"/>
  <c r="H1558" i="5"/>
  <c r="H1559" i="5"/>
  <c r="H1560" i="5"/>
  <c r="H1561" i="5"/>
  <c r="H1562" i="5"/>
  <c r="H1563" i="5"/>
  <c r="H1564" i="5"/>
  <c r="H1565" i="5"/>
  <c r="H1566" i="5"/>
  <c r="H1567" i="5"/>
  <c r="H1568" i="5"/>
  <c r="H1569" i="5"/>
  <c r="H1570" i="5"/>
  <c r="H1571" i="5"/>
  <c r="H1572" i="5"/>
  <c r="H1573" i="5"/>
  <c r="H1574" i="5"/>
  <c r="H1575" i="5"/>
  <c r="H1576" i="5"/>
  <c r="H1577" i="5"/>
  <c r="H1578" i="5"/>
  <c r="H1579" i="5"/>
  <c r="H1580" i="5"/>
  <c r="H1581" i="5"/>
  <c r="H1582" i="5"/>
  <c r="H1583" i="5"/>
  <c r="H1584" i="5"/>
  <c r="H1585" i="5"/>
  <c r="H1586" i="5"/>
  <c r="H1587" i="5"/>
  <c r="H1588" i="5"/>
  <c r="H1589" i="5"/>
  <c r="H1590" i="5"/>
  <c r="H1591" i="5"/>
  <c r="H1592" i="5"/>
  <c r="H1593" i="5"/>
  <c r="H1594" i="5"/>
  <c r="H1595" i="5"/>
  <c r="H1596" i="5"/>
  <c r="H1597" i="5"/>
  <c r="H1598" i="5"/>
  <c r="H1599" i="5"/>
  <c r="H1600" i="5"/>
  <c r="H1601" i="5"/>
  <c r="H1602" i="5"/>
  <c r="H1603" i="5"/>
  <c r="H1604" i="5"/>
  <c r="H1605" i="5"/>
  <c r="H1606" i="5"/>
  <c r="H1607" i="5"/>
  <c r="H1608" i="5"/>
  <c r="H1609" i="5"/>
  <c r="H1610" i="5"/>
  <c r="H1611" i="5"/>
  <c r="H1612" i="5"/>
  <c r="H1613" i="5"/>
  <c r="H1614" i="5"/>
  <c r="H1615" i="5"/>
  <c r="H1616" i="5"/>
  <c r="H1617" i="5"/>
  <c r="H1618" i="5"/>
  <c r="H1619" i="5"/>
  <c r="H1620" i="5"/>
  <c r="H1621" i="5"/>
  <c r="H1622" i="5"/>
  <c r="H1623" i="5"/>
  <c r="H1624" i="5"/>
  <c r="H1625" i="5"/>
  <c r="H1626" i="5"/>
  <c r="H1627" i="5"/>
  <c r="H1628" i="5"/>
  <c r="H1629" i="5"/>
  <c r="H1630" i="5"/>
  <c r="H1631" i="5"/>
  <c r="H1632" i="5"/>
  <c r="H1633" i="5"/>
  <c r="H1634" i="5"/>
  <c r="H1635" i="5"/>
  <c r="H1636" i="5"/>
  <c r="H1637" i="5"/>
  <c r="H1638" i="5"/>
  <c r="H1639" i="5"/>
  <c r="H1640" i="5"/>
  <c r="H1641" i="5"/>
  <c r="H1642" i="5"/>
  <c r="H1643" i="5"/>
  <c r="H1644" i="5"/>
  <c r="H1645" i="5"/>
  <c r="H1646" i="5"/>
  <c r="H1647" i="5"/>
  <c r="H1648" i="5"/>
  <c r="H1649" i="5"/>
  <c r="H1650" i="5"/>
  <c r="H1651" i="5"/>
  <c r="H1652" i="5"/>
  <c r="H1653" i="5"/>
  <c r="H1654" i="5"/>
  <c r="H1655" i="5"/>
  <c r="H1656" i="5"/>
  <c r="H1657" i="5"/>
  <c r="H1658" i="5"/>
  <c r="H1659" i="5"/>
  <c r="H1660" i="5"/>
  <c r="H1661" i="5"/>
  <c r="H1662" i="5"/>
  <c r="H1663" i="5"/>
  <c r="H1664" i="5"/>
  <c r="H1665" i="5"/>
  <c r="H1666" i="5"/>
  <c r="H1667" i="5"/>
  <c r="H1668" i="5"/>
  <c r="H1669" i="5"/>
  <c r="H1670" i="5"/>
  <c r="H1671" i="5"/>
  <c r="H1672" i="5"/>
  <c r="H1673" i="5"/>
  <c r="H1674" i="5"/>
  <c r="H1675" i="5"/>
  <c r="H1676" i="5"/>
  <c r="H1677" i="5"/>
  <c r="H1678" i="5"/>
  <c r="H1679" i="5"/>
  <c r="H1680" i="5"/>
  <c r="H1681" i="5"/>
  <c r="H1682" i="5"/>
  <c r="H1683" i="5"/>
  <c r="H1684" i="5"/>
  <c r="H1685" i="5"/>
  <c r="H1686" i="5"/>
  <c r="H1687" i="5"/>
  <c r="H1688" i="5"/>
  <c r="H1689" i="5"/>
  <c r="H1690" i="5"/>
  <c r="H1691" i="5"/>
  <c r="H1692" i="5"/>
  <c r="H1693" i="5"/>
  <c r="H1694" i="5"/>
  <c r="H1695" i="5"/>
  <c r="H1696" i="5"/>
  <c r="H1697" i="5"/>
  <c r="H1698" i="5"/>
  <c r="H1699" i="5"/>
  <c r="H1700" i="5"/>
  <c r="H1701" i="5"/>
  <c r="H1702" i="5"/>
  <c r="H1703" i="5"/>
  <c r="H1704" i="5"/>
  <c r="H1705" i="5"/>
  <c r="H1706" i="5"/>
  <c r="H1707" i="5"/>
  <c r="H1708" i="5"/>
  <c r="H1709" i="5"/>
  <c r="H1710" i="5"/>
  <c r="H1711" i="5"/>
  <c r="H1712" i="5"/>
  <c r="H1713" i="5"/>
  <c r="H1714" i="5"/>
  <c r="H1715" i="5"/>
  <c r="H1716" i="5"/>
  <c r="H1717" i="5"/>
  <c r="H1718" i="5"/>
  <c r="H1719" i="5"/>
  <c r="H1720" i="5"/>
  <c r="H1721" i="5"/>
  <c r="H1722" i="5"/>
  <c r="H1723" i="5"/>
  <c r="H1724" i="5"/>
  <c r="H1725" i="5"/>
  <c r="H1726" i="5"/>
  <c r="H1727" i="5"/>
  <c r="H1728" i="5"/>
  <c r="H1729" i="5"/>
  <c r="H1730" i="5"/>
  <c r="H1731" i="5"/>
  <c r="H1732" i="5"/>
  <c r="H1733" i="5"/>
  <c r="H1734" i="5"/>
  <c r="H1735" i="5"/>
  <c r="H1736" i="5"/>
  <c r="H1737" i="5"/>
  <c r="H1738" i="5"/>
  <c r="H1739" i="5"/>
  <c r="H1740" i="5"/>
  <c r="H1741" i="5"/>
  <c r="H1742" i="5"/>
  <c r="H1743" i="5"/>
  <c r="H1744" i="5"/>
  <c r="H1745" i="5"/>
  <c r="H1746" i="5"/>
  <c r="H1747" i="5"/>
  <c r="H1748" i="5"/>
  <c r="H1749" i="5"/>
  <c r="H1750" i="5"/>
  <c r="H1751" i="5"/>
  <c r="H1752" i="5"/>
  <c r="H1753" i="5"/>
  <c r="H1754" i="5"/>
  <c r="H1755" i="5"/>
  <c r="H1756" i="5"/>
  <c r="H1757" i="5"/>
  <c r="H1758" i="5"/>
  <c r="H1759" i="5"/>
  <c r="H1760" i="5"/>
  <c r="H1761" i="5"/>
  <c r="H1762" i="5"/>
  <c r="H1763" i="5"/>
  <c r="H1764" i="5"/>
  <c r="H1765" i="5"/>
  <c r="H1766" i="5"/>
  <c r="H1767" i="5"/>
  <c r="H1768" i="5"/>
  <c r="H1769" i="5"/>
  <c r="H1770" i="5"/>
  <c r="H1771" i="5"/>
  <c r="H1772" i="5"/>
  <c r="H1773" i="5"/>
  <c r="H1774" i="5"/>
  <c r="H1775" i="5"/>
  <c r="H1776" i="5"/>
  <c r="H1777" i="5"/>
  <c r="H1778" i="5"/>
  <c r="H1779" i="5"/>
  <c r="H1780" i="5"/>
  <c r="H1781" i="5"/>
  <c r="H1782" i="5"/>
  <c r="H1783" i="5"/>
  <c r="H1784" i="5"/>
  <c r="H1785" i="5"/>
  <c r="H1786" i="5"/>
  <c r="H1787" i="5"/>
  <c r="H1788" i="5"/>
  <c r="H1789" i="5"/>
  <c r="H1790" i="5"/>
  <c r="H1791" i="5"/>
  <c r="H1792" i="5"/>
  <c r="H1793" i="5"/>
  <c r="H1794" i="5"/>
  <c r="H1795" i="5"/>
  <c r="H1796" i="5"/>
  <c r="H1797" i="5"/>
  <c r="H1798" i="5"/>
  <c r="H1799" i="5"/>
  <c r="H1800" i="5"/>
  <c r="H1801" i="5"/>
  <c r="H1802" i="5"/>
  <c r="H1803" i="5"/>
  <c r="H1804" i="5"/>
  <c r="H1805" i="5"/>
  <c r="H1806" i="5"/>
  <c r="H1807" i="5"/>
  <c r="H1808" i="5"/>
  <c r="H1809" i="5"/>
  <c r="H1810" i="5"/>
  <c r="H1811" i="5"/>
  <c r="H1812" i="5"/>
  <c r="H1813" i="5"/>
  <c r="H1814" i="5"/>
  <c r="H1815" i="5"/>
  <c r="H1816" i="5"/>
  <c r="H1817" i="5"/>
  <c r="H1818" i="5"/>
  <c r="H1819" i="5"/>
  <c r="H1820" i="5"/>
  <c r="H1821" i="5"/>
  <c r="H1822" i="5"/>
  <c r="H1823" i="5"/>
  <c r="H1824" i="5"/>
  <c r="H1825" i="5"/>
  <c r="H1826" i="5"/>
  <c r="H1827" i="5"/>
  <c r="H1828" i="5"/>
  <c r="H1829" i="5"/>
  <c r="H1830" i="5"/>
  <c r="H1831" i="5"/>
  <c r="H1832" i="5"/>
  <c r="H1833" i="5"/>
  <c r="H1834" i="5"/>
  <c r="H1835" i="5"/>
  <c r="H1836" i="5"/>
  <c r="H1837" i="5"/>
  <c r="H1838" i="5"/>
  <c r="H1839" i="5"/>
  <c r="H1840" i="5"/>
  <c r="H1841" i="5"/>
  <c r="H1842" i="5"/>
  <c r="H1843" i="5"/>
  <c r="H1844" i="5"/>
  <c r="H1845" i="5"/>
  <c r="H1846" i="5"/>
  <c r="H1847" i="5"/>
  <c r="H1848" i="5"/>
  <c r="H1849" i="5"/>
  <c r="H1850" i="5"/>
  <c r="H1851" i="5"/>
  <c r="H1852" i="5"/>
  <c r="H1853" i="5"/>
  <c r="H1854" i="5"/>
  <c r="H1855" i="5"/>
  <c r="H1856" i="5"/>
  <c r="H1857" i="5"/>
  <c r="H1858" i="5"/>
  <c r="H1859" i="5"/>
  <c r="H1860" i="5"/>
  <c r="H1861" i="5"/>
  <c r="H1862" i="5"/>
  <c r="H1863" i="5"/>
  <c r="H1864" i="5"/>
  <c r="H1865" i="5"/>
  <c r="H1866" i="5"/>
  <c r="H1867" i="5"/>
  <c r="H1868" i="5"/>
  <c r="H1869" i="5"/>
  <c r="H1870" i="5"/>
  <c r="H1871" i="5"/>
  <c r="H1872" i="5"/>
  <c r="H1873" i="5"/>
  <c r="H1874" i="5"/>
  <c r="H1875" i="5"/>
  <c r="H1876" i="5"/>
  <c r="H1877" i="5"/>
  <c r="H1878" i="5"/>
  <c r="H1879" i="5"/>
  <c r="H1880" i="5"/>
  <c r="H1881" i="5"/>
  <c r="H1882" i="5"/>
  <c r="H1883" i="5"/>
  <c r="H1884" i="5"/>
  <c r="H1885" i="5"/>
  <c r="H1886" i="5"/>
  <c r="H1887" i="5"/>
  <c r="H1888" i="5"/>
  <c r="H1889" i="5"/>
  <c r="H1890" i="5"/>
  <c r="H1891" i="5"/>
  <c r="H1892" i="5"/>
  <c r="H1893" i="5"/>
  <c r="H1894" i="5"/>
  <c r="H1895" i="5"/>
  <c r="H1896" i="5"/>
  <c r="H1897" i="5"/>
  <c r="H1898" i="5"/>
  <c r="H1899" i="5"/>
  <c r="H1900" i="5"/>
  <c r="H1901" i="5"/>
  <c r="H1902" i="5"/>
  <c r="H1903" i="5"/>
  <c r="H1904" i="5"/>
  <c r="H1905" i="5"/>
  <c r="H1906" i="5"/>
  <c r="H1907" i="5"/>
  <c r="H1908" i="5"/>
  <c r="H1909" i="5"/>
  <c r="H1910" i="5"/>
  <c r="H1911" i="5"/>
  <c r="H1912" i="5"/>
  <c r="H1913" i="5"/>
  <c r="H1914" i="5"/>
  <c r="H1915" i="5"/>
  <c r="H1916" i="5"/>
  <c r="H1917" i="5"/>
  <c r="H1918" i="5"/>
  <c r="H1919" i="5"/>
  <c r="H1920" i="5"/>
  <c r="H1921" i="5"/>
  <c r="H1922" i="5"/>
  <c r="H1923" i="5"/>
  <c r="H1924" i="5"/>
  <c r="H1925" i="5"/>
  <c r="H1926" i="5"/>
  <c r="H1927" i="5"/>
  <c r="H1928" i="5"/>
  <c r="H1929" i="5"/>
  <c r="H1930" i="5"/>
  <c r="H1931" i="5"/>
  <c r="H1932" i="5"/>
  <c r="H1933" i="5"/>
  <c r="H1934" i="5"/>
  <c r="H1935" i="5"/>
  <c r="H1936" i="5"/>
  <c r="H1937" i="5"/>
  <c r="H1938" i="5"/>
  <c r="H1939" i="5"/>
  <c r="H1940" i="5"/>
  <c r="H1941" i="5"/>
  <c r="H1942" i="5"/>
  <c r="H1943" i="5"/>
  <c r="H1944" i="5"/>
  <c r="H1945" i="5"/>
  <c r="H1946" i="5"/>
  <c r="H1947" i="5"/>
  <c r="H1948" i="5"/>
  <c r="H1949" i="5"/>
  <c r="H1950" i="5"/>
  <c r="H1951" i="5"/>
  <c r="H1952" i="5"/>
  <c r="H1953" i="5"/>
  <c r="H1954" i="5"/>
  <c r="H1955" i="5"/>
  <c r="H1956" i="5"/>
  <c r="H1957" i="5"/>
  <c r="H1958" i="5"/>
  <c r="H1959" i="5"/>
  <c r="H1960" i="5"/>
  <c r="H1961" i="5"/>
  <c r="H1962" i="5"/>
  <c r="H1963" i="5"/>
  <c r="H1964" i="5"/>
  <c r="H1965" i="5"/>
  <c r="H1966" i="5"/>
  <c r="H1967" i="5"/>
  <c r="H1968" i="5"/>
  <c r="H1969" i="5"/>
  <c r="H1970" i="5"/>
  <c r="H1971" i="5"/>
  <c r="H1972" i="5"/>
  <c r="H1973" i="5"/>
  <c r="H1974" i="5"/>
  <c r="H1975" i="5"/>
  <c r="H1976" i="5"/>
  <c r="H1977" i="5"/>
  <c r="H1978" i="5"/>
  <c r="H1979" i="5"/>
  <c r="H1980" i="5"/>
  <c r="H1981" i="5"/>
  <c r="H1982" i="5"/>
  <c r="H1983" i="5"/>
  <c r="H1984" i="5"/>
  <c r="H1985" i="5"/>
  <c r="H1986" i="5"/>
  <c r="H1987" i="5"/>
  <c r="H1988" i="5"/>
  <c r="H1989" i="5"/>
  <c r="H1990" i="5"/>
  <c r="H1991" i="5"/>
  <c r="H1992" i="5"/>
  <c r="H1993" i="5"/>
  <c r="H1994" i="5"/>
  <c r="H1995" i="5"/>
  <c r="H1996" i="5"/>
  <c r="H1997" i="5"/>
  <c r="H1998" i="5"/>
  <c r="H1999" i="5"/>
  <c r="H2000" i="5"/>
  <c r="H2001" i="5"/>
  <c r="H2002" i="5"/>
  <c r="H2003" i="5"/>
  <c r="H2004" i="5"/>
  <c r="H2005" i="5"/>
  <c r="H2006" i="5"/>
  <c r="H2007" i="5"/>
  <c r="H2008" i="5"/>
  <c r="H2009" i="5"/>
  <c r="H2010" i="5"/>
  <c r="H2011" i="5"/>
  <c r="H2012" i="5"/>
  <c r="H2013" i="5"/>
  <c r="H2014" i="5"/>
  <c r="H2015" i="5"/>
  <c r="H2016" i="5"/>
  <c r="H2017" i="5"/>
  <c r="H2018" i="5"/>
  <c r="H2019" i="5"/>
  <c r="H2020" i="5"/>
  <c r="H2021" i="5"/>
  <c r="H2022" i="5"/>
  <c r="H2023" i="5"/>
  <c r="H2024" i="5"/>
  <c r="H2025" i="5"/>
  <c r="H2026" i="5"/>
  <c r="H2027" i="5"/>
  <c r="H2028" i="5"/>
  <c r="H2029" i="5"/>
  <c r="H2030" i="5"/>
  <c r="H2031" i="5"/>
  <c r="H2032" i="5"/>
  <c r="H2033" i="5"/>
  <c r="H2034" i="5"/>
  <c r="H2035" i="5"/>
  <c r="H2036" i="5"/>
  <c r="H2037" i="5"/>
  <c r="H2038" i="5"/>
  <c r="H2039" i="5"/>
  <c r="H2040" i="5"/>
  <c r="H2041" i="5"/>
  <c r="H2042" i="5"/>
  <c r="H2043" i="5"/>
  <c r="H2044" i="5"/>
  <c r="H2045" i="5"/>
  <c r="H2046" i="5"/>
  <c r="H2047" i="5"/>
  <c r="H2048" i="5"/>
  <c r="H2049" i="5"/>
  <c r="H2050" i="5"/>
  <c r="H2051" i="5"/>
  <c r="H2052" i="5"/>
  <c r="H2053" i="5"/>
  <c r="H2054" i="5"/>
  <c r="H2055" i="5"/>
  <c r="H2056" i="5"/>
  <c r="H2057" i="5"/>
  <c r="H2058" i="5"/>
  <c r="H2059" i="5"/>
  <c r="H2060" i="5"/>
  <c r="H2061" i="5"/>
  <c r="H2062" i="5"/>
  <c r="H2063" i="5"/>
  <c r="H2064" i="5"/>
  <c r="H2065" i="5"/>
  <c r="H2066" i="5"/>
  <c r="H2067" i="5"/>
  <c r="H2068" i="5"/>
  <c r="H2069" i="5"/>
  <c r="H2070" i="5"/>
  <c r="H2071" i="5"/>
  <c r="H2072" i="5"/>
  <c r="H2073" i="5"/>
  <c r="H2074" i="5"/>
  <c r="H2075" i="5"/>
  <c r="H2076" i="5"/>
  <c r="H2077" i="5"/>
  <c r="H2078" i="5"/>
  <c r="H2079" i="5"/>
  <c r="H2080" i="5"/>
  <c r="H2081" i="5"/>
  <c r="H2082" i="5"/>
  <c r="H2083" i="5"/>
  <c r="H2084" i="5"/>
  <c r="H2085" i="5"/>
  <c r="H2086" i="5"/>
  <c r="H2087" i="5"/>
  <c r="H2088" i="5"/>
  <c r="H2089" i="5"/>
  <c r="H2090" i="5"/>
  <c r="H2091" i="5"/>
  <c r="H2092" i="5"/>
  <c r="H2093" i="5"/>
  <c r="H2094" i="5"/>
  <c r="H2095" i="5"/>
  <c r="H2096" i="5"/>
  <c r="H2097" i="5"/>
  <c r="H2098" i="5"/>
  <c r="H2099" i="5"/>
  <c r="H2100" i="5"/>
  <c r="H2101" i="5"/>
  <c r="H2102" i="5"/>
  <c r="H2103" i="5"/>
  <c r="H2104" i="5"/>
  <c r="H2105" i="5"/>
  <c r="H2106" i="5"/>
  <c r="H2107" i="5"/>
  <c r="H2108" i="5"/>
  <c r="H2109" i="5"/>
  <c r="H2110" i="5"/>
  <c r="H2111" i="5"/>
  <c r="H2112" i="5"/>
  <c r="H2113" i="5"/>
  <c r="H2114" i="5"/>
  <c r="H2115" i="5"/>
  <c r="H2116" i="5"/>
  <c r="H2117" i="5"/>
  <c r="H2118" i="5"/>
  <c r="H2119" i="5"/>
  <c r="H2120" i="5"/>
  <c r="H2121" i="5"/>
  <c r="H2122" i="5"/>
  <c r="H2123" i="5"/>
  <c r="H2124" i="5"/>
  <c r="H2125" i="5"/>
  <c r="H2126" i="5"/>
  <c r="H2127" i="5"/>
  <c r="H2128" i="5"/>
  <c r="H2129" i="5"/>
  <c r="H2130" i="5"/>
  <c r="H2131" i="5"/>
  <c r="H2132" i="5"/>
  <c r="H2133" i="5"/>
  <c r="H2134" i="5"/>
  <c r="H2135" i="5"/>
  <c r="H2136" i="5"/>
  <c r="H2137" i="5"/>
  <c r="H2138" i="5"/>
  <c r="H2139" i="5"/>
  <c r="H2140" i="5"/>
  <c r="H2141" i="5"/>
  <c r="H2142" i="5"/>
  <c r="H2143" i="5"/>
  <c r="H2144" i="5"/>
  <c r="H2145" i="5"/>
  <c r="H2146" i="5"/>
  <c r="H2147" i="5"/>
  <c r="H2148" i="5"/>
  <c r="H2149" i="5"/>
  <c r="H2150" i="5"/>
  <c r="H2151" i="5"/>
  <c r="H2152" i="5"/>
  <c r="H2153" i="5"/>
  <c r="H2154" i="5"/>
  <c r="H2155" i="5"/>
  <c r="H2156" i="5"/>
  <c r="H2157" i="5"/>
  <c r="H2158" i="5"/>
  <c r="H2159" i="5"/>
  <c r="H2160" i="5"/>
  <c r="H2161" i="5"/>
  <c r="H2162" i="5"/>
  <c r="H2163" i="5"/>
  <c r="H2164" i="5"/>
  <c r="H2165" i="5"/>
  <c r="H2166" i="5"/>
  <c r="H2167" i="5"/>
  <c r="H2168" i="5"/>
  <c r="H2169" i="5"/>
  <c r="H2170" i="5"/>
  <c r="H2171" i="5"/>
  <c r="H2172" i="5"/>
  <c r="H2173" i="5"/>
  <c r="H2174" i="5"/>
  <c r="H2175" i="5"/>
  <c r="H2176" i="5"/>
  <c r="H2177" i="5"/>
  <c r="H2178" i="5"/>
  <c r="H2179" i="5"/>
  <c r="H2180" i="5"/>
  <c r="H2181" i="5"/>
  <c r="H2182" i="5"/>
  <c r="H2183" i="5"/>
  <c r="H2184" i="5"/>
  <c r="H2185" i="5"/>
  <c r="H2186" i="5"/>
  <c r="H2187" i="5"/>
  <c r="H2188" i="5"/>
  <c r="H2189" i="5"/>
  <c r="H2190" i="5"/>
  <c r="H2191" i="5"/>
  <c r="H2192" i="5"/>
  <c r="H2193" i="5"/>
  <c r="H2194" i="5"/>
  <c r="H2195" i="5"/>
  <c r="H2196" i="5"/>
  <c r="H2197" i="5"/>
  <c r="H2198" i="5"/>
  <c r="H2199" i="5"/>
  <c r="H2200" i="5"/>
  <c r="H2201" i="5"/>
  <c r="H2202" i="5"/>
  <c r="H2203" i="5"/>
  <c r="H2204" i="5"/>
  <c r="H2205" i="5"/>
  <c r="H2206" i="5"/>
  <c r="H2207" i="5"/>
  <c r="H2208" i="5"/>
  <c r="H2209" i="5"/>
  <c r="H2210" i="5"/>
  <c r="H2211" i="5"/>
  <c r="H2212" i="5"/>
  <c r="H2213" i="5"/>
  <c r="H2214" i="5"/>
  <c r="H2215" i="5"/>
  <c r="H2216" i="5"/>
  <c r="H2217" i="5"/>
  <c r="H2218" i="5"/>
  <c r="H2219" i="5"/>
  <c r="H2220" i="5"/>
  <c r="H2221" i="5"/>
  <c r="H2222" i="5"/>
  <c r="H2223" i="5"/>
  <c r="H2224" i="5"/>
  <c r="H2225" i="5"/>
  <c r="H2226" i="5"/>
  <c r="H2227" i="5"/>
  <c r="H2228" i="5"/>
  <c r="H2229" i="5"/>
  <c r="H2230" i="5"/>
  <c r="H2231" i="5"/>
  <c r="H2232" i="5"/>
  <c r="H2233" i="5"/>
  <c r="H2234" i="5"/>
  <c r="H2235" i="5"/>
  <c r="H2236" i="5"/>
  <c r="H2237" i="5"/>
  <c r="H2238" i="5"/>
  <c r="H2239" i="5"/>
  <c r="H2240" i="5"/>
  <c r="H2241" i="5"/>
  <c r="H2242" i="5"/>
  <c r="H2243" i="5"/>
  <c r="H2244" i="5"/>
  <c r="H2245" i="5"/>
  <c r="H2246" i="5"/>
  <c r="H2247" i="5"/>
  <c r="H2248" i="5"/>
  <c r="H2249" i="5"/>
  <c r="H2250" i="5"/>
  <c r="H2251" i="5"/>
  <c r="H2252" i="5"/>
  <c r="H2253" i="5"/>
  <c r="H2254" i="5"/>
  <c r="H2255" i="5"/>
  <c r="H2256" i="5"/>
  <c r="H2257" i="5"/>
  <c r="H2258" i="5"/>
  <c r="H2259" i="5"/>
  <c r="H2260" i="5"/>
  <c r="H2261" i="5"/>
  <c r="H2262" i="5"/>
  <c r="H2263" i="5"/>
  <c r="H2264" i="5"/>
  <c r="H2265" i="5"/>
  <c r="H2266" i="5"/>
  <c r="H2267" i="5"/>
  <c r="H2268" i="5"/>
  <c r="H2269" i="5"/>
  <c r="H2270" i="5"/>
  <c r="H2271" i="5"/>
  <c r="H2272" i="5"/>
  <c r="H2273" i="5"/>
  <c r="H2274" i="5"/>
  <c r="H2275" i="5"/>
  <c r="H2276" i="5"/>
  <c r="H2277" i="5"/>
  <c r="H2278" i="5"/>
  <c r="H2279" i="5"/>
  <c r="H2280" i="5"/>
  <c r="H2281" i="5"/>
  <c r="H2282" i="5"/>
  <c r="H2283" i="5"/>
  <c r="H2284" i="5"/>
  <c r="H2285" i="5"/>
  <c r="H2286" i="5"/>
  <c r="H2287" i="5"/>
  <c r="H2288" i="5"/>
  <c r="H2289" i="5"/>
  <c r="H2290" i="5"/>
  <c r="H2291" i="5"/>
  <c r="H2292" i="5"/>
  <c r="H2293" i="5"/>
  <c r="H2294" i="5"/>
  <c r="H2295" i="5"/>
  <c r="H2296" i="5"/>
  <c r="H2297" i="5"/>
  <c r="H2298" i="5"/>
  <c r="H2299" i="5"/>
  <c r="H2300" i="5"/>
  <c r="H2301" i="5"/>
  <c r="H2302" i="5"/>
  <c r="H2303" i="5"/>
  <c r="H2304" i="5"/>
  <c r="H2305" i="5"/>
  <c r="H2306" i="5"/>
  <c r="H2307" i="5"/>
  <c r="H2308" i="5"/>
  <c r="H2309" i="5"/>
  <c r="H2310" i="5"/>
  <c r="H2311" i="5"/>
  <c r="H2312" i="5"/>
  <c r="H2313" i="5"/>
  <c r="H2314" i="5"/>
  <c r="H2315" i="5"/>
  <c r="H2316" i="5"/>
  <c r="H2317" i="5"/>
  <c r="H2318" i="5"/>
  <c r="H2319" i="5"/>
  <c r="H2320" i="5"/>
  <c r="H2321" i="5"/>
  <c r="H2322" i="5"/>
  <c r="H2323" i="5"/>
  <c r="H2324" i="5"/>
  <c r="H2325" i="5"/>
  <c r="H2326" i="5"/>
  <c r="H2327" i="5"/>
  <c r="H2328" i="5"/>
  <c r="H2329" i="5"/>
  <c r="H2330" i="5"/>
  <c r="H2331" i="5"/>
  <c r="H2332" i="5"/>
  <c r="H2333" i="5"/>
  <c r="H2334" i="5"/>
  <c r="H2335" i="5"/>
  <c r="H2336" i="5"/>
  <c r="H2337" i="5"/>
  <c r="H2338" i="5"/>
  <c r="H2339" i="5"/>
  <c r="H2340" i="5"/>
  <c r="H2341" i="5"/>
  <c r="H2342" i="5"/>
  <c r="H2343" i="5"/>
  <c r="H2344" i="5"/>
  <c r="H2345" i="5"/>
  <c r="H2346" i="5"/>
  <c r="H2347" i="5"/>
  <c r="H2348" i="5"/>
  <c r="H2349" i="5"/>
  <c r="H2350" i="5"/>
  <c r="H2351" i="5"/>
  <c r="H2352" i="5"/>
  <c r="H2353" i="5"/>
  <c r="H2354" i="5"/>
  <c r="H2355" i="5"/>
  <c r="H2356" i="5"/>
  <c r="H2357" i="5"/>
  <c r="H2358" i="5"/>
  <c r="H2359" i="5"/>
  <c r="H2360" i="5"/>
  <c r="H2361" i="5"/>
  <c r="H2362" i="5"/>
  <c r="H2363" i="5"/>
  <c r="H2364" i="5"/>
  <c r="H2365" i="5"/>
  <c r="H2366" i="5"/>
  <c r="H2367" i="5"/>
  <c r="H2368" i="5"/>
  <c r="H2369" i="5"/>
  <c r="H2370" i="5"/>
  <c r="H2371" i="5"/>
  <c r="H2372" i="5"/>
  <c r="H2373" i="5"/>
  <c r="H2374" i="5"/>
  <c r="H2375" i="5"/>
  <c r="H2376" i="5"/>
  <c r="H2377" i="5"/>
  <c r="H2378" i="5"/>
  <c r="H2379" i="5"/>
  <c r="H2380" i="5"/>
  <c r="H2381" i="5"/>
  <c r="H2382" i="5"/>
  <c r="H2383" i="5"/>
  <c r="H2384" i="5"/>
  <c r="H2385" i="5"/>
  <c r="H2386" i="5"/>
  <c r="H2387" i="5"/>
  <c r="H2388" i="5"/>
  <c r="H2389" i="5"/>
  <c r="H2390" i="5"/>
  <c r="H2391" i="5"/>
  <c r="H2392" i="5"/>
  <c r="H2393" i="5"/>
  <c r="H2394" i="5"/>
  <c r="H2395" i="5"/>
  <c r="H2396" i="5"/>
  <c r="H2397" i="5"/>
  <c r="H2398" i="5"/>
  <c r="H2399" i="5"/>
  <c r="H2400" i="5"/>
  <c r="H2401" i="5"/>
  <c r="H2402" i="5"/>
  <c r="H2403" i="5"/>
  <c r="H2404" i="5"/>
  <c r="H2405" i="5"/>
  <c r="H2406" i="5"/>
  <c r="H2407" i="5"/>
  <c r="H2408" i="5"/>
  <c r="H2409" i="5"/>
  <c r="H2410" i="5"/>
  <c r="H2411" i="5"/>
  <c r="H2412" i="5"/>
  <c r="H2413" i="5"/>
  <c r="H2414" i="5"/>
  <c r="H2415" i="5"/>
  <c r="H2416" i="5"/>
  <c r="H2417" i="5"/>
  <c r="H2418" i="5"/>
  <c r="H2419" i="5"/>
  <c r="H2420" i="5"/>
  <c r="H2421" i="5"/>
  <c r="H2422" i="5"/>
  <c r="H2423" i="5"/>
  <c r="H2424" i="5"/>
  <c r="H2425" i="5"/>
  <c r="H2426" i="5"/>
  <c r="H2427" i="5"/>
  <c r="H2428" i="5"/>
  <c r="H2429" i="5"/>
  <c r="H2430" i="5"/>
  <c r="H2431" i="5"/>
  <c r="H2432" i="5"/>
  <c r="H2433" i="5"/>
  <c r="H2434" i="5"/>
  <c r="H2435" i="5"/>
  <c r="H2436" i="5"/>
  <c r="H2437" i="5"/>
  <c r="H2438" i="5"/>
  <c r="H2439" i="5"/>
  <c r="H2440" i="5"/>
  <c r="H2441" i="5"/>
  <c r="H2442" i="5"/>
  <c r="H2443" i="5"/>
  <c r="H2444" i="5"/>
  <c r="H2445" i="5"/>
  <c r="H2446" i="5"/>
  <c r="H2447" i="5"/>
  <c r="H2448" i="5"/>
  <c r="H2449" i="5"/>
  <c r="H2450" i="5"/>
  <c r="H2451" i="5"/>
  <c r="H2452" i="5"/>
  <c r="H2453" i="5"/>
  <c r="H2454" i="5"/>
  <c r="H2455" i="5"/>
  <c r="H2456" i="5"/>
  <c r="H2457" i="5"/>
  <c r="H2458" i="5"/>
  <c r="H2459" i="5"/>
  <c r="H2460" i="5"/>
  <c r="H2461" i="5"/>
  <c r="H2462" i="5"/>
  <c r="H2463" i="5"/>
  <c r="H2464" i="5"/>
  <c r="H2465" i="5"/>
  <c r="H2466" i="5"/>
  <c r="H2467" i="5"/>
  <c r="H2468" i="5"/>
  <c r="H2469" i="5"/>
  <c r="H2470" i="5"/>
  <c r="H2471" i="5"/>
  <c r="H2472" i="5"/>
  <c r="H2473" i="5"/>
  <c r="H2474" i="5"/>
  <c r="H2475" i="5"/>
  <c r="H2476" i="5"/>
  <c r="H2477" i="5"/>
  <c r="H2478" i="5"/>
  <c r="H2479" i="5"/>
  <c r="H2480" i="5"/>
  <c r="H2481" i="5"/>
  <c r="H2482" i="5"/>
  <c r="H2483" i="5"/>
  <c r="H2484" i="5"/>
  <c r="H2485" i="5"/>
  <c r="H2486" i="5"/>
  <c r="H2487" i="5"/>
  <c r="H2488" i="5"/>
  <c r="H2489" i="5"/>
  <c r="H2490" i="5"/>
  <c r="H2491" i="5"/>
  <c r="H2492" i="5"/>
  <c r="H2493" i="5"/>
  <c r="H2494" i="5"/>
  <c r="H2495" i="5"/>
  <c r="H2496" i="5"/>
  <c r="H2497" i="5"/>
  <c r="H2498" i="5"/>
  <c r="H2499" i="5"/>
  <c r="H2500" i="5"/>
  <c r="H2501" i="5"/>
  <c r="H2502" i="5"/>
  <c r="H2503" i="5"/>
  <c r="H2504" i="5"/>
  <c r="H2505" i="5"/>
  <c r="H2506" i="5"/>
  <c r="H2507" i="5"/>
  <c r="H2508" i="5"/>
  <c r="H2509" i="5"/>
  <c r="H2510" i="5"/>
  <c r="H2511" i="5"/>
  <c r="H2512" i="5"/>
  <c r="H2513" i="5"/>
  <c r="H2514" i="5"/>
  <c r="H2515" i="5"/>
  <c r="H2516" i="5"/>
  <c r="H2517" i="5"/>
  <c r="H2518" i="5"/>
  <c r="H2519" i="5"/>
  <c r="H2520" i="5"/>
  <c r="H2521" i="5"/>
  <c r="H2522" i="5"/>
  <c r="H2523" i="5"/>
  <c r="H2524" i="5"/>
  <c r="H2525" i="5"/>
  <c r="H2526" i="5"/>
  <c r="H2527" i="5"/>
  <c r="H2528" i="5"/>
  <c r="H2529" i="5"/>
  <c r="H2530" i="5"/>
  <c r="H2531" i="5"/>
  <c r="H2532" i="5"/>
  <c r="H2533" i="5"/>
  <c r="H2534" i="5"/>
  <c r="H2535" i="5"/>
  <c r="H2536" i="5"/>
  <c r="H2537" i="5"/>
  <c r="H2538" i="5"/>
  <c r="H2539" i="5"/>
  <c r="H2540" i="5"/>
  <c r="H2541" i="5"/>
  <c r="H2542" i="5"/>
  <c r="H2543" i="5"/>
  <c r="H2544" i="5"/>
  <c r="H2545" i="5"/>
  <c r="H2546" i="5"/>
  <c r="H2547" i="5"/>
  <c r="H2548" i="5"/>
  <c r="H2549" i="5"/>
  <c r="H2550" i="5"/>
  <c r="H2551" i="5"/>
  <c r="H2552" i="5"/>
  <c r="H2553" i="5"/>
  <c r="H2554" i="5"/>
  <c r="H2555" i="5"/>
  <c r="H2556" i="5"/>
  <c r="H2557" i="5"/>
  <c r="H2558" i="5"/>
  <c r="H2559" i="5"/>
  <c r="H2560" i="5"/>
  <c r="H2561" i="5"/>
  <c r="H2562" i="5"/>
  <c r="H2563" i="5"/>
  <c r="H2564" i="5"/>
  <c r="H2565" i="5"/>
  <c r="H2566" i="5"/>
  <c r="H2567" i="5"/>
  <c r="H2568" i="5"/>
  <c r="H2569" i="5"/>
  <c r="H2570" i="5"/>
  <c r="H2571" i="5"/>
  <c r="H2572" i="5"/>
  <c r="H2573" i="5"/>
  <c r="H2574" i="5"/>
  <c r="H2575" i="5"/>
  <c r="H2576" i="5"/>
  <c r="H2577" i="5"/>
  <c r="H2578" i="5"/>
  <c r="H2579" i="5"/>
  <c r="H2580" i="5"/>
  <c r="H2581" i="5"/>
  <c r="H2582" i="5"/>
  <c r="H2583" i="5"/>
  <c r="H2584" i="5"/>
  <c r="H2585" i="5"/>
  <c r="H2586" i="5"/>
  <c r="H2587" i="5"/>
  <c r="H2588" i="5"/>
  <c r="H2589" i="5"/>
  <c r="H2590" i="5"/>
  <c r="H2591" i="5"/>
  <c r="H2592" i="5"/>
  <c r="H2593" i="5"/>
  <c r="H2594" i="5"/>
  <c r="H2595" i="5"/>
  <c r="H2596" i="5"/>
  <c r="H2597" i="5"/>
  <c r="H2598" i="5"/>
  <c r="H2599" i="5"/>
  <c r="H2600" i="5"/>
  <c r="H2601" i="5"/>
  <c r="H2602" i="5"/>
  <c r="H2603" i="5"/>
  <c r="H2604" i="5"/>
  <c r="H2605" i="5"/>
  <c r="H2606" i="5"/>
  <c r="H2607" i="5"/>
  <c r="H2608" i="5"/>
  <c r="H2609" i="5"/>
  <c r="H2610" i="5"/>
  <c r="H2611" i="5"/>
  <c r="H2612" i="5"/>
  <c r="H2613" i="5"/>
  <c r="H2614" i="5"/>
  <c r="H2615" i="5"/>
  <c r="H2616" i="5"/>
  <c r="H2617" i="5"/>
  <c r="H2618" i="5"/>
  <c r="H2619" i="5"/>
  <c r="H2620" i="5"/>
  <c r="H2621" i="5"/>
  <c r="H2622" i="5"/>
  <c r="H2623" i="5"/>
  <c r="H2624" i="5"/>
  <c r="H2625" i="5"/>
  <c r="H2626" i="5"/>
  <c r="H2627" i="5"/>
  <c r="H2628" i="5"/>
  <c r="H2629" i="5"/>
  <c r="H2630" i="5"/>
  <c r="H2631" i="5"/>
  <c r="H2632" i="5"/>
  <c r="H2633" i="5"/>
  <c r="H2634" i="5"/>
  <c r="H2635" i="5"/>
  <c r="H2636" i="5"/>
  <c r="H2637" i="5"/>
  <c r="H2638" i="5"/>
  <c r="H2639" i="5"/>
  <c r="H2640" i="5"/>
  <c r="H2641" i="5"/>
  <c r="H2642" i="5"/>
  <c r="H2643" i="5"/>
  <c r="H2644" i="5"/>
  <c r="H2645" i="5"/>
  <c r="H2646" i="5"/>
  <c r="H2647" i="5"/>
  <c r="H2648" i="5"/>
  <c r="H2649" i="5"/>
  <c r="H2650" i="5"/>
  <c r="H2651" i="5"/>
  <c r="H2652" i="5"/>
  <c r="H2653" i="5"/>
  <c r="H2654" i="5"/>
  <c r="H2655" i="5"/>
  <c r="H2656" i="5"/>
  <c r="H2657" i="5"/>
  <c r="H2658" i="5"/>
  <c r="H2659" i="5"/>
  <c r="H2660" i="5"/>
  <c r="H2661" i="5"/>
  <c r="H2662" i="5"/>
  <c r="H2663" i="5"/>
  <c r="H2664" i="5"/>
  <c r="H2665" i="5"/>
  <c r="H2666" i="5"/>
  <c r="H2667" i="5"/>
  <c r="H2668" i="5"/>
  <c r="H2669" i="5"/>
  <c r="H2670" i="5"/>
  <c r="H2671" i="5"/>
  <c r="H2672" i="5"/>
  <c r="H2673" i="5"/>
  <c r="H2674" i="5"/>
  <c r="H2675" i="5"/>
  <c r="H2676" i="5"/>
  <c r="H2677" i="5"/>
  <c r="H2678" i="5"/>
  <c r="H2679" i="5"/>
  <c r="H2680" i="5"/>
  <c r="H2681" i="5"/>
  <c r="H2682" i="5"/>
  <c r="H2683" i="5"/>
  <c r="H2684" i="5"/>
  <c r="H2685" i="5"/>
  <c r="H2686" i="5"/>
  <c r="H2687" i="5"/>
  <c r="H2688" i="5"/>
  <c r="H2689" i="5"/>
  <c r="H2690" i="5"/>
  <c r="H2691" i="5"/>
  <c r="H2692" i="5"/>
  <c r="H2693" i="5"/>
  <c r="H2694" i="5"/>
  <c r="H2695" i="5"/>
  <c r="H2696" i="5"/>
  <c r="H2697" i="5"/>
  <c r="H2698" i="5"/>
  <c r="H2699" i="5"/>
  <c r="H2700" i="5"/>
  <c r="H2701" i="5"/>
  <c r="H2702" i="5"/>
  <c r="H2703" i="5"/>
  <c r="H2704" i="5"/>
  <c r="H2705" i="5"/>
  <c r="H2706" i="5"/>
  <c r="H2707" i="5"/>
  <c r="H2708" i="5"/>
  <c r="H2709" i="5"/>
  <c r="H2710" i="5"/>
  <c r="H2711" i="5"/>
  <c r="H2712" i="5"/>
  <c r="H2713" i="5"/>
  <c r="H2714" i="5"/>
  <c r="H2715" i="5"/>
  <c r="H2716" i="5"/>
  <c r="H2717" i="5"/>
  <c r="H2718" i="5"/>
  <c r="H2719" i="5"/>
  <c r="H2720" i="5"/>
  <c r="H2721" i="5"/>
  <c r="H2722" i="5"/>
  <c r="H2723" i="5"/>
  <c r="H2724" i="5"/>
  <c r="H2725" i="5"/>
  <c r="H2726" i="5"/>
  <c r="H2727" i="5"/>
  <c r="H2728" i="5"/>
  <c r="H2729" i="5"/>
  <c r="H2730" i="5"/>
  <c r="H2731" i="5"/>
  <c r="H2732" i="5"/>
  <c r="H2733" i="5"/>
  <c r="H2734" i="5"/>
  <c r="H2735" i="5"/>
  <c r="H2736" i="5"/>
  <c r="H2737" i="5"/>
  <c r="H2738" i="5"/>
  <c r="H2739" i="5"/>
  <c r="H2740" i="5"/>
  <c r="H2741" i="5"/>
  <c r="H2742" i="5"/>
  <c r="H2743" i="5"/>
  <c r="H2744" i="5"/>
  <c r="H2745" i="5"/>
  <c r="H2746" i="5"/>
  <c r="H2747" i="5"/>
  <c r="H2748" i="5"/>
  <c r="H2749" i="5"/>
  <c r="H2750" i="5"/>
  <c r="H2751" i="5"/>
  <c r="H2752" i="5"/>
  <c r="H2753" i="5"/>
  <c r="H2754" i="5"/>
  <c r="H2755" i="5"/>
  <c r="H2756" i="5"/>
  <c r="H2757" i="5"/>
  <c r="H2758" i="5"/>
  <c r="H2759" i="5"/>
  <c r="H2760" i="5"/>
  <c r="H2761" i="5"/>
  <c r="H2762" i="5"/>
  <c r="H2763" i="5"/>
  <c r="H2764" i="5"/>
  <c r="H2765" i="5"/>
  <c r="H2766" i="5"/>
  <c r="H2767" i="5"/>
  <c r="H2768" i="5"/>
  <c r="H2769" i="5"/>
  <c r="H2770" i="5"/>
  <c r="H2771" i="5"/>
  <c r="H2772" i="5"/>
  <c r="H2773" i="5"/>
  <c r="H2774" i="5"/>
  <c r="H2775" i="5"/>
  <c r="H2776" i="5"/>
  <c r="H2777" i="5"/>
  <c r="H2778" i="5"/>
  <c r="H2779" i="5"/>
  <c r="H2780" i="5"/>
  <c r="H2781" i="5"/>
  <c r="H2782" i="5"/>
  <c r="H2783" i="5"/>
  <c r="H2784" i="5"/>
  <c r="H2785" i="5"/>
  <c r="H2786" i="5"/>
  <c r="H2787" i="5"/>
  <c r="H2788" i="5"/>
  <c r="H2789" i="5"/>
  <c r="H2790" i="5"/>
  <c r="H2791" i="5"/>
  <c r="H2792" i="5"/>
  <c r="H2793" i="5"/>
  <c r="H2794" i="5"/>
  <c r="H2795" i="5"/>
  <c r="H2796" i="5"/>
  <c r="H2797" i="5"/>
  <c r="H2798" i="5"/>
  <c r="H2799" i="5"/>
  <c r="H2800" i="5"/>
  <c r="H2801" i="5"/>
  <c r="H2802" i="5"/>
  <c r="H2803" i="5"/>
  <c r="H2804" i="5"/>
  <c r="H2805" i="5"/>
  <c r="H2806" i="5"/>
  <c r="H2807" i="5"/>
  <c r="H2808" i="5"/>
  <c r="H2809" i="5"/>
  <c r="H2810" i="5"/>
  <c r="H2811" i="5"/>
  <c r="H2812" i="5"/>
  <c r="H2813" i="5"/>
  <c r="H2814" i="5"/>
  <c r="H2815" i="5"/>
  <c r="H2816" i="5"/>
  <c r="H2817" i="5"/>
  <c r="H2818" i="5"/>
  <c r="H2819" i="5"/>
  <c r="H2820" i="5"/>
  <c r="H2821" i="5"/>
  <c r="H2822" i="5"/>
  <c r="H2823" i="5"/>
  <c r="H2824" i="5"/>
  <c r="H2825" i="5"/>
  <c r="H2826" i="5"/>
  <c r="H2827" i="5"/>
  <c r="H2828" i="5"/>
  <c r="H2829" i="5"/>
  <c r="H2830" i="5"/>
  <c r="H2831" i="5"/>
  <c r="H2832" i="5"/>
  <c r="H2833" i="5"/>
  <c r="H2834" i="5"/>
  <c r="H2835" i="5"/>
  <c r="H2836" i="5"/>
  <c r="H2837" i="5"/>
  <c r="H2838" i="5"/>
  <c r="H2839" i="5"/>
  <c r="H2840" i="5"/>
  <c r="H2841" i="5"/>
  <c r="H2842" i="5"/>
  <c r="H2843" i="5"/>
  <c r="H2844" i="5"/>
  <c r="H2845" i="5"/>
  <c r="H2846" i="5"/>
  <c r="H2847" i="5"/>
  <c r="H2848" i="5"/>
  <c r="H2849" i="5"/>
  <c r="H2850" i="5"/>
  <c r="H2851" i="5"/>
  <c r="H2852" i="5"/>
  <c r="H2853" i="5"/>
  <c r="H2854" i="5"/>
  <c r="H2855" i="5"/>
  <c r="H2856" i="5"/>
  <c r="H2857" i="5"/>
  <c r="H2858" i="5"/>
  <c r="H2859" i="5"/>
  <c r="H2860" i="5"/>
  <c r="H2861" i="5"/>
  <c r="H2862" i="5"/>
  <c r="H2863" i="5"/>
  <c r="H2864" i="5"/>
  <c r="H2865" i="5"/>
  <c r="H2866" i="5"/>
  <c r="H2867" i="5"/>
  <c r="H2868" i="5"/>
  <c r="H2869" i="5"/>
  <c r="H2870" i="5"/>
  <c r="H2871" i="5"/>
  <c r="H2872" i="5"/>
  <c r="H2873" i="5"/>
  <c r="H2874" i="5"/>
  <c r="H2875" i="5"/>
  <c r="H2876" i="5"/>
  <c r="H2877" i="5"/>
  <c r="H2878" i="5"/>
  <c r="H2879" i="5"/>
  <c r="H2880" i="5"/>
  <c r="H2881" i="5"/>
  <c r="H2882" i="5"/>
  <c r="H2883" i="5"/>
  <c r="H2884" i="5"/>
  <c r="H2885" i="5"/>
  <c r="H2886" i="5"/>
  <c r="H2887" i="5"/>
  <c r="H2888" i="5"/>
  <c r="H2889" i="5"/>
  <c r="H2890" i="5"/>
  <c r="H2891" i="5"/>
  <c r="H2892" i="5"/>
  <c r="H2893" i="5"/>
  <c r="H2894" i="5"/>
  <c r="H2895" i="5"/>
  <c r="H2896" i="5"/>
  <c r="H2897" i="5"/>
  <c r="H2898" i="5"/>
  <c r="H2899" i="5"/>
  <c r="H2900" i="5"/>
  <c r="H2901" i="5"/>
  <c r="H2902" i="5"/>
  <c r="H2903" i="5"/>
  <c r="H2904" i="5"/>
  <c r="H2905" i="5"/>
  <c r="H2906" i="5"/>
  <c r="H2907" i="5"/>
  <c r="H2908" i="5"/>
  <c r="H2909" i="5"/>
  <c r="H2910" i="5"/>
  <c r="H2911" i="5"/>
  <c r="H2912" i="5"/>
  <c r="H2913" i="5"/>
  <c r="H2914" i="5"/>
  <c r="H2915" i="5"/>
  <c r="H2916" i="5"/>
  <c r="H2917" i="5"/>
  <c r="H2918" i="5"/>
  <c r="H2919" i="5"/>
  <c r="H2920" i="5"/>
  <c r="H2921" i="5"/>
  <c r="H2922" i="5"/>
  <c r="H2923" i="5"/>
  <c r="H2924" i="5"/>
  <c r="H2925" i="5"/>
  <c r="H2926" i="5"/>
  <c r="H2927" i="5"/>
  <c r="H2928" i="5"/>
  <c r="H2929" i="5"/>
  <c r="H2930" i="5"/>
  <c r="H2931" i="5"/>
  <c r="H2932" i="5"/>
  <c r="H2933" i="5"/>
  <c r="H2934" i="5"/>
  <c r="H2935" i="5"/>
  <c r="H2936" i="5"/>
  <c r="H2937" i="5"/>
  <c r="H2938" i="5"/>
  <c r="H2939" i="5"/>
  <c r="H2940" i="5"/>
  <c r="H2941" i="5"/>
  <c r="H2942" i="5"/>
  <c r="H2943" i="5"/>
  <c r="H2944" i="5"/>
  <c r="H2945" i="5"/>
  <c r="H2946" i="5"/>
  <c r="H2947" i="5"/>
  <c r="H2948" i="5"/>
  <c r="H2949" i="5"/>
  <c r="H2950" i="5"/>
  <c r="H2951" i="5"/>
  <c r="H2952" i="5"/>
  <c r="H2953" i="5"/>
  <c r="H2954" i="5"/>
  <c r="H2955" i="5"/>
  <c r="H2956" i="5"/>
  <c r="H2957" i="5"/>
  <c r="H2958" i="5"/>
  <c r="H2959" i="5"/>
  <c r="H2960" i="5"/>
  <c r="H2961" i="5"/>
  <c r="H2962" i="5"/>
  <c r="H2963" i="5"/>
  <c r="H2964" i="5"/>
  <c r="H2965" i="5"/>
  <c r="H2966" i="5"/>
  <c r="H2967" i="5"/>
  <c r="H2968" i="5"/>
  <c r="H2969" i="5"/>
  <c r="H2970" i="5"/>
  <c r="H2971" i="5"/>
  <c r="H2972" i="5"/>
  <c r="H2973" i="5"/>
  <c r="H2974" i="5"/>
  <c r="H2975" i="5"/>
  <c r="H2976" i="5"/>
  <c r="H2977" i="5"/>
  <c r="H2978" i="5"/>
  <c r="H2979" i="5"/>
  <c r="H2980" i="5"/>
  <c r="H2981" i="5"/>
  <c r="H2982" i="5"/>
  <c r="H2983" i="5"/>
  <c r="H2984" i="5"/>
  <c r="H2985" i="5"/>
  <c r="H2986" i="5"/>
  <c r="H2987" i="5"/>
  <c r="H2988" i="5"/>
  <c r="H2989" i="5"/>
  <c r="H2990" i="5"/>
  <c r="H2991" i="5"/>
  <c r="H2992" i="5"/>
  <c r="H2993" i="5"/>
  <c r="H2994" i="5"/>
  <c r="H2995" i="5"/>
  <c r="H2996" i="5"/>
  <c r="H2997" i="5"/>
  <c r="H2998" i="5"/>
  <c r="H2999" i="5"/>
  <c r="H3000" i="5"/>
  <c r="H3001" i="5"/>
  <c r="H3002" i="5"/>
  <c r="H3003" i="5"/>
  <c r="H3004" i="5"/>
  <c r="H3005" i="5"/>
  <c r="H3006" i="5"/>
  <c r="H3007" i="5"/>
  <c r="H3008" i="5"/>
  <c r="H3009" i="5"/>
  <c r="H3010" i="5"/>
  <c r="H3011" i="5"/>
  <c r="H3012" i="5"/>
  <c r="H3013" i="5"/>
  <c r="H3014" i="5"/>
  <c r="H3015" i="5"/>
  <c r="H3016" i="5"/>
  <c r="H3017" i="5"/>
  <c r="H3018" i="5"/>
  <c r="H3019" i="5"/>
  <c r="H3020" i="5"/>
  <c r="H3021" i="5"/>
  <c r="H3022" i="5"/>
  <c r="H3023" i="5"/>
  <c r="H3024" i="5"/>
  <c r="H3025" i="5"/>
  <c r="H3026" i="5"/>
  <c r="H3027" i="5"/>
  <c r="H3028" i="5"/>
  <c r="H3029" i="5"/>
  <c r="H3030" i="5"/>
  <c r="H3031" i="5"/>
  <c r="H3032" i="5"/>
  <c r="H3033" i="5"/>
  <c r="H3034" i="5"/>
  <c r="H3035" i="5"/>
  <c r="H3036" i="5"/>
  <c r="H3037" i="5"/>
  <c r="H3038" i="5"/>
  <c r="H3039" i="5"/>
  <c r="H3040" i="5"/>
  <c r="H3041" i="5"/>
  <c r="H3042" i="5"/>
  <c r="H3043" i="5"/>
  <c r="H3044" i="5"/>
  <c r="H3045" i="5"/>
  <c r="H3046" i="5"/>
  <c r="H3047" i="5"/>
  <c r="H3048" i="5"/>
  <c r="H3049" i="5"/>
  <c r="H3050" i="5"/>
  <c r="H3051" i="5"/>
  <c r="H3052" i="5"/>
  <c r="H3053" i="5"/>
  <c r="H3054" i="5"/>
  <c r="H3055" i="5"/>
  <c r="H3056" i="5"/>
  <c r="H3057" i="5"/>
  <c r="H3058" i="5"/>
  <c r="H3059" i="5"/>
  <c r="H3060" i="5"/>
  <c r="H3061" i="5"/>
  <c r="H3062" i="5"/>
  <c r="H3063" i="5"/>
  <c r="H3064" i="5"/>
  <c r="H3065" i="5"/>
  <c r="H3066" i="5"/>
  <c r="H3067" i="5"/>
  <c r="H3068" i="5"/>
  <c r="H3069" i="5"/>
  <c r="H3070" i="5"/>
  <c r="H3071" i="5"/>
  <c r="H3072" i="5"/>
  <c r="H3073" i="5"/>
  <c r="H3074" i="5"/>
  <c r="H3075" i="5"/>
  <c r="H3076" i="5"/>
  <c r="H3077" i="5"/>
  <c r="H3078" i="5"/>
  <c r="H3079" i="5"/>
  <c r="H3080" i="5"/>
  <c r="H3081" i="5"/>
  <c r="H3082" i="5"/>
  <c r="H3083" i="5"/>
  <c r="H3084" i="5"/>
  <c r="H3085" i="5"/>
  <c r="H3086" i="5"/>
  <c r="H3087" i="5"/>
  <c r="H3088" i="5"/>
  <c r="H3089" i="5"/>
  <c r="H3090" i="5"/>
  <c r="H3091" i="5"/>
  <c r="H3092" i="5"/>
  <c r="H3093" i="5"/>
  <c r="H3094" i="5"/>
  <c r="H3095" i="5"/>
  <c r="H3096" i="5"/>
  <c r="H3097" i="5"/>
  <c r="H3098" i="5"/>
  <c r="H3099" i="5"/>
  <c r="H3100" i="5"/>
  <c r="H3101" i="5"/>
  <c r="H3102" i="5"/>
  <c r="H3103" i="5"/>
  <c r="H3104" i="5"/>
  <c r="H3105" i="5"/>
  <c r="H3106" i="5"/>
  <c r="H3107" i="5"/>
  <c r="H3108" i="5"/>
  <c r="H3109" i="5"/>
  <c r="H3110" i="5"/>
  <c r="H3111" i="5"/>
  <c r="H3112" i="5"/>
  <c r="H3113" i="5"/>
  <c r="H3114" i="5"/>
  <c r="H3115" i="5"/>
  <c r="H3116" i="5"/>
  <c r="H3117" i="5"/>
  <c r="H3118" i="5"/>
  <c r="H3119" i="5"/>
  <c r="H3120" i="5"/>
  <c r="H3121" i="5"/>
  <c r="H3122" i="5"/>
  <c r="H3123" i="5"/>
  <c r="H3124" i="5"/>
  <c r="H3125" i="5"/>
  <c r="H3126" i="5"/>
  <c r="H3127" i="5"/>
  <c r="H3128" i="5"/>
  <c r="H3129" i="5"/>
  <c r="H3130" i="5"/>
  <c r="H3131" i="5"/>
  <c r="H3132" i="5"/>
  <c r="H3133" i="5"/>
  <c r="H3134" i="5"/>
  <c r="H3135" i="5"/>
  <c r="H3136" i="5"/>
  <c r="H3137" i="5"/>
  <c r="H3138" i="5"/>
  <c r="H3139" i="5"/>
  <c r="H3140" i="5"/>
  <c r="H3141" i="5"/>
  <c r="H3142" i="5"/>
  <c r="H3143" i="5"/>
  <c r="H3144" i="5"/>
  <c r="H3145" i="5"/>
  <c r="H3146" i="5"/>
  <c r="H3147" i="5"/>
  <c r="H3148" i="5"/>
  <c r="H3149" i="5"/>
  <c r="H3150" i="5"/>
  <c r="H3151" i="5"/>
  <c r="H3152" i="5"/>
  <c r="H3153" i="5"/>
  <c r="H3154" i="5"/>
  <c r="H3155" i="5"/>
  <c r="H3156" i="5"/>
  <c r="H3157" i="5"/>
  <c r="H3158" i="5"/>
  <c r="H3159" i="5"/>
  <c r="H3160" i="5"/>
  <c r="H3161" i="5"/>
  <c r="H3162" i="5"/>
  <c r="H3163" i="5"/>
  <c r="H3164" i="5"/>
  <c r="H3165" i="5"/>
  <c r="H3166" i="5"/>
  <c r="H3167" i="5"/>
  <c r="H3168" i="5"/>
  <c r="H3169" i="5"/>
  <c r="H3170" i="5"/>
  <c r="H3171" i="5"/>
  <c r="H3172" i="5"/>
  <c r="H3173" i="5"/>
  <c r="H3174" i="5"/>
  <c r="H3175" i="5"/>
  <c r="H3176" i="5"/>
  <c r="H3177" i="5"/>
  <c r="H3178" i="5"/>
  <c r="H3179" i="5"/>
  <c r="H3180" i="5"/>
  <c r="H3181" i="5"/>
  <c r="H3182" i="5"/>
  <c r="H3183" i="5"/>
  <c r="H3184" i="5"/>
  <c r="H3185" i="5"/>
  <c r="H3186" i="5"/>
  <c r="H3187" i="5"/>
  <c r="H3188" i="5"/>
  <c r="H3189" i="5"/>
  <c r="H3190" i="5"/>
  <c r="H3191" i="5"/>
  <c r="H3192" i="5"/>
  <c r="H3193" i="5"/>
  <c r="H3194" i="5"/>
  <c r="H3195" i="5"/>
  <c r="H3196" i="5"/>
  <c r="H3197" i="5"/>
  <c r="H3198" i="5"/>
  <c r="H3199" i="5"/>
  <c r="H3200" i="5"/>
  <c r="H3201" i="5"/>
  <c r="H3202" i="5"/>
  <c r="H3203" i="5"/>
  <c r="H3204" i="5"/>
  <c r="H3205" i="5"/>
  <c r="H3206" i="5"/>
  <c r="H3207" i="5"/>
  <c r="H3208" i="5"/>
  <c r="H3209" i="5"/>
  <c r="H3210" i="5"/>
  <c r="H3211" i="5"/>
  <c r="H3212" i="5"/>
  <c r="H3213" i="5"/>
  <c r="H3214" i="5"/>
  <c r="H3215" i="5"/>
  <c r="H3216" i="5"/>
  <c r="H3217" i="5"/>
  <c r="H3218" i="5"/>
  <c r="H3219" i="5"/>
  <c r="H3220" i="5"/>
  <c r="H3221" i="5"/>
  <c r="H3222" i="5"/>
  <c r="H3223" i="5"/>
  <c r="H3224" i="5"/>
  <c r="H3225" i="5"/>
  <c r="H3226" i="5"/>
  <c r="H3227" i="5"/>
  <c r="H3228" i="5"/>
  <c r="H3229" i="5"/>
  <c r="H3230" i="5"/>
  <c r="H3231" i="5"/>
  <c r="H3232" i="5"/>
  <c r="H3233" i="5"/>
  <c r="H3234" i="5"/>
  <c r="H3235" i="5"/>
  <c r="H3236" i="5"/>
  <c r="H3237" i="5"/>
  <c r="H3238" i="5"/>
  <c r="H3239" i="5"/>
  <c r="H3240" i="5"/>
  <c r="H3241" i="5"/>
  <c r="H3242" i="5"/>
  <c r="H3243" i="5"/>
  <c r="H3244" i="5"/>
  <c r="H3245" i="5"/>
  <c r="H3246" i="5"/>
  <c r="H3247" i="5"/>
  <c r="H3248" i="5"/>
  <c r="H3249" i="5"/>
  <c r="H3250" i="5"/>
  <c r="H3251" i="5"/>
  <c r="H3252" i="5"/>
  <c r="H3253" i="5"/>
  <c r="H3254" i="5"/>
  <c r="H3255" i="5"/>
  <c r="H3256" i="5"/>
  <c r="H3257" i="5"/>
  <c r="H3258" i="5"/>
  <c r="H3259" i="5"/>
  <c r="H3260" i="5"/>
  <c r="H3261" i="5"/>
  <c r="H3262" i="5"/>
  <c r="H3263" i="5"/>
  <c r="H3264" i="5"/>
  <c r="H3265" i="5"/>
  <c r="H3266" i="5"/>
  <c r="H3267" i="5"/>
  <c r="H3268" i="5"/>
  <c r="H3269" i="5"/>
  <c r="H3270" i="5"/>
  <c r="H3271" i="5"/>
  <c r="H3272" i="5"/>
  <c r="H3273" i="5"/>
  <c r="H3274" i="5"/>
  <c r="H3275" i="5"/>
  <c r="H3276" i="5"/>
  <c r="H3277" i="5"/>
  <c r="H3278" i="5"/>
  <c r="H3279" i="5"/>
  <c r="H3280" i="5"/>
  <c r="H3281" i="5"/>
  <c r="H3282" i="5"/>
  <c r="H3283" i="5"/>
  <c r="H3284" i="5"/>
  <c r="H3285" i="5"/>
  <c r="H3286" i="5"/>
  <c r="H3287" i="5"/>
  <c r="H3288" i="5"/>
  <c r="H3289" i="5"/>
  <c r="H3290" i="5"/>
  <c r="O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746" i="5"/>
  <c r="O747" i="5"/>
  <c r="O748" i="5"/>
  <c r="O749" i="5"/>
  <c r="O750" i="5"/>
  <c r="O751" i="5"/>
  <c r="O752" i="5"/>
  <c r="O753" i="5"/>
  <c r="O754" i="5"/>
  <c r="O755" i="5"/>
  <c r="O756" i="5"/>
  <c r="O757" i="5"/>
  <c r="O758" i="5"/>
  <c r="O759" i="5"/>
  <c r="O760" i="5"/>
  <c r="O761" i="5"/>
  <c r="O762" i="5"/>
  <c r="O763" i="5"/>
  <c r="O764" i="5"/>
  <c r="O765" i="5"/>
  <c r="O766" i="5"/>
  <c r="O767" i="5"/>
  <c r="O768" i="5"/>
  <c r="O769" i="5"/>
  <c r="O770" i="5"/>
  <c r="O771" i="5"/>
  <c r="O772" i="5"/>
  <c r="O773" i="5"/>
  <c r="O774" i="5"/>
  <c r="O775" i="5"/>
  <c r="O776" i="5"/>
  <c r="O777" i="5"/>
  <c r="O778" i="5"/>
  <c r="O779" i="5"/>
  <c r="O780" i="5"/>
  <c r="O781" i="5"/>
  <c r="O782" i="5"/>
  <c r="O783" i="5"/>
  <c r="O784" i="5"/>
  <c r="O785" i="5"/>
  <c r="O786" i="5"/>
  <c r="O787" i="5"/>
  <c r="O788" i="5"/>
  <c r="O789" i="5"/>
  <c r="O790" i="5"/>
  <c r="O791" i="5"/>
  <c r="O792" i="5"/>
  <c r="O793" i="5"/>
  <c r="O794" i="5"/>
  <c r="O795" i="5"/>
  <c r="O796" i="5"/>
  <c r="O797" i="5"/>
  <c r="O798" i="5"/>
  <c r="O799" i="5"/>
  <c r="O800" i="5"/>
  <c r="O801" i="5"/>
  <c r="O802" i="5"/>
  <c r="O803" i="5"/>
  <c r="O804" i="5"/>
  <c r="O805" i="5"/>
  <c r="O806" i="5"/>
  <c r="O807" i="5"/>
  <c r="O808" i="5"/>
  <c r="O809" i="5"/>
  <c r="O810" i="5"/>
  <c r="O811" i="5"/>
  <c r="O812" i="5"/>
  <c r="O813" i="5"/>
  <c r="O814" i="5"/>
  <c r="O815" i="5"/>
  <c r="O816" i="5"/>
  <c r="O817" i="5"/>
  <c r="O818" i="5"/>
  <c r="O819" i="5"/>
  <c r="O820" i="5"/>
  <c r="O821" i="5"/>
  <c r="O822" i="5"/>
  <c r="O823" i="5"/>
  <c r="O824" i="5"/>
  <c r="O825" i="5"/>
  <c r="O826" i="5"/>
  <c r="O827" i="5"/>
  <c r="O828" i="5"/>
  <c r="O829" i="5"/>
  <c r="O830" i="5"/>
  <c r="O831" i="5"/>
  <c r="O832" i="5"/>
  <c r="O833" i="5"/>
  <c r="O834" i="5"/>
  <c r="O835" i="5"/>
  <c r="O836" i="5"/>
  <c r="O837" i="5"/>
  <c r="O838" i="5"/>
  <c r="O839" i="5"/>
  <c r="O840" i="5"/>
  <c r="O841" i="5"/>
  <c r="O842" i="5"/>
  <c r="O843" i="5"/>
  <c r="O844" i="5"/>
  <c r="O845" i="5"/>
  <c r="O846" i="5"/>
  <c r="O847" i="5"/>
  <c r="O848" i="5"/>
  <c r="O849" i="5"/>
  <c r="O850" i="5"/>
  <c r="O851" i="5"/>
  <c r="O852" i="5"/>
  <c r="O853" i="5"/>
  <c r="O854" i="5"/>
  <c r="O855" i="5"/>
  <c r="O856" i="5"/>
  <c r="O857" i="5"/>
  <c r="O858" i="5"/>
  <c r="O859" i="5"/>
  <c r="O860" i="5"/>
  <c r="O861" i="5"/>
  <c r="O862" i="5"/>
  <c r="O863" i="5"/>
  <c r="O864" i="5"/>
  <c r="O865" i="5"/>
  <c r="O866" i="5"/>
  <c r="O867" i="5"/>
  <c r="O868" i="5"/>
  <c r="O869" i="5"/>
  <c r="O870" i="5"/>
  <c r="O871" i="5"/>
  <c r="O872" i="5"/>
  <c r="O873" i="5"/>
  <c r="O874" i="5"/>
  <c r="O875" i="5"/>
  <c r="O876" i="5"/>
  <c r="O877" i="5"/>
  <c r="O878" i="5"/>
  <c r="O879" i="5"/>
  <c r="O880" i="5"/>
  <c r="O881" i="5"/>
  <c r="O882" i="5"/>
  <c r="O883" i="5"/>
  <c r="O884" i="5"/>
  <c r="O885" i="5"/>
  <c r="O886" i="5"/>
  <c r="O887" i="5"/>
  <c r="O888" i="5"/>
  <c r="O889" i="5"/>
  <c r="O890" i="5"/>
  <c r="O891" i="5"/>
  <c r="O892" i="5"/>
  <c r="O893" i="5"/>
  <c r="O894" i="5"/>
  <c r="O895" i="5"/>
  <c r="O896" i="5"/>
  <c r="O897" i="5"/>
  <c r="O898" i="5"/>
  <c r="O899" i="5"/>
  <c r="O900" i="5"/>
  <c r="O901" i="5"/>
  <c r="O902" i="5"/>
  <c r="O903" i="5"/>
  <c r="O904" i="5"/>
  <c r="O905" i="5"/>
  <c r="O906" i="5"/>
  <c r="O907" i="5"/>
  <c r="O908" i="5"/>
  <c r="O909" i="5"/>
  <c r="O910" i="5"/>
  <c r="O911" i="5"/>
  <c r="O912" i="5"/>
  <c r="O913" i="5"/>
  <c r="O914" i="5"/>
  <c r="O915" i="5"/>
  <c r="O916" i="5"/>
  <c r="O917" i="5"/>
  <c r="O918" i="5"/>
  <c r="O919" i="5"/>
  <c r="O920" i="5"/>
  <c r="O921" i="5"/>
  <c r="O922" i="5"/>
  <c r="O923" i="5"/>
  <c r="O924" i="5"/>
  <c r="O925" i="5"/>
  <c r="O926" i="5"/>
  <c r="O927" i="5"/>
  <c r="O928" i="5"/>
  <c r="O929" i="5"/>
  <c r="O930" i="5"/>
  <c r="O931" i="5"/>
  <c r="O932" i="5"/>
  <c r="O933" i="5"/>
  <c r="O934" i="5"/>
  <c r="O935" i="5"/>
  <c r="O936" i="5"/>
  <c r="O937" i="5"/>
  <c r="O938" i="5"/>
  <c r="O939" i="5"/>
  <c r="O940" i="5"/>
  <c r="O941" i="5"/>
  <c r="O942" i="5"/>
  <c r="O943" i="5"/>
  <c r="O944" i="5"/>
  <c r="O945" i="5"/>
  <c r="O946" i="5"/>
  <c r="O947" i="5"/>
  <c r="O948" i="5"/>
  <c r="O949" i="5"/>
  <c r="O950" i="5"/>
  <c r="O951" i="5"/>
  <c r="O952" i="5"/>
  <c r="O953" i="5"/>
  <c r="O954" i="5"/>
  <c r="O955" i="5"/>
  <c r="O956" i="5"/>
  <c r="O957" i="5"/>
  <c r="O958" i="5"/>
  <c r="O959" i="5"/>
  <c r="O960" i="5"/>
  <c r="O961" i="5"/>
  <c r="O962" i="5"/>
  <c r="O963" i="5"/>
  <c r="O964" i="5"/>
  <c r="O965" i="5"/>
  <c r="O966" i="5"/>
  <c r="O967" i="5"/>
  <c r="O968" i="5"/>
  <c r="O969" i="5"/>
  <c r="O970" i="5"/>
  <c r="O971" i="5"/>
  <c r="O972" i="5"/>
  <c r="O973" i="5"/>
  <c r="O974" i="5"/>
  <c r="O975" i="5"/>
  <c r="O976" i="5"/>
  <c r="O977" i="5"/>
  <c r="O978" i="5"/>
  <c r="O979" i="5"/>
  <c r="O980" i="5"/>
  <c r="O981" i="5"/>
  <c r="O982" i="5"/>
  <c r="O983" i="5"/>
  <c r="O984" i="5"/>
  <c r="O985" i="5"/>
  <c r="O986" i="5"/>
  <c r="O987" i="5"/>
  <c r="O988" i="5"/>
  <c r="O989" i="5"/>
  <c r="O990" i="5"/>
  <c r="O991" i="5"/>
  <c r="O992" i="5"/>
  <c r="O993" i="5"/>
  <c r="O994" i="5"/>
  <c r="O995" i="5"/>
  <c r="O996" i="5"/>
  <c r="O997" i="5"/>
  <c r="O998" i="5"/>
  <c r="O999" i="5"/>
  <c r="O1000" i="5"/>
  <c r="O1001" i="5"/>
  <c r="O1002" i="5"/>
  <c r="O1003" i="5"/>
  <c r="O1004" i="5"/>
  <c r="O1005" i="5"/>
  <c r="O1006" i="5"/>
  <c r="O1007" i="5"/>
  <c r="O1008" i="5"/>
  <c r="O1009" i="5"/>
  <c r="O1010" i="5"/>
  <c r="O1011" i="5"/>
  <c r="O1012" i="5"/>
  <c r="O1013" i="5"/>
  <c r="O1014" i="5"/>
  <c r="O1015" i="5"/>
  <c r="O1016" i="5"/>
  <c r="O1017" i="5"/>
  <c r="O1018" i="5"/>
  <c r="O1019" i="5"/>
  <c r="O1020" i="5"/>
  <c r="O1021" i="5"/>
  <c r="O1022" i="5"/>
  <c r="O1023" i="5"/>
  <c r="O1024" i="5"/>
  <c r="O1025" i="5"/>
  <c r="O1026" i="5"/>
  <c r="O1027" i="5"/>
  <c r="O1028" i="5"/>
  <c r="O1029" i="5"/>
  <c r="O1030" i="5"/>
  <c r="O1031" i="5"/>
  <c r="O1032" i="5"/>
  <c r="O1033" i="5"/>
  <c r="O1034" i="5"/>
  <c r="O1035" i="5"/>
  <c r="O1036" i="5"/>
  <c r="O1037" i="5"/>
  <c r="O1038" i="5"/>
  <c r="O1039" i="5"/>
  <c r="O1040" i="5"/>
  <c r="O1041" i="5"/>
  <c r="O1042" i="5"/>
  <c r="O1043" i="5"/>
  <c r="O1044" i="5"/>
  <c r="O1045" i="5"/>
  <c r="O1046" i="5"/>
  <c r="O1047" i="5"/>
  <c r="O1048" i="5"/>
  <c r="O1049" i="5"/>
  <c r="O1050" i="5"/>
  <c r="O1051" i="5"/>
  <c r="O1052" i="5"/>
  <c r="O1053" i="5"/>
  <c r="O1054" i="5"/>
  <c r="O1055" i="5"/>
  <c r="O1056" i="5"/>
  <c r="O1057" i="5"/>
  <c r="O1058" i="5"/>
  <c r="O1059" i="5"/>
  <c r="O1060" i="5"/>
  <c r="O1061" i="5"/>
  <c r="O1062" i="5"/>
  <c r="O1063" i="5"/>
  <c r="O1064" i="5"/>
  <c r="O1065" i="5"/>
  <c r="O1066" i="5"/>
  <c r="O1067" i="5"/>
  <c r="O1068" i="5"/>
  <c r="O1069" i="5"/>
  <c r="O1070" i="5"/>
  <c r="O1071" i="5"/>
  <c r="O1072" i="5"/>
  <c r="O1073" i="5"/>
  <c r="O1074" i="5"/>
  <c r="O1075" i="5"/>
  <c r="O1076" i="5"/>
  <c r="O1077" i="5"/>
  <c r="O1078" i="5"/>
  <c r="O1079" i="5"/>
  <c r="O1080" i="5"/>
  <c r="O1081" i="5"/>
  <c r="O1082" i="5"/>
  <c r="O1083" i="5"/>
  <c r="O1084" i="5"/>
  <c r="O1085" i="5"/>
  <c r="O1086" i="5"/>
  <c r="O1087" i="5"/>
  <c r="O1088" i="5"/>
  <c r="O1089" i="5"/>
  <c r="O1090" i="5"/>
  <c r="O1091" i="5"/>
  <c r="O1092" i="5"/>
  <c r="O1093" i="5"/>
  <c r="O1094" i="5"/>
  <c r="O1095" i="5"/>
  <c r="O1096" i="5"/>
  <c r="O1097" i="5"/>
  <c r="O1098" i="5"/>
  <c r="O1099" i="5"/>
  <c r="O1100" i="5"/>
  <c r="O1101" i="5"/>
  <c r="O1102" i="5"/>
  <c r="O1103" i="5"/>
  <c r="O1104" i="5"/>
  <c r="O1105" i="5"/>
  <c r="O1106" i="5"/>
  <c r="O1107" i="5"/>
  <c r="O1108" i="5"/>
  <c r="O1109" i="5"/>
  <c r="O1110" i="5"/>
  <c r="O1111" i="5"/>
  <c r="O1112" i="5"/>
  <c r="O1113" i="5"/>
  <c r="O1114" i="5"/>
  <c r="O1115" i="5"/>
  <c r="O1116" i="5"/>
  <c r="O1117" i="5"/>
  <c r="O1118" i="5"/>
  <c r="O1119" i="5"/>
  <c r="O1120" i="5"/>
  <c r="O1121" i="5"/>
  <c r="O1122" i="5"/>
  <c r="O1123" i="5"/>
  <c r="O1124" i="5"/>
  <c r="O1125" i="5"/>
  <c r="O1126" i="5"/>
  <c r="O1127" i="5"/>
  <c r="O1128" i="5"/>
  <c r="O1129" i="5"/>
  <c r="O1130" i="5"/>
  <c r="O1131" i="5"/>
  <c r="O1132" i="5"/>
  <c r="O1133" i="5"/>
  <c r="O1134" i="5"/>
  <c r="O1135" i="5"/>
  <c r="O1136" i="5"/>
  <c r="O1137" i="5"/>
  <c r="O1138" i="5"/>
  <c r="O1139" i="5"/>
  <c r="O1140" i="5"/>
  <c r="O1141" i="5"/>
  <c r="O1142" i="5"/>
  <c r="O1143" i="5"/>
  <c r="O1144" i="5"/>
  <c r="O1145" i="5"/>
  <c r="O1146" i="5"/>
  <c r="O1147" i="5"/>
  <c r="O1148" i="5"/>
  <c r="O1149" i="5"/>
  <c r="O1150" i="5"/>
  <c r="O1151" i="5"/>
  <c r="O1152" i="5"/>
  <c r="O1153" i="5"/>
  <c r="O1154" i="5"/>
  <c r="O1155" i="5"/>
  <c r="O1156" i="5"/>
  <c r="O1157" i="5"/>
  <c r="O1158" i="5"/>
  <c r="O1159" i="5"/>
  <c r="O1160" i="5"/>
  <c r="O1161" i="5"/>
  <c r="O1162" i="5"/>
  <c r="O1163" i="5"/>
  <c r="O1164" i="5"/>
  <c r="O1165" i="5"/>
  <c r="O1166" i="5"/>
  <c r="O1167" i="5"/>
  <c r="O1168" i="5"/>
  <c r="O1169" i="5"/>
  <c r="O1170" i="5"/>
  <c r="O1171" i="5"/>
  <c r="O1172" i="5"/>
  <c r="O1173" i="5"/>
  <c r="O1174" i="5"/>
  <c r="O1175" i="5"/>
  <c r="O1176" i="5"/>
  <c r="O1177" i="5"/>
  <c r="O1178" i="5"/>
  <c r="O1179" i="5"/>
  <c r="O1180" i="5"/>
  <c r="O1181" i="5"/>
  <c r="O1182" i="5"/>
  <c r="O1183" i="5"/>
  <c r="O1184" i="5"/>
  <c r="O1185" i="5"/>
  <c r="O1186" i="5"/>
  <c r="O1187" i="5"/>
  <c r="O1188" i="5"/>
  <c r="O1189" i="5"/>
  <c r="O1190" i="5"/>
  <c r="O1191" i="5"/>
  <c r="O1192" i="5"/>
  <c r="O1193" i="5"/>
  <c r="O1194" i="5"/>
  <c r="O1195" i="5"/>
  <c r="O1196" i="5"/>
  <c r="O1197" i="5"/>
  <c r="O1198" i="5"/>
  <c r="O1199" i="5"/>
  <c r="O1200" i="5"/>
  <c r="O1201" i="5"/>
  <c r="O1202" i="5"/>
  <c r="O1203" i="5"/>
  <c r="O1204" i="5"/>
  <c r="O1205" i="5"/>
  <c r="O1206" i="5"/>
  <c r="O1207" i="5"/>
  <c r="O1208" i="5"/>
  <c r="O1209" i="5"/>
  <c r="O1210" i="5"/>
  <c r="O1211" i="5"/>
  <c r="O1212" i="5"/>
  <c r="O1213" i="5"/>
  <c r="O1214" i="5"/>
  <c r="O1215" i="5"/>
  <c r="O1216" i="5"/>
  <c r="O1217" i="5"/>
  <c r="O1218" i="5"/>
  <c r="O1219" i="5"/>
  <c r="O1220" i="5"/>
  <c r="O1221" i="5"/>
  <c r="O1222" i="5"/>
  <c r="O1223" i="5"/>
  <c r="O1224" i="5"/>
  <c r="O1225" i="5"/>
  <c r="O1226" i="5"/>
  <c r="O1227" i="5"/>
  <c r="O1228" i="5"/>
  <c r="O1229" i="5"/>
  <c r="O1230" i="5"/>
  <c r="O1231" i="5"/>
  <c r="O1232" i="5"/>
  <c r="O1233" i="5"/>
  <c r="O1234" i="5"/>
  <c r="O1235" i="5"/>
  <c r="O1236" i="5"/>
  <c r="O1237" i="5"/>
  <c r="O1238" i="5"/>
  <c r="O1239" i="5"/>
  <c r="O1240" i="5"/>
  <c r="O1241" i="5"/>
  <c r="O1242" i="5"/>
  <c r="O1243" i="5"/>
  <c r="O1244" i="5"/>
  <c r="O1245" i="5"/>
  <c r="O1246" i="5"/>
  <c r="O1247" i="5"/>
  <c r="O1248" i="5"/>
  <c r="O1249" i="5"/>
  <c r="O1250" i="5"/>
  <c r="O1251" i="5"/>
  <c r="O1252" i="5"/>
  <c r="O1253" i="5"/>
  <c r="O1254" i="5"/>
  <c r="O1255" i="5"/>
  <c r="O1256" i="5"/>
  <c r="O1257" i="5"/>
  <c r="O1258" i="5"/>
  <c r="O1259" i="5"/>
  <c r="O1260" i="5"/>
  <c r="O1261" i="5"/>
  <c r="O1262" i="5"/>
  <c r="O1263" i="5"/>
  <c r="O1264" i="5"/>
  <c r="O1265" i="5"/>
  <c r="O1266" i="5"/>
  <c r="O1267" i="5"/>
  <c r="O1268" i="5"/>
  <c r="O1269" i="5"/>
  <c r="O1270" i="5"/>
  <c r="O1271" i="5"/>
  <c r="O1272" i="5"/>
  <c r="O1273" i="5"/>
  <c r="O1274" i="5"/>
  <c r="O1275" i="5"/>
  <c r="O1276" i="5"/>
  <c r="O1277" i="5"/>
  <c r="O1278" i="5"/>
  <c r="O1279" i="5"/>
  <c r="O1280" i="5"/>
  <c r="O1281" i="5"/>
  <c r="O1282" i="5"/>
  <c r="O1283" i="5"/>
  <c r="O1284" i="5"/>
  <c r="O1285" i="5"/>
  <c r="O1286" i="5"/>
  <c r="O1287" i="5"/>
  <c r="O1288" i="5"/>
  <c r="O1289" i="5"/>
  <c r="O1290" i="5"/>
  <c r="O1291" i="5"/>
  <c r="O1292" i="5"/>
  <c r="O1293" i="5"/>
  <c r="O1294" i="5"/>
  <c r="O1295" i="5"/>
  <c r="O1296" i="5"/>
  <c r="O1297" i="5"/>
  <c r="O1298" i="5"/>
  <c r="O1299" i="5"/>
  <c r="O1300" i="5"/>
  <c r="O1301" i="5"/>
  <c r="O1302" i="5"/>
  <c r="O1303" i="5"/>
  <c r="O1304" i="5"/>
  <c r="O1305" i="5"/>
  <c r="O1306" i="5"/>
  <c r="O1307" i="5"/>
  <c r="O1308" i="5"/>
  <c r="O1309" i="5"/>
  <c r="O1310" i="5"/>
  <c r="O1311" i="5"/>
  <c r="O1312" i="5"/>
  <c r="O1313" i="5"/>
  <c r="O1314" i="5"/>
  <c r="O1315" i="5"/>
  <c r="O1316" i="5"/>
  <c r="O1317" i="5"/>
  <c r="O1318" i="5"/>
  <c r="O1319" i="5"/>
  <c r="O1320" i="5"/>
  <c r="O1321" i="5"/>
  <c r="O1322" i="5"/>
  <c r="O1323" i="5"/>
  <c r="O1324" i="5"/>
  <c r="O1325" i="5"/>
  <c r="O1326" i="5"/>
  <c r="O1327" i="5"/>
  <c r="O1328" i="5"/>
  <c r="O1329" i="5"/>
  <c r="O1330" i="5"/>
  <c r="O1331" i="5"/>
  <c r="O1332" i="5"/>
  <c r="O1333" i="5"/>
  <c r="O1334" i="5"/>
  <c r="O1335" i="5"/>
  <c r="O1336" i="5"/>
  <c r="O1337" i="5"/>
  <c r="O1338" i="5"/>
  <c r="O1339" i="5"/>
  <c r="O1340" i="5"/>
  <c r="O1341" i="5"/>
  <c r="O1342" i="5"/>
  <c r="O1343" i="5"/>
  <c r="O1344" i="5"/>
  <c r="O1345" i="5"/>
  <c r="O1346" i="5"/>
  <c r="O1347" i="5"/>
  <c r="O1348" i="5"/>
  <c r="O1349" i="5"/>
  <c r="O1350" i="5"/>
  <c r="O1351" i="5"/>
  <c r="O1352" i="5"/>
  <c r="O1353" i="5"/>
  <c r="O1354" i="5"/>
  <c r="O1355" i="5"/>
  <c r="O1356" i="5"/>
  <c r="O1357" i="5"/>
  <c r="O1358" i="5"/>
  <c r="O1359" i="5"/>
  <c r="O1360" i="5"/>
  <c r="O1361" i="5"/>
  <c r="O1362" i="5"/>
  <c r="O1363" i="5"/>
  <c r="O1364" i="5"/>
  <c r="O1365" i="5"/>
  <c r="O1366" i="5"/>
  <c r="O1367" i="5"/>
  <c r="O1368" i="5"/>
  <c r="O1369" i="5"/>
  <c r="O1370" i="5"/>
  <c r="O1371" i="5"/>
  <c r="O1372" i="5"/>
  <c r="O1373" i="5"/>
  <c r="O1374" i="5"/>
  <c r="O1375" i="5"/>
  <c r="O1376" i="5"/>
  <c r="O1377" i="5"/>
  <c r="O1378" i="5"/>
  <c r="O1379" i="5"/>
  <c r="O1380" i="5"/>
  <c r="O1381" i="5"/>
  <c r="O1382" i="5"/>
  <c r="O1383" i="5"/>
  <c r="O1384" i="5"/>
  <c r="O1385" i="5"/>
  <c r="O1386" i="5"/>
  <c r="O1387" i="5"/>
  <c r="O1388" i="5"/>
  <c r="O1389" i="5"/>
  <c r="O1390" i="5"/>
  <c r="O1391" i="5"/>
  <c r="O1392" i="5"/>
  <c r="O1393" i="5"/>
  <c r="O1394" i="5"/>
  <c r="O1395" i="5"/>
  <c r="O1396" i="5"/>
  <c r="O1397" i="5"/>
  <c r="O1398" i="5"/>
  <c r="O1399" i="5"/>
  <c r="O1400" i="5"/>
  <c r="O1401" i="5"/>
  <c r="O1402" i="5"/>
  <c r="O1403" i="5"/>
  <c r="O1404" i="5"/>
  <c r="O1405" i="5"/>
  <c r="O1406" i="5"/>
  <c r="O1407" i="5"/>
  <c r="O1408" i="5"/>
  <c r="O1409" i="5"/>
  <c r="O1410" i="5"/>
  <c r="O1411" i="5"/>
  <c r="O1412" i="5"/>
  <c r="O1413" i="5"/>
  <c r="O1414" i="5"/>
  <c r="O1415" i="5"/>
  <c r="O1416" i="5"/>
  <c r="O1417" i="5"/>
  <c r="O1418" i="5"/>
  <c r="O1419" i="5"/>
  <c r="O1420" i="5"/>
  <c r="O1421" i="5"/>
  <c r="O1422" i="5"/>
  <c r="O1423" i="5"/>
  <c r="O1424" i="5"/>
  <c r="O1425" i="5"/>
  <c r="O1426" i="5"/>
  <c r="O1427" i="5"/>
  <c r="O1428" i="5"/>
  <c r="O1429" i="5"/>
  <c r="O1430" i="5"/>
  <c r="O1431" i="5"/>
  <c r="O1432" i="5"/>
  <c r="O1433" i="5"/>
  <c r="O1434" i="5"/>
  <c r="O1435" i="5"/>
  <c r="O1436" i="5"/>
  <c r="O1437" i="5"/>
  <c r="O1438" i="5"/>
  <c r="O1439" i="5"/>
  <c r="O1440" i="5"/>
  <c r="O1441" i="5"/>
  <c r="O1442" i="5"/>
  <c r="O1443" i="5"/>
  <c r="O1444" i="5"/>
  <c r="O1445" i="5"/>
  <c r="O1446" i="5"/>
  <c r="O1447" i="5"/>
  <c r="O1448" i="5"/>
  <c r="O1449" i="5"/>
  <c r="O1450" i="5"/>
  <c r="O1451" i="5"/>
  <c r="O1452" i="5"/>
  <c r="O1453" i="5"/>
  <c r="O1454" i="5"/>
  <c r="O1455" i="5"/>
  <c r="O1456" i="5"/>
  <c r="O1457" i="5"/>
  <c r="O1458" i="5"/>
  <c r="O1459" i="5"/>
  <c r="O1460" i="5"/>
  <c r="O1461" i="5"/>
  <c r="O1462" i="5"/>
  <c r="O1463" i="5"/>
  <c r="O1464" i="5"/>
  <c r="O1465" i="5"/>
  <c r="O1466" i="5"/>
  <c r="O1467" i="5"/>
  <c r="O1468" i="5"/>
  <c r="O1469" i="5"/>
  <c r="O1470" i="5"/>
  <c r="O1471" i="5"/>
  <c r="O1472" i="5"/>
  <c r="O1473" i="5"/>
  <c r="O1474" i="5"/>
  <c r="O1475" i="5"/>
  <c r="O1476" i="5"/>
  <c r="O1477" i="5"/>
  <c r="O1478" i="5"/>
  <c r="O1479" i="5"/>
  <c r="O1480" i="5"/>
  <c r="O1481" i="5"/>
  <c r="O1482" i="5"/>
  <c r="O1483" i="5"/>
  <c r="O1484" i="5"/>
  <c r="O1485" i="5"/>
  <c r="O1486" i="5"/>
  <c r="O1487" i="5"/>
  <c r="O1488" i="5"/>
  <c r="O1489" i="5"/>
  <c r="O1490" i="5"/>
  <c r="O1491" i="5"/>
  <c r="O1492" i="5"/>
  <c r="O1493" i="5"/>
  <c r="O1494" i="5"/>
  <c r="O1495" i="5"/>
  <c r="O1496" i="5"/>
  <c r="O1497" i="5"/>
  <c r="O1498" i="5"/>
  <c r="O1499" i="5"/>
  <c r="O1500" i="5"/>
  <c r="O1501" i="5"/>
  <c r="O1502" i="5"/>
  <c r="O1503" i="5"/>
  <c r="O1504" i="5"/>
  <c r="O1505" i="5"/>
  <c r="O1506" i="5"/>
  <c r="O1507" i="5"/>
  <c r="O1508" i="5"/>
  <c r="O1509" i="5"/>
  <c r="O1510" i="5"/>
  <c r="O1511" i="5"/>
  <c r="O1512" i="5"/>
  <c r="O1513" i="5"/>
  <c r="O1514" i="5"/>
  <c r="O1515" i="5"/>
  <c r="O1516" i="5"/>
  <c r="O1517" i="5"/>
  <c r="O1518" i="5"/>
  <c r="O1519" i="5"/>
  <c r="O1520" i="5"/>
  <c r="O1521" i="5"/>
  <c r="O1522" i="5"/>
  <c r="O1523" i="5"/>
  <c r="O1524" i="5"/>
  <c r="O1525" i="5"/>
  <c r="O1526" i="5"/>
  <c r="O1527" i="5"/>
  <c r="O1528" i="5"/>
  <c r="O1529" i="5"/>
  <c r="O1530" i="5"/>
  <c r="O1531" i="5"/>
  <c r="O1532" i="5"/>
  <c r="O1533" i="5"/>
  <c r="O1534" i="5"/>
  <c r="O1535" i="5"/>
  <c r="O1536" i="5"/>
  <c r="O1537" i="5"/>
  <c r="O1538" i="5"/>
  <c r="O1539" i="5"/>
  <c r="O1540" i="5"/>
  <c r="O1541" i="5"/>
  <c r="O1542" i="5"/>
  <c r="O1543" i="5"/>
  <c r="O1544" i="5"/>
  <c r="O1545" i="5"/>
  <c r="O1546" i="5"/>
  <c r="O1547" i="5"/>
  <c r="O1548" i="5"/>
  <c r="O1549" i="5"/>
  <c r="O1550" i="5"/>
  <c r="O1551" i="5"/>
  <c r="O1552" i="5"/>
  <c r="O1553" i="5"/>
  <c r="O1554" i="5"/>
  <c r="O1555" i="5"/>
  <c r="O1556" i="5"/>
  <c r="O1557" i="5"/>
  <c r="O1558" i="5"/>
  <c r="O1559" i="5"/>
  <c r="O1560" i="5"/>
  <c r="O1561" i="5"/>
  <c r="O1562" i="5"/>
  <c r="O1563" i="5"/>
  <c r="O1564" i="5"/>
  <c r="O1565" i="5"/>
  <c r="O1566" i="5"/>
  <c r="O1567" i="5"/>
  <c r="O1568" i="5"/>
  <c r="O1569" i="5"/>
  <c r="O1570" i="5"/>
  <c r="O1571" i="5"/>
  <c r="O1572" i="5"/>
  <c r="O1573" i="5"/>
  <c r="O1574" i="5"/>
  <c r="O1575" i="5"/>
  <c r="O1576" i="5"/>
  <c r="O1577" i="5"/>
  <c r="O1578" i="5"/>
  <c r="O1579" i="5"/>
  <c r="O1580" i="5"/>
  <c r="O1581" i="5"/>
  <c r="O1582" i="5"/>
  <c r="O1583" i="5"/>
  <c r="O1584" i="5"/>
  <c r="O1585" i="5"/>
  <c r="O1586" i="5"/>
  <c r="O1587" i="5"/>
  <c r="O1588" i="5"/>
  <c r="O1589" i="5"/>
  <c r="O1590" i="5"/>
  <c r="O1591" i="5"/>
  <c r="O1592" i="5"/>
  <c r="O1593" i="5"/>
  <c r="O1594" i="5"/>
  <c r="O1595" i="5"/>
  <c r="O1596" i="5"/>
  <c r="O1597" i="5"/>
  <c r="O1598" i="5"/>
  <c r="O1599" i="5"/>
  <c r="O1600" i="5"/>
  <c r="O1601" i="5"/>
  <c r="O1602" i="5"/>
  <c r="O1603" i="5"/>
  <c r="O1604" i="5"/>
  <c r="O1605" i="5"/>
  <c r="O1606" i="5"/>
  <c r="O1607" i="5"/>
  <c r="O1608" i="5"/>
  <c r="O1609" i="5"/>
  <c r="O1610" i="5"/>
  <c r="O1611" i="5"/>
  <c r="O1612" i="5"/>
  <c r="O1613" i="5"/>
  <c r="O1614" i="5"/>
  <c r="O1615" i="5"/>
  <c r="O1616" i="5"/>
  <c r="O1617" i="5"/>
  <c r="O1618" i="5"/>
  <c r="O1619" i="5"/>
  <c r="O1620" i="5"/>
  <c r="O1621" i="5"/>
  <c r="O1622" i="5"/>
  <c r="O1623" i="5"/>
  <c r="O1624" i="5"/>
  <c r="O1625" i="5"/>
  <c r="O1626" i="5"/>
  <c r="O1627" i="5"/>
  <c r="O1628" i="5"/>
  <c r="O1629" i="5"/>
  <c r="O1630" i="5"/>
  <c r="O1631" i="5"/>
  <c r="O1632" i="5"/>
  <c r="O1633" i="5"/>
  <c r="O1634" i="5"/>
  <c r="O1635" i="5"/>
  <c r="O1636" i="5"/>
  <c r="O1637" i="5"/>
  <c r="O1638" i="5"/>
  <c r="O1639" i="5"/>
  <c r="O1640" i="5"/>
  <c r="O1641" i="5"/>
  <c r="O1642" i="5"/>
  <c r="O1643" i="5"/>
  <c r="O1644" i="5"/>
  <c r="O1645" i="5"/>
  <c r="O1646" i="5"/>
  <c r="O1647" i="5"/>
  <c r="O1648" i="5"/>
  <c r="O1649" i="5"/>
  <c r="O1650" i="5"/>
  <c r="O1651" i="5"/>
  <c r="O1652" i="5"/>
  <c r="O1653" i="5"/>
  <c r="O1654" i="5"/>
  <c r="O1655" i="5"/>
  <c r="O1656" i="5"/>
  <c r="O1657" i="5"/>
  <c r="O1658" i="5"/>
  <c r="O1659" i="5"/>
  <c r="O1660" i="5"/>
  <c r="O1661" i="5"/>
  <c r="O1662" i="5"/>
  <c r="O1663" i="5"/>
  <c r="O1664" i="5"/>
  <c r="O1665" i="5"/>
  <c r="O1666" i="5"/>
  <c r="O1667" i="5"/>
  <c r="O1668" i="5"/>
  <c r="O1669" i="5"/>
  <c r="O1670" i="5"/>
  <c r="O1671" i="5"/>
  <c r="O1672" i="5"/>
  <c r="O1673" i="5"/>
  <c r="O1674" i="5"/>
  <c r="O1675" i="5"/>
  <c r="O1676" i="5"/>
  <c r="O1677" i="5"/>
  <c r="O1678" i="5"/>
  <c r="O1679" i="5"/>
  <c r="O1680" i="5"/>
  <c r="O1681" i="5"/>
  <c r="O1682" i="5"/>
  <c r="O1683" i="5"/>
  <c r="O1684" i="5"/>
  <c r="O1685" i="5"/>
  <c r="O1686" i="5"/>
  <c r="O1687" i="5"/>
  <c r="O1688" i="5"/>
  <c r="O1689" i="5"/>
  <c r="O1690" i="5"/>
  <c r="O1691" i="5"/>
  <c r="O1692" i="5"/>
  <c r="O1693" i="5"/>
  <c r="O1694" i="5"/>
  <c r="O1695" i="5"/>
  <c r="O1696" i="5"/>
  <c r="O1697" i="5"/>
  <c r="O1698" i="5"/>
  <c r="O1699" i="5"/>
  <c r="O1700" i="5"/>
  <c r="O1701" i="5"/>
  <c r="O1702" i="5"/>
  <c r="O1703" i="5"/>
  <c r="O1704" i="5"/>
  <c r="O1705" i="5"/>
  <c r="O1706" i="5"/>
  <c r="O1707" i="5"/>
  <c r="O1708" i="5"/>
  <c r="O1709" i="5"/>
  <c r="O1710" i="5"/>
  <c r="O1711" i="5"/>
  <c r="O1712" i="5"/>
  <c r="O1713" i="5"/>
  <c r="O1714" i="5"/>
  <c r="O1715" i="5"/>
  <c r="O1716" i="5"/>
  <c r="O1717" i="5"/>
  <c r="O1718" i="5"/>
  <c r="O1719" i="5"/>
  <c r="O1720" i="5"/>
  <c r="O1721" i="5"/>
  <c r="O1722" i="5"/>
  <c r="O1723" i="5"/>
  <c r="O1724" i="5"/>
  <c r="O1725" i="5"/>
  <c r="O1726" i="5"/>
  <c r="O1727" i="5"/>
  <c r="O1728" i="5"/>
  <c r="O1729" i="5"/>
  <c r="O1730" i="5"/>
  <c r="O1731" i="5"/>
  <c r="O1732" i="5"/>
  <c r="O1733" i="5"/>
  <c r="O1734" i="5"/>
  <c r="O1735" i="5"/>
  <c r="O1736" i="5"/>
  <c r="O1737" i="5"/>
  <c r="O1738" i="5"/>
  <c r="O1739" i="5"/>
  <c r="O1740" i="5"/>
  <c r="O1741" i="5"/>
  <c r="O1742" i="5"/>
  <c r="O1743" i="5"/>
  <c r="O1744" i="5"/>
  <c r="O1745" i="5"/>
  <c r="O1746" i="5"/>
  <c r="O1747" i="5"/>
  <c r="O1748" i="5"/>
  <c r="O1749" i="5"/>
  <c r="O1750" i="5"/>
  <c r="O1751" i="5"/>
  <c r="O1752" i="5"/>
  <c r="O1753" i="5"/>
  <c r="O1754" i="5"/>
  <c r="O1755" i="5"/>
  <c r="O1756" i="5"/>
  <c r="O1757" i="5"/>
  <c r="O1758" i="5"/>
  <c r="O1759" i="5"/>
  <c r="O1760" i="5"/>
  <c r="O1761" i="5"/>
  <c r="O1762" i="5"/>
  <c r="O1763" i="5"/>
  <c r="O1764" i="5"/>
  <c r="O1765" i="5"/>
  <c r="O1766" i="5"/>
  <c r="O1767" i="5"/>
  <c r="O1768" i="5"/>
  <c r="O1769" i="5"/>
  <c r="O1770" i="5"/>
  <c r="O1771" i="5"/>
  <c r="O1772" i="5"/>
  <c r="O1773" i="5"/>
  <c r="O1774" i="5"/>
  <c r="O1775" i="5"/>
  <c r="O1776" i="5"/>
  <c r="O1777" i="5"/>
  <c r="O1778" i="5"/>
  <c r="O1779" i="5"/>
  <c r="O1780" i="5"/>
  <c r="O1781" i="5"/>
  <c r="O1782" i="5"/>
  <c r="O1783" i="5"/>
  <c r="O1784" i="5"/>
  <c r="O1785" i="5"/>
  <c r="O1786" i="5"/>
  <c r="O1787" i="5"/>
  <c r="O1788" i="5"/>
  <c r="O1789" i="5"/>
  <c r="O1790" i="5"/>
  <c r="O1791" i="5"/>
  <c r="O1792" i="5"/>
  <c r="O1793" i="5"/>
  <c r="O1794" i="5"/>
  <c r="O1795" i="5"/>
  <c r="O1796" i="5"/>
  <c r="O1797" i="5"/>
  <c r="O1798" i="5"/>
  <c r="O1799" i="5"/>
  <c r="O1800" i="5"/>
  <c r="O1801" i="5"/>
  <c r="O1802" i="5"/>
  <c r="O1803" i="5"/>
  <c r="O1804" i="5"/>
  <c r="O1805" i="5"/>
  <c r="O1806" i="5"/>
  <c r="O1807" i="5"/>
  <c r="O1808" i="5"/>
  <c r="O1809" i="5"/>
  <c r="O1810" i="5"/>
  <c r="O1811" i="5"/>
  <c r="O1812" i="5"/>
  <c r="O1813" i="5"/>
  <c r="O1814" i="5"/>
  <c r="O1815" i="5"/>
  <c r="O1816" i="5"/>
  <c r="O1817" i="5"/>
  <c r="O1818" i="5"/>
  <c r="O1819" i="5"/>
  <c r="O1820" i="5"/>
  <c r="O1821" i="5"/>
  <c r="O1822" i="5"/>
  <c r="O1823" i="5"/>
  <c r="O1824" i="5"/>
  <c r="O1825" i="5"/>
  <c r="O1826" i="5"/>
  <c r="O1827" i="5"/>
  <c r="O1828" i="5"/>
  <c r="O1829" i="5"/>
  <c r="O1830" i="5"/>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O1860" i="5"/>
  <c r="O1861" i="5"/>
  <c r="O1862" i="5"/>
  <c r="O1863" i="5"/>
  <c r="O1864" i="5"/>
  <c r="O1865" i="5"/>
  <c r="O1866" i="5"/>
  <c r="O1867" i="5"/>
  <c r="O1868" i="5"/>
  <c r="O1869" i="5"/>
  <c r="O1870" i="5"/>
  <c r="O1871" i="5"/>
  <c r="O1872" i="5"/>
  <c r="O1873" i="5"/>
  <c r="O1874" i="5"/>
  <c r="O1875" i="5"/>
  <c r="O1876" i="5"/>
  <c r="O1877" i="5"/>
  <c r="O1878" i="5"/>
  <c r="O1879" i="5"/>
  <c r="O1880" i="5"/>
  <c r="O1881" i="5"/>
  <c r="O1882" i="5"/>
  <c r="O1883" i="5"/>
  <c r="O1884" i="5"/>
  <c r="O1885" i="5"/>
  <c r="O1886" i="5"/>
  <c r="O1887" i="5"/>
  <c r="O1888" i="5"/>
  <c r="O1889" i="5"/>
  <c r="O1890" i="5"/>
  <c r="O1891" i="5"/>
  <c r="O1892" i="5"/>
  <c r="O1893" i="5"/>
  <c r="O1894" i="5"/>
  <c r="O1895" i="5"/>
  <c r="O1896" i="5"/>
  <c r="O1897" i="5"/>
  <c r="O1898" i="5"/>
  <c r="O1899" i="5"/>
  <c r="O1900" i="5"/>
  <c r="O1901" i="5"/>
  <c r="O1902" i="5"/>
  <c r="O1903" i="5"/>
  <c r="O1904" i="5"/>
  <c r="O1905" i="5"/>
  <c r="O1906" i="5"/>
  <c r="O1907" i="5"/>
  <c r="O1908" i="5"/>
  <c r="O1909" i="5"/>
  <c r="O1910" i="5"/>
  <c r="O1911" i="5"/>
  <c r="O1912" i="5"/>
  <c r="O1913" i="5"/>
  <c r="O1914" i="5"/>
  <c r="O1915" i="5"/>
  <c r="O1916" i="5"/>
  <c r="O1917" i="5"/>
  <c r="O1918" i="5"/>
  <c r="O1919" i="5"/>
  <c r="O1920" i="5"/>
  <c r="O1921" i="5"/>
  <c r="O1922" i="5"/>
  <c r="O1923" i="5"/>
  <c r="O1924" i="5"/>
  <c r="O1925" i="5"/>
  <c r="O1926" i="5"/>
  <c r="O1927" i="5"/>
  <c r="O1928" i="5"/>
  <c r="O1929" i="5"/>
  <c r="O1930" i="5"/>
  <c r="O1931" i="5"/>
  <c r="O1932" i="5"/>
  <c r="O1933" i="5"/>
  <c r="O1934" i="5"/>
  <c r="O1935" i="5"/>
  <c r="O1936" i="5"/>
  <c r="O1937" i="5"/>
  <c r="O1938" i="5"/>
  <c r="O1939" i="5"/>
  <c r="O1940" i="5"/>
  <c r="O1941" i="5"/>
  <c r="O1942" i="5"/>
  <c r="O1943" i="5"/>
  <c r="O1944" i="5"/>
  <c r="O1945" i="5"/>
  <c r="O1946" i="5"/>
  <c r="O1947" i="5"/>
  <c r="O1948" i="5"/>
  <c r="O1949" i="5"/>
  <c r="O1950" i="5"/>
  <c r="O1951" i="5"/>
  <c r="O1952" i="5"/>
  <c r="O1953" i="5"/>
  <c r="O1954" i="5"/>
  <c r="O1955" i="5"/>
  <c r="O1956" i="5"/>
  <c r="O1957" i="5"/>
  <c r="O1958" i="5"/>
  <c r="O1959" i="5"/>
  <c r="O1960" i="5"/>
  <c r="O1961" i="5"/>
  <c r="O1962" i="5"/>
  <c r="O1963" i="5"/>
  <c r="O1964" i="5"/>
  <c r="O1965" i="5"/>
  <c r="O1966" i="5"/>
  <c r="O1967" i="5"/>
  <c r="O1968" i="5"/>
  <c r="O1969" i="5"/>
  <c r="O1970" i="5"/>
  <c r="O1971" i="5"/>
  <c r="O1972" i="5"/>
  <c r="O1973" i="5"/>
  <c r="O1974" i="5"/>
  <c r="O1975" i="5"/>
  <c r="O1976" i="5"/>
  <c r="O1977" i="5"/>
  <c r="O1978" i="5"/>
  <c r="O1979" i="5"/>
  <c r="O1980" i="5"/>
  <c r="O1981" i="5"/>
  <c r="O1982" i="5"/>
  <c r="O1983" i="5"/>
  <c r="O1984" i="5"/>
  <c r="O1985" i="5"/>
  <c r="O1986" i="5"/>
  <c r="O1987" i="5"/>
  <c r="O1988" i="5"/>
  <c r="O1989" i="5"/>
  <c r="O1990" i="5"/>
  <c r="O1991" i="5"/>
  <c r="O1992" i="5"/>
  <c r="O1993" i="5"/>
  <c r="O1994" i="5"/>
  <c r="O1995" i="5"/>
  <c r="O1996" i="5"/>
  <c r="O1997" i="5"/>
  <c r="O1998" i="5"/>
  <c r="O1999" i="5"/>
  <c r="O2000" i="5"/>
  <c r="O2001" i="5"/>
  <c r="O2002" i="5"/>
  <c r="O2003" i="5"/>
  <c r="O2004" i="5"/>
  <c r="O2005" i="5"/>
  <c r="O2006" i="5"/>
  <c r="O2007" i="5"/>
  <c r="O2008" i="5"/>
  <c r="O2009" i="5"/>
  <c r="O2010" i="5"/>
  <c r="O2011" i="5"/>
  <c r="O2012" i="5"/>
  <c r="O2013" i="5"/>
  <c r="O2014" i="5"/>
  <c r="O2015" i="5"/>
  <c r="O2016" i="5"/>
  <c r="O2017" i="5"/>
  <c r="O2018" i="5"/>
  <c r="O2019" i="5"/>
  <c r="O2020" i="5"/>
  <c r="O2021" i="5"/>
  <c r="O2022" i="5"/>
  <c r="O2023" i="5"/>
  <c r="O2024" i="5"/>
  <c r="O2025" i="5"/>
  <c r="O2026" i="5"/>
  <c r="O2027" i="5"/>
  <c r="O2028" i="5"/>
  <c r="O2029" i="5"/>
  <c r="O2030" i="5"/>
  <c r="O2031" i="5"/>
  <c r="O2032" i="5"/>
  <c r="O2033" i="5"/>
  <c r="O2034" i="5"/>
  <c r="O2035" i="5"/>
  <c r="O2036" i="5"/>
  <c r="O2037" i="5"/>
  <c r="O2038" i="5"/>
  <c r="O2039" i="5"/>
  <c r="O2040" i="5"/>
  <c r="O2041" i="5"/>
  <c r="O2042" i="5"/>
  <c r="O2043" i="5"/>
  <c r="O2044" i="5"/>
  <c r="O2045" i="5"/>
  <c r="O2046" i="5"/>
  <c r="O2047" i="5"/>
  <c r="O2048" i="5"/>
  <c r="O2049" i="5"/>
  <c r="O2050" i="5"/>
  <c r="O2051" i="5"/>
  <c r="O2052" i="5"/>
  <c r="O2053" i="5"/>
  <c r="O2054" i="5"/>
  <c r="O2055" i="5"/>
  <c r="O2056" i="5"/>
  <c r="O2057" i="5"/>
  <c r="O2058" i="5"/>
  <c r="O2059" i="5"/>
  <c r="O2060" i="5"/>
  <c r="O2061" i="5"/>
  <c r="O2062" i="5"/>
  <c r="O2063" i="5"/>
  <c r="O2064" i="5"/>
  <c r="O2065" i="5"/>
  <c r="O2066" i="5"/>
  <c r="O2067" i="5"/>
  <c r="O2068" i="5"/>
  <c r="O2069" i="5"/>
  <c r="O2070" i="5"/>
  <c r="O2071" i="5"/>
  <c r="O2072" i="5"/>
  <c r="O2073" i="5"/>
  <c r="O2074" i="5"/>
  <c r="O2075" i="5"/>
  <c r="O2076" i="5"/>
  <c r="O2077" i="5"/>
  <c r="O2078" i="5"/>
  <c r="O2079" i="5"/>
  <c r="O2080" i="5"/>
  <c r="O2081" i="5"/>
  <c r="O2082" i="5"/>
  <c r="O2083" i="5"/>
  <c r="O2084" i="5"/>
  <c r="O2085" i="5"/>
  <c r="O2086" i="5"/>
  <c r="O2087" i="5"/>
  <c r="O2088" i="5"/>
  <c r="O2089" i="5"/>
  <c r="O2090" i="5"/>
  <c r="O2091" i="5"/>
  <c r="O2092" i="5"/>
  <c r="O2093" i="5"/>
  <c r="O2094" i="5"/>
  <c r="O2095" i="5"/>
  <c r="O2096" i="5"/>
  <c r="O2097" i="5"/>
  <c r="O2098" i="5"/>
  <c r="O2099" i="5"/>
  <c r="O2100" i="5"/>
  <c r="O2101" i="5"/>
  <c r="O2102" i="5"/>
  <c r="O2103" i="5"/>
  <c r="O2104" i="5"/>
  <c r="O2105" i="5"/>
  <c r="O2106" i="5"/>
  <c r="O2107" i="5"/>
  <c r="O2108" i="5"/>
  <c r="O2109" i="5"/>
  <c r="O2110" i="5"/>
  <c r="O2111" i="5"/>
  <c r="O2112" i="5"/>
  <c r="O2113" i="5"/>
  <c r="O2114" i="5"/>
  <c r="O2115" i="5"/>
  <c r="O2116" i="5"/>
  <c r="O2117" i="5"/>
  <c r="O2118" i="5"/>
  <c r="O2119" i="5"/>
  <c r="O2120" i="5"/>
  <c r="O2121" i="5"/>
  <c r="O2122" i="5"/>
  <c r="O2123" i="5"/>
  <c r="O2124" i="5"/>
  <c r="O2125" i="5"/>
  <c r="O2126" i="5"/>
  <c r="O2127" i="5"/>
  <c r="O2128" i="5"/>
  <c r="O2129" i="5"/>
  <c r="O2130" i="5"/>
  <c r="O2131" i="5"/>
  <c r="O2132" i="5"/>
  <c r="O2133" i="5"/>
  <c r="O2134" i="5"/>
  <c r="O2135" i="5"/>
  <c r="O2136" i="5"/>
  <c r="O2137" i="5"/>
  <c r="O2138" i="5"/>
  <c r="O2139" i="5"/>
  <c r="O2140" i="5"/>
  <c r="O2141" i="5"/>
  <c r="O2142" i="5"/>
  <c r="O2143" i="5"/>
  <c r="O2144" i="5"/>
  <c r="O2145" i="5"/>
  <c r="O2146" i="5"/>
  <c r="O2147" i="5"/>
  <c r="O2148" i="5"/>
  <c r="O2149" i="5"/>
  <c r="O2150" i="5"/>
  <c r="O2151" i="5"/>
  <c r="O2152" i="5"/>
  <c r="O2153" i="5"/>
  <c r="O2154" i="5"/>
  <c r="O2155" i="5"/>
  <c r="O2156" i="5"/>
  <c r="O2157" i="5"/>
  <c r="O2158" i="5"/>
  <c r="O2159" i="5"/>
  <c r="O2160" i="5"/>
  <c r="O2161" i="5"/>
  <c r="O2162" i="5"/>
  <c r="O2163" i="5"/>
  <c r="O2164" i="5"/>
  <c r="O2165" i="5"/>
  <c r="O2166" i="5"/>
  <c r="O2167" i="5"/>
  <c r="O2168" i="5"/>
  <c r="O2169" i="5"/>
  <c r="O2170" i="5"/>
  <c r="O2171" i="5"/>
  <c r="O2172" i="5"/>
  <c r="O2173" i="5"/>
  <c r="O2174" i="5"/>
  <c r="O2175" i="5"/>
  <c r="O2176" i="5"/>
  <c r="O2177" i="5"/>
  <c r="O2178" i="5"/>
  <c r="O2179" i="5"/>
  <c r="O2180" i="5"/>
  <c r="O2181" i="5"/>
  <c r="O2182" i="5"/>
  <c r="O2183" i="5"/>
  <c r="O2184" i="5"/>
  <c r="O2185" i="5"/>
  <c r="O2186" i="5"/>
  <c r="O2187" i="5"/>
  <c r="O2188" i="5"/>
  <c r="O2189" i="5"/>
  <c r="O2190" i="5"/>
  <c r="O2191" i="5"/>
  <c r="O2192" i="5"/>
  <c r="O2193" i="5"/>
  <c r="O2194" i="5"/>
  <c r="O2195" i="5"/>
  <c r="O2196" i="5"/>
  <c r="O2197" i="5"/>
  <c r="O2198" i="5"/>
  <c r="O2199" i="5"/>
  <c r="O2200" i="5"/>
  <c r="O2201" i="5"/>
  <c r="O2202" i="5"/>
  <c r="O2203" i="5"/>
  <c r="O2204" i="5"/>
  <c r="O2205" i="5"/>
  <c r="O2206" i="5"/>
  <c r="O2207" i="5"/>
  <c r="O2208" i="5"/>
  <c r="O2209" i="5"/>
  <c r="O2210" i="5"/>
  <c r="O2211" i="5"/>
  <c r="O2212" i="5"/>
  <c r="O2213" i="5"/>
  <c r="O2214" i="5"/>
  <c r="O2215" i="5"/>
  <c r="O2216" i="5"/>
  <c r="O2217" i="5"/>
  <c r="O2218" i="5"/>
  <c r="O2219" i="5"/>
  <c r="O2220" i="5"/>
  <c r="O2221" i="5"/>
  <c r="O2222" i="5"/>
  <c r="O2223" i="5"/>
  <c r="O2224" i="5"/>
  <c r="O2225" i="5"/>
  <c r="O2226" i="5"/>
  <c r="O2227" i="5"/>
  <c r="O2228" i="5"/>
  <c r="O2229" i="5"/>
  <c r="O2230" i="5"/>
  <c r="O2231" i="5"/>
  <c r="O2232" i="5"/>
  <c r="O2233" i="5"/>
  <c r="O2234" i="5"/>
  <c r="O2235" i="5"/>
  <c r="O2236" i="5"/>
  <c r="O2237" i="5"/>
  <c r="O2238" i="5"/>
  <c r="O2239" i="5"/>
  <c r="O2240" i="5"/>
  <c r="O2241" i="5"/>
  <c r="O2242" i="5"/>
  <c r="O2243" i="5"/>
  <c r="O2244" i="5"/>
  <c r="O2245" i="5"/>
  <c r="O2246" i="5"/>
  <c r="O2247" i="5"/>
  <c r="O2248" i="5"/>
  <c r="O2249" i="5"/>
  <c r="O2250" i="5"/>
  <c r="O2251" i="5"/>
  <c r="O2252" i="5"/>
  <c r="O2253" i="5"/>
  <c r="O2254" i="5"/>
  <c r="O2255" i="5"/>
  <c r="O2256" i="5"/>
  <c r="O2257" i="5"/>
  <c r="O2258" i="5"/>
  <c r="O2259" i="5"/>
  <c r="O2260" i="5"/>
  <c r="O2261" i="5"/>
  <c r="O2262" i="5"/>
  <c r="O2263" i="5"/>
  <c r="O2264" i="5"/>
  <c r="O2265" i="5"/>
  <c r="O2266" i="5"/>
  <c r="O2267" i="5"/>
  <c r="O2268" i="5"/>
  <c r="O2269" i="5"/>
  <c r="O2270" i="5"/>
  <c r="O2271" i="5"/>
  <c r="O2272" i="5"/>
  <c r="O2273" i="5"/>
  <c r="O2274" i="5"/>
  <c r="O2275" i="5"/>
  <c r="O2276" i="5"/>
  <c r="O2277" i="5"/>
  <c r="O2278" i="5"/>
  <c r="O2279" i="5"/>
  <c r="O2280" i="5"/>
  <c r="O2281" i="5"/>
  <c r="O2282" i="5"/>
  <c r="O2283" i="5"/>
  <c r="O2284" i="5"/>
  <c r="O2285" i="5"/>
  <c r="O2286" i="5"/>
  <c r="O2287" i="5"/>
  <c r="O2288" i="5"/>
  <c r="O2289" i="5"/>
  <c r="O2290" i="5"/>
  <c r="O2291" i="5"/>
  <c r="O2292" i="5"/>
  <c r="O2293" i="5"/>
  <c r="O2294" i="5"/>
  <c r="O2295" i="5"/>
  <c r="O2296" i="5"/>
  <c r="O2297" i="5"/>
  <c r="O2298" i="5"/>
  <c r="O2299" i="5"/>
  <c r="O2300" i="5"/>
  <c r="O2301" i="5"/>
  <c r="O2302" i="5"/>
  <c r="O2303" i="5"/>
  <c r="O2304" i="5"/>
  <c r="O2305" i="5"/>
  <c r="O2306" i="5"/>
  <c r="O2307" i="5"/>
  <c r="O2308" i="5"/>
  <c r="O2309" i="5"/>
  <c r="O2310" i="5"/>
  <c r="O2311" i="5"/>
  <c r="O2312" i="5"/>
  <c r="O2313" i="5"/>
  <c r="O2314" i="5"/>
  <c r="O2315" i="5"/>
  <c r="O2316" i="5"/>
  <c r="O2317" i="5"/>
  <c r="O2318" i="5"/>
  <c r="O2319" i="5"/>
  <c r="O2320" i="5"/>
  <c r="O2321" i="5"/>
  <c r="O2322" i="5"/>
  <c r="O2323" i="5"/>
  <c r="O2324" i="5"/>
  <c r="O2325" i="5"/>
  <c r="O2326" i="5"/>
  <c r="O2327" i="5"/>
  <c r="O2328" i="5"/>
  <c r="O2329" i="5"/>
  <c r="O2330" i="5"/>
  <c r="O2331" i="5"/>
  <c r="O2332" i="5"/>
  <c r="O2333" i="5"/>
  <c r="O2334" i="5"/>
  <c r="O2335" i="5"/>
  <c r="O2336" i="5"/>
  <c r="O2337" i="5"/>
  <c r="O2338" i="5"/>
  <c r="O2339" i="5"/>
  <c r="O2340" i="5"/>
  <c r="O2341" i="5"/>
  <c r="O2342" i="5"/>
  <c r="O2343" i="5"/>
  <c r="O2344" i="5"/>
  <c r="O2345" i="5"/>
  <c r="O2346" i="5"/>
  <c r="O2347" i="5"/>
  <c r="O2348" i="5"/>
  <c r="O2349" i="5"/>
  <c r="O2350" i="5"/>
  <c r="O2351" i="5"/>
  <c r="O2352" i="5"/>
  <c r="O2353" i="5"/>
  <c r="O2354" i="5"/>
  <c r="O2355" i="5"/>
  <c r="O2356" i="5"/>
  <c r="O2357" i="5"/>
  <c r="O2358" i="5"/>
  <c r="O2359" i="5"/>
  <c r="O2360" i="5"/>
  <c r="O2361" i="5"/>
  <c r="O2362" i="5"/>
  <c r="O2363" i="5"/>
  <c r="O2364" i="5"/>
  <c r="O2365" i="5"/>
  <c r="O2366" i="5"/>
  <c r="O2367" i="5"/>
  <c r="O2368" i="5"/>
  <c r="O2369" i="5"/>
  <c r="O2370" i="5"/>
  <c r="O2371" i="5"/>
  <c r="O2372" i="5"/>
  <c r="O2373" i="5"/>
  <c r="O2374" i="5"/>
  <c r="O2375" i="5"/>
  <c r="O2376" i="5"/>
  <c r="O2377" i="5"/>
  <c r="O2378" i="5"/>
  <c r="O2379" i="5"/>
  <c r="O2380" i="5"/>
  <c r="O2381" i="5"/>
  <c r="O2382" i="5"/>
  <c r="O2383" i="5"/>
  <c r="O2384" i="5"/>
  <c r="O2385" i="5"/>
  <c r="O2386" i="5"/>
  <c r="O2387" i="5"/>
  <c r="O2388" i="5"/>
  <c r="O2389" i="5"/>
  <c r="O2390" i="5"/>
  <c r="O2391" i="5"/>
  <c r="O2392" i="5"/>
  <c r="O2393" i="5"/>
  <c r="O2394" i="5"/>
  <c r="O2395" i="5"/>
  <c r="O2396" i="5"/>
  <c r="O2397" i="5"/>
  <c r="O2398" i="5"/>
  <c r="O2399" i="5"/>
  <c r="O2400" i="5"/>
  <c r="O2401" i="5"/>
  <c r="O2402" i="5"/>
  <c r="O2403" i="5"/>
  <c r="O2404" i="5"/>
  <c r="O2405" i="5"/>
  <c r="O2406" i="5"/>
  <c r="O2407" i="5"/>
  <c r="O2408" i="5"/>
  <c r="O2409" i="5"/>
  <c r="O2410" i="5"/>
  <c r="O2411" i="5"/>
  <c r="O2412" i="5"/>
  <c r="O2413" i="5"/>
  <c r="O2414" i="5"/>
  <c r="O2415" i="5"/>
  <c r="O2416" i="5"/>
  <c r="O2417" i="5"/>
  <c r="O2418" i="5"/>
  <c r="O2419" i="5"/>
  <c r="O2420" i="5"/>
  <c r="O2421" i="5"/>
  <c r="O2422" i="5"/>
  <c r="O2423" i="5"/>
  <c r="O2424" i="5"/>
  <c r="O2425" i="5"/>
  <c r="O2426" i="5"/>
  <c r="O2427" i="5"/>
  <c r="O2428" i="5"/>
  <c r="O2429" i="5"/>
  <c r="O2430" i="5"/>
  <c r="O2431" i="5"/>
  <c r="O2432" i="5"/>
  <c r="O2433" i="5"/>
  <c r="O2434" i="5"/>
  <c r="O2435" i="5"/>
  <c r="O2436" i="5"/>
  <c r="O2437" i="5"/>
  <c r="O2438" i="5"/>
  <c r="O2439" i="5"/>
  <c r="O2440" i="5"/>
  <c r="O2441" i="5"/>
  <c r="O2442" i="5"/>
  <c r="O2443" i="5"/>
  <c r="O2444" i="5"/>
  <c r="O2445" i="5"/>
  <c r="O2446" i="5"/>
  <c r="O2447" i="5"/>
  <c r="O2448" i="5"/>
  <c r="O2449" i="5"/>
  <c r="O2450" i="5"/>
  <c r="O2451" i="5"/>
  <c r="O2452" i="5"/>
  <c r="O2453" i="5"/>
  <c r="O2454" i="5"/>
  <c r="O2455" i="5"/>
  <c r="O2456" i="5"/>
  <c r="O2457" i="5"/>
  <c r="O2458" i="5"/>
  <c r="O2459" i="5"/>
  <c r="O2460" i="5"/>
  <c r="O2461" i="5"/>
  <c r="O2462" i="5"/>
  <c r="O2463" i="5"/>
  <c r="O2464" i="5"/>
  <c r="O2465" i="5"/>
  <c r="O2466" i="5"/>
  <c r="O2467" i="5"/>
  <c r="O2468" i="5"/>
  <c r="O2469" i="5"/>
  <c r="O2470" i="5"/>
  <c r="O2471" i="5"/>
  <c r="O2472" i="5"/>
  <c r="O2473" i="5"/>
  <c r="O2474" i="5"/>
  <c r="O2475" i="5"/>
  <c r="O2476" i="5"/>
  <c r="O2477" i="5"/>
  <c r="O2478" i="5"/>
  <c r="O2479" i="5"/>
  <c r="O2480" i="5"/>
  <c r="O2481" i="5"/>
  <c r="O2482" i="5"/>
  <c r="O2483" i="5"/>
  <c r="O2484" i="5"/>
  <c r="O2485" i="5"/>
  <c r="O2486" i="5"/>
  <c r="O2487" i="5"/>
  <c r="O2488" i="5"/>
  <c r="O2489" i="5"/>
  <c r="O2490" i="5"/>
  <c r="O2491" i="5"/>
  <c r="O2492" i="5"/>
  <c r="O2493" i="5"/>
  <c r="O2494" i="5"/>
  <c r="O2495" i="5"/>
  <c r="O2496" i="5"/>
  <c r="O2497" i="5"/>
  <c r="O2498" i="5"/>
  <c r="O2499" i="5"/>
  <c r="O2500" i="5"/>
  <c r="O2501" i="5"/>
  <c r="O2502" i="5"/>
  <c r="O2503" i="5"/>
  <c r="O2504" i="5"/>
  <c r="O2505" i="5"/>
  <c r="O2506" i="5"/>
  <c r="O2507" i="5"/>
  <c r="O2508" i="5"/>
  <c r="O2509" i="5"/>
  <c r="O2510" i="5"/>
  <c r="O2511" i="5"/>
  <c r="O2512" i="5"/>
  <c r="O2513" i="5"/>
  <c r="O2514" i="5"/>
  <c r="O2515" i="5"/>
  <c r="O2516" i="5"/>
  <c r="O2517" i="5"/>
  <c r="O2518" i="5"/>
  <c r="O2519" i="5"/>
  <c r="O2520" i="5"/>
  <c r="O2521" i="5"/>
  <c r="O2522" i="5"/>
  <c r="O2523" i="5"/>
  <c r="O2524" i="5"/>
  <c r="O2525" i="5"/>
  <c r="O2526" i="5"/>
  <c r="O2527" i="5"/>
  <c r="O2528" i="5"/>
  <c r="O2529" i="5"/>
  <c r="O2530" i="5"/>
  <c r="O2531" i="5"/>
  <c r="O2532" i="5"/>
  <c r="O2533" i="5"/>
  <c r="O2534" i="5"/>
  <c r="O2535" i="5"/>
  <c r="O2536" i="5"/>
  <c r="O2537" i="5"/>
  <c r="O2538" i="5"/>
  <c r="O2539" i="5"/>
  <c r="O2540" i="5"/>
  <c r="O2541" i="5"/>
  <c r="O2542" i="5"/>
  <c r="O2543" i="5"/>
  <c r="O2544" i="5"/>
  <c r="O2545" i="5"/>
  <c r="O2546" i="5"/>
  <c r="O2547" i="5"/>
  <c r="O2548" i="5"/>
  <c r="O2549" i="5"/>
  <c r="O2550" i="5"/>
  <c r="O2551" i="5"/>
  <c r="O2552" i="5"/>
  <c r="O2553" i="5"/>
  <c r="O2554" i="5"/>
  <c r="O2555" i="5"/>
  <c r="O2556" i="5"/>
  <c r="O2557" i="5"/>
  <c r="O2558" i="5"/>
  <c r="O2559" i="5"/>
  <c r="O2560" i="5"/>
  <c r="O2561" i="5"/>
  <c r="O2562" i="5"/>
  <c r="O2563" i="5"/>
  <c r="O2564" i="5"/>
  <c r="O2565" i="5"/>
  <c r="O2566" i="5"/>
  <c r="O2567" i="5"/>
  <c r="O2568" i="5"/>
  <c r="O2569" i="5"/>
  <c r="O2570" i="5"/>
  <c r="O2571" i="5"/>
  <c r="O2572" i="5"/>
  <c r="O2573" i="5"/>
  <c r="O2574" i="5"/>
  <c r="O2575" i="5"/>
  <c r="O2576" i="5"/>
  <c r="O2577" i="5"/>
  <c r="O2578" i="5"/>
  <c r="O2579" i="5"/>
  <c r="O2580" i="5"/>
  <c r="O2581" i="5"/>
  <c r="O2582" i="5"/>
  <c r="O2583" i="5"/>
  <c r="O2584" i="5"/>
  <c r="O2585" i="5"/>
  <c r="O2586" i="5"/>
  <c r="O2587" i="5"/>
  <c r="O2588" i="5"/>
  <c r="O2589" i="5"/>
  <c r="O2590" i="5"/>
  <c r="O2591" i="5"/>
  <c r="O2592" i="5"/>
  <c r="O2593" i="5"/>
  <c r="O2594" i="5"/>
  <c r="O2595" i="5"/>
  <c r="O2596" i="5"/>
  <c r="O2597" i="5"/>
  <c r="O2598" i="5"/>
  <c r="O2599" i="5"/>
  <c r="O2600" i="5"/>
  <c r="O2601" i="5"/>
  <c r="O2602" i="5"/>
  <c r="O2603" i="5"/>
  <c r="O2604" i="5"/>
  <c r="O2605" i="5"/>
  <c r="O2606" i="5"/>
  <c r="O2607" i="5"/>
  <c r="O2608" i="5"/>
  <c r="O2609" i="5"/>
  <c r="O2610" i="5"/>
  <c r="O2611" i="5"/>
  <c r="O2612" i="5"/>
  <c r="O2613" i="5"/>
  <c r="O2614" i="5"/>
  <c r="O2615" i="5"/>
  <c r="O2616" i="5"/>
  <c r="O2617" i="5"/>
  <c r="O2618" i="5"/>
  <c r="O2619" i="5"/>
  <c r="O2620" i="5"/>
  <c r="O2621" i="5"/>
  <c r="O2622" i="5"/>
  <c r="O2623" i="5"/>
  <c r="O2624" i="5"/>
  <c r="O2625" i="5"/>
  <c r="O2626" i="5"/>
  <c r="O2627" i="5"/>
  <c r="O2628" i="5"/>
  <c r="O2629" i="5"/>
  <c r="O2630" i="5"/>
  <c r="O2631" i="5"/>
  <c r="O2632" i="5"/>
  <c r="O2633" i="5"/>
  <c r="O2634" i="5"/>
  <c r="O2635" i="5"/>
  <c r="O2636" i="5"/>
  <c r="O2637" i="5"/>
  <c r="O2638" i="5"/>
  <c r="O2639" i="5"/>
  <c r="O2640" i="5"/>
  <c r="O2641" i="5"/>
  <c r="O2642" i="5"/>
  <c r="O2643" i="5"/>
  <c r="O2644" i="5"/>
  <c r="O2645" i="5"/>
  <c r="O2646" i="5"/>
  <c r="O2647" i="5"/>
  <c r="O2648" i="5"/>
  <c r="O2649" i="5"/>
  <c r="O2650" i="5"/>
  <c r="O2651" i="5"/>
  <c r="O2652" i="5"/>
  <c r="O2653" i="5"/>
  <c r="O2654" i="5"/>
  <c r="O2655" i="5"/>
  <c r="O2656" i="5"/>
  <c r="O2657" i="5"/>
  <c r="O2658" i="5"/>
  <c r="O2659" i="5"/>
  <c r="O2660" i="5"/>
  <c r="O2661" i="5"/>
  <c r="O2662" i="5"/>
  <c r="O2663" i="5"/>
  <c r="O2664" i="5"/>
  <c r="O2665" i="5"/>
  <c r="O2666" i="5"/>
  <c r="O2667" i="5"/>
  <c r="O2668" i="5"/>
  <c r="O2669" i="5"/>
  <c r="O2670" i="5"/>
  <c r="O2671" i="5"/>
  <c r="O2672" i="5"/>
  <c r="O2673" i="5"/>
  <c r="O2674" i="5"/>
  <c r="O2675" i="5"/>
  <c r="O2676" i="5"/>
  <c r="O2677" i="5"/>
  <c r="O2678" i="5"/>
  <c r="O2679" i="5"/>
  <c r="O2680" i="5"/>
  <c r="O2681" i="5"/>
  <c r="O2682" i="5"/>
  <c r="O2683" i="5"/>
  <c r="O2684" i="5"/>
  <c r="O2685" i="5"/>
  <c r="O2686" i="5"/>
  <c r="O2687" i="5"/>
  <c r="O2688" i="5"/>
  <c r="O2689" i="5"/>
  <c r="O2690" i="5"/>
  <c r="O2691" i="5"/>
  <c r="O2692" i="5"/>
  <c r="O2693" i="5"/>
  <c r="O2694" i="5"/>
  <c r="O2695" i="5"/>
  <c r="O2696" i="5"/>
  <c r="O2697" i="5"/>
  <c r="O2698" i="5"/>
  <c r="O2699" i="5"/>
  <c r="O2700" i="5"/>
  <c r="O2701" i="5"/>
  <c r="O2702" i="5"/>
  <c r="O2703" i="5"/>
  <c r="O2704" i="5"/>
  <c r="O2705" i="5"/>
  <c r="O2706" i="5"/>
  <c r="O2707" i="5"/>
  <c r="O2708" i="5"/>
  <c r="O2709" i="5"/>
  <c r="O2710" i="5"/>
  <c r="O2711" i="5"/>
  <c r="O2712" i="5"/>
  <c r="O2713" i="5"/>
  <c r="O2714" i="5"/>
  <c r="O2715" i="5"/>
  <c r="O2716" i="5"/>
  <c r="O2717" i="5"/>
  <c r="O2718" i="5"/>
  <c r="O2719" i="5"/>
  <c r="O2720" i="5"/>
  <c r="O2721" i="5"/>
  <c r="O2722" i="5"/>
  <c r="O2723" i="5"/>
  <c r="O2724" i="5"/>
  <c r="O2725" i="5"/>
  <c r="O2726" i="5"/>
  <c r="O2727" i="5"/>
  <c r="O2728" i="5"/>
  <c r="O2729" i="5"/>
  <c r="O2730" i="5"/>
  <c r="O2731" i="5"/>
  <c r="O2732" i="5"/>
  <c r="O2733" i="5"/>
  <c r="O2734" i="5"/>
  <c r="O2735" i="5"/>
  <c r="O2736" i="5"/>
  <c r="O2737" i="5"/>
  <c r="O2738" i="5"/>
  <c r="O2739" i="5"/>
  <c r="O2740" i="5"/>
  <c r="O2741" i="5"/>
  <c r="O2742" i="5"/>
  <c r="O2743" i="5"/>
  <c r="O2744" i="5"/>
  <c r="O2745" i="5"/>
  <c r="O2746" i="5"/>
  <c r="O2747" i="5"/>
  <c r="O2748" i="5"/>
  <c r="O2749" i="5"/>
  <c r="O2750" i="5"/>
  <c r="O2751" i="5"/>
  <c r="O2752" i="5"/>
  <c r="O2753" i="5"/>
  <c r="O2754" i="5"/>
  <c r="O2755" i="5"/>
  <c r="O2756" i="5"/>
  <c r="O2757" i="5"/>
  <c r="O2758" i="5"/>
  <c r="O2759" i="5"/>
  <c r="O2760" i="5"/>
  <c r="O2761" i="5"/>
  <c r="O2762" i="5"/>
  <c r="O2763" i="5"/>
  <c r="O2764" i="5"/>
  <c r="O2765" i="5"/>
  <c r="O2766" i="5"/>
  <c r="O2767" i="5"/>
  <c r="O2768" i="5"/>
  <c r="O2769" i="5"/>
  <c r="O2770" i="5"/>
  <c r="O2771" i="5"/>
  <c r="O2772" i="5"/>
  <c r="O2773" i="5"/>
  <c r="O2774" i="5"/>
  <c r="O2775" i="5"/>
  <c r="O2776" i="5"/>
  <c r="O2777" i="5"/>
  <c r="O2778" i="5"/>
  <c r="O2779" i="5"/>
  <c r="O2780" i="5"/>
  <c r="O2781" i="5"/>
  <c r="O2782" i="5"/>
  <c r="O2783" i="5"/>
  <c r="O2784" i="5"/>
  <c r="O2785" i="5"/>
  <c r="O2786" i="5"/>
  <c r="O2787" i="5"/>
  <c r="O2788" i="5"/>
  <c r="O2789" i="5"/>
  <c r="O2790" i="5"/>
  <c r="O2791" i="5"/>
  <c r="O2792" i="5"/>
  <c r="O2793" i="5"/>
  <c r="O2794" i="5"/>
  <c r="O2795" i="5"/>
  <c r="O2796" i="5"/>
  <c r="O2797" i="5"/>
  <c r="O2798" i="5"/>
  <c r="O2799" i="5"/>
  <c r="O2800" i="5"/>
  <c r="O2801" i="5"/>
  <c r="O2802" i="5"/>
  <c r="O2803" i="5"/>
  <c r="O2804" i="5"/>
  <c r="O2805" i="5"/>
  <c r="O2806" i="5"/>
  <c r="O2807" i="5"/>
  <c r="O2808" i="5"/>
  <c r="O2809" i="5"/>
  <c r="O2810" i="5"/>
  <c r="O2811" i="5"/>
  <c r="O2812" i="5"/>
  <c r="O2813" i="5"/>
  <c r="O2814" i="5"/>
  <c r="O2815" i="5"/>
  <c r="O2816" i="5"/>
  <c r="O2817" i="5"/>
  <c r="O2818" i="5"/>
  <c r="O2819" i="5"/>
  <c r="O2820" i="5"/>
  <c r="O2821" i="5"/>
  <c r="O2822" i="5"/>
  <c r="O2823" i="5"/>
  <c r="O2824" i="5"/>
  <c r="O2825" i="5"/>
  <c r="O2826" i="5"/>
  <c r="O2827" i="5"/>
  <c r="O2828" i="5"/>
  <c r="O2829" i="5"/>
  <c r="O2830" i="5"/>
  <c r="O2831" i="5"/>
  <c r="O2832" i="5"/>
  <c r="O2833" i="5"/>
  <c r="O2834" i="5"/>
  <c r="O2835" i="5"/>
  <c r="O2836" i="5"/>
  <c r="O2837" i="5"/>
  <c r="O2838" i="5"/>
  <c r="O2839" i="5"/>
  <c r="O2840" i="5"/>
  <c r="O2841" i="5"/>
  <c r="O2842" i="5"/>
  <c r="O2843" i="5"/>
  <c r="O2844" i="5"/>
  <c r="O2845" i="5"/>
  <c r="O2846" i="5"/>
  <c r="O2847" i="5"/>
  <c r="O2848" i="5"/>
  <c r="O2849" i="5"/>
  <c r="O2850" i="5"/>
  <c r="O2851" i="5"/>
  <c r="O2852" i="5"/>
  <c r="O2853" i="5"/>
  <c r="O2854" i="5"/>
  <c r="O2855" i="5"/>
  <c r="O2856" i="5"/>
  <c r="O2857" i="5"/>
  <c r="O2858" i="5"/>
  <c r="O2859" i="5"/>
  <c r="O2860" i="5"/>
  <c r="O2861" i="5"/>
  <c r="O2862" i="5"/>
  <c r="O2863" i="5"/>
  <c r="O2864" i="5"/>
  <c r="O2865" i="5"/>
  <c r="O2866" i="5"/>
  <c r="O2867" i="5"/>
  <c r="O2868" i="5"/>
  <c r="O2869" i="5"/>
  <c r="O2870" i="5"/>
  <c r="O2871" i="5"/>
  <c r="O2872" i="5"/>
  <c r="O2873" i="5"/>
  <c r="O2874" i="5"/>
  <c r="O2875" i="5"/>
  <c r="O2876" i="5"/>
  <c r="O2877" i="5"/>
  <c r="O2878" i="5"/>
  <c r="O2879" i="5"/>
  <c r="O2880" i="5"/>
  <c r="O2881" i="5"/>
  <c r="O2882" i="5"/>
  <c r="O2883" i="5"/>
  <c r="O2884" i="5"/>
  <c r="O2885" i="5"/>
  <c r="O2886" i="5"/>
  <c r="O2887" i="5"/>
  <c r="O2888" i="5"/>
  <c r="O2889" i="5"/>
  <c r="O2890" i="5"/>
  <c r="O2891" i="5"/>
  <c r="O2892" i="5"/>
  <c r="O2893" i="5"/>
  <c r="O2894" i="5"/>
  <c r="O2895" i="5"/>
  <c r="O2896" i="5"/>
  <c r="O2897" i="5"/>
  <c r="O2898" i="5"/>
  <c r="O2899" i="5"/>
  <c r="O2900" i="5"/>
  <c r="O2901" i="5"/>
  <c r="O2902" i="5"/>
  <c r="O2903" i="5"/>
  <c r="O2904" i="5"/>
  <c r="O2905" i="5"/>
  <c r="O2906" i="5"/>
  <c r="O2907" i="5"/>
  <c r="O2908" i="5"/>
  <c r="O2909" i="5"/>
  <c r="O2910" i="5"/>
  <c r="O2911" i="5"/>
  <c r="O2912" i="5"/>
  <c r="O2913" i="5"/>
  <c r="O2914" i="5"/>
  <c r="O2915" i="5"/>
  <c r="O2916" i="5"/>
  <c r="O2917" i="5"/>
  <c r="O2918" i="5"/>
  <c r="O2919" i="5"/>
  <c r="O2920" i="5"/>
  <c r="O2921" i="5"/>
  <c r="O2922" i="5"/>
  <c r="O2923" i="5"/>
  <c r="O2924" i="5"/>
  <c r="O2925" i="5"/>
  <c r="O2926" i="5"/>
  <c r="O2927" i="5"/>
  <c r="O2928" i="5"/>
  <c r="O2929" i="5"/>
  <c r="O2930" i="5"/>
  <c r="O2931" i="5"/>
  <c r="O2932" i="5"/>
  <c r="O2933" i="5"/>
  <c r="O2934" i="5"/>
  <c r="O2935" i="5"/>
  <c r="O2936" i="5"/>
  <c r="O2937" i="5"/>
  <c r="O2938" i="5"/>
  <c r="O2939" i="5"/>
  <c r="O2940" i="5"/>
  <c r="O2941" i="5"/>
  <c r="O2942" i="5"/>
  <c r="O2943" i="5"/>
  <c r="O2944" i="5"/>
  <c r="O2945" i="5"/>
  <c r="O2946" i="5"/>
  <c r="O2947" i="5"/>
  <c r="O2948" i="5"/>
  <c r="O2949" i="5"/>
  <c r="O2950" i="5"/>
  <c r="O2951" i="5"/>
  <c r="O2952" i="5"/>
  <c r="O2953" i="5"/>
  <c r="O2954" i="5"/>
  <c r="O2955" i="5"/>
  <c r="O2956" i="5"/>
  <c r="O2957" i="5"/>
  <c r="O2958" i="5"/>
  <c r="O2959" i="5"/>
  <c r="O2960" i="5"/>
  <c r="O2961" i="5"/>
  <c r="O2962" i="5"/>
  <c r="O2963" i="5"/>
  <c r="O2964" i="5"/>
  <c r="O2965" i="5"/>
  <c r="O2966" i="5"/>
  <c r="O2967" i="5"/>
  <c r="O2968" i="5"/>
  <c r="O2969" i="5"/>
  <c r="O2970" i="5"/>
  <c r="O2971" i="5"/>
  <c r="O2972" i="5"/>
  <c r="O2973" i="5"/>
  <c r="O2974" i="5"/>
  <c r="O2975" i="5"/>
  <c r="O2976" i="5"/>
  <c r="O2977" i="5"/>
  <c r="O2978" i="5"/>
  <c r="O2979" i="5"/>
  <c r="O2980" i="5"/>
  <c r="O2981" i="5"/>
  <c r="O2982" i="5"/>
  <c r="O2983" i="5"/>
  <c r="O2984" i="5"/>
  <c r="O2985" i="5"/>
  <c r="O2986" i="5"/>
  <c r="O2987" i="5"/>
  <c r="O2988" i="5"/>
  <c r="O2989" i="5"/>
  <c r="O2990" i="5"/>
  <c r="O2991" i="5"/>
  <c r="O2992" i="5"/>
  <c r="O2993" i="5"/>
  <c r="O2994" i="5"/>
  <c r="O2995" i="5"/>
  <c r="O2996" i="5"/>
  <c r="O2997" i="5"/>
  <c r="O2998" i="5"/>
  <c r="O2999" i="5"/>
  <c r="O3000" i="5"/>
  <c r="O3001" i="5"/>
  <c r="O3002" i="5"/>
  <c r="O3003" i="5"/>
  <c r="O3004" i="5"/>
  <c r="O3005" i="5"/>
  <c r="O3006" i="5"/>
  <c r="O3007" i="5"/>
  <c r="O3008" i="5"/>
  <c r="O3009" i="5"/>
  <c r="O3010" i="5"/>
  <c r="O3011" i="5"/>
  <c r="O3012" i="5"/>
  <c r="O3013" i="5"/>
  <c r="O3014" i="5"/>
  <c r="O3015" i="5"/>
  <c r="O3016" i="5"/>
  <c r="O3017" i="5"/>
  <c r="O3018" i="5"/>
  <c r="O3019" i="5"/>
  <c r="O3020" i="5"/>
  <c r="O3021" i="5"/>
  <c r="O3022" i="5"/>
  <c r="O3023" i="5"/>
  <c r="O3024" i="5"/>
  <c r="O3025" i="5"/>
  <c r="O3026" i="5"/>
  <c r="O3027" i="5"/>
  <c r="O3028" i="5"/>
  <c r="O3029" i="5"/>
  <c r="O3030" i="5"/>
  <c r="O3031" i="5"/>
  <c r="O3032" i="5"/>
  <c r="O3033" i="5"/>
  <c r="O3034" i="5"/>
  <c r="O3035" i="5"/>
  <c r="O3036" i="5"/>
  <c r="O3037" i="5"/>
  <c r="O3038" i="5"/>
  <c r="O3039" i="5"/>
  <c r="O3040" i="5"/>
  <c r="O3041" i="5"/>
  <c r="O3042" i="5"/>
  <c r="O3043" i="5"/>
  <c r="O3044" i="5"/>
  <c r="O3045" i="5"/>
  <c r="O3046" i="5"/>
  <c r="O3047" i="5"/>
  <c r="O3048" i="5"/>
  <c r="O3049" i="5"/>
  <c r="O3050" i="5"/>
  <c r="O3051" i="5"/>
  <c r="O3052" i="5"/>
  <c r="O3053" i="5"/>
  <c r="O3054" i="5"/>
  <c r="O3055" i="5"/>
  <c r="O3056" i="5"/>
  <c r="O3057" i="5"/>
  <c r="O3058" i="5"/>
  <c r="O3059" i="5"/>
  <c r="O3060" i="5"/>
  <c r="O3061" i="5"/>
  <c r="O3062" i="5"/>
  <c r="O3063" i="5"/>
  <c r="O3064" i="5"/>
  <c r="O3065" i="5"/>
  <c r="O3066" i="5"/>
  <c r="O3067" i="5"/>
  <c r="O3068" i="5"/>
  <c r="O3069" i="5"/>
  <c r="O3070" i="5"/>
  <c r="O3071" i="5"/>
  <c r="O3072" i="5"/>
  <c r="O3073" i="5"/>
  <c r="O3074" i="5"/>
  <c r="O3075" i="5"/>
  <c r="O3076" i="5"/>
  <c r="O3077" i="5"/>
  <c r="O3078" i="5"/>
  <c r="O3079" i="5"/>
  <c r="O3080" i="5"/>
  <c r="O3081" i="5"/>
  <c r="O3082" i="5"/>
  <c r="O3083" i="5"/>
  <c r="O3084" i="5"/>
  <c r="O3085" i="5"/>
  <c r="O3086" i="5"/>
  <c r="O3087" i="5"/>
  <c r="O3088" i="5"/>
  <c r="O3089" i="5"/>
  <c r="O3090" i="5"/>
  <c r="O3091" i="5"/>
  <c r="O3092" i="5"/>
  <c r="O3093" i="5"/>
  <c r="O3094" i="5"/>
  <c r="O3095" i="5"/>
  <c r="O3096" i="5"/>
  <c r="O3097" i="5"/>
  <c r="O3098" i="5"/>
  <c r="O3099" i="5"/>
  <c r="O3100" i="5"/>
  <c r="O3101" i="5"/>
  <c r="O3102" i="5"/>
  <c r="O3103" i="5"/>
  <c r="O3104" i="5"/>
  <c r="O3105" i="5"/>
  <c r="O3106" i="5"/>
  <c r="O3107" i="5"/>
  <c r="O3108" i="5"/>
  <c r="O3109" i="5"/>
  <c r="O3110" i="5"/>
  <c r="O3111" i="5"/>
  <c r="O3112" i="5"/>
  <c r="O3113" i="5"/>
  <c r="O3114" i="5"/>
  <c r="O3115" i="5"/>
  <c r="O3116" i="5"/>
  <c r="O3117" i="5"/>
  <c r="O3118" i="5"/>
  <c r="O3119" i="5"/>
  <c r="O3120" i="5"/>
  <c r="O3121" i="5"/>
  <c r="O3122" i="5"/>
  <c r="O3123" i="5"/>
  <c r="O3124" i="5"/>
  <c r="O3125" i="5"/>
  <c r="O3126" i="5"/>
  <c r="O3127" i="5"/>
  <c r="O3128" i="5"/>
  <c r="O3129" i="5"/>
  <c r="O3130" i="5"/>
  <c r="O3131" i="5"/>
  <c r="O3132" i="5"/>
  <c r="O3133" i="5"/>
  <c r="O3134" i="5"/>
  <c r="O3135" i="5"/>
  <c r="O3136" i="5"/>
  <c r="O3137" i="5"/>
  <c r="O3138" i="5"/>
  <c r="O3139" i="5"/>
  <c r="O3140" i="5"/>
  <c r="O3141" i="5"/>
  <c r="O3142" i="5"/>
  <c r="O3143" i="5"/>
  <c r="O3144" i="5"/>
  <c r="O3145" i="5"/>
  <c r="O3146" i="5"/>
  <c r="O3147" i="5"/>
  <c r="O3148" i="5"/>
  <c r="O3149" i="5"/>
  <c r="O3150" i="5"/>
  <c r="O3151" i="5"/>
  <c r="O3152" i="5"/>
  <c r="O3153" i="5"/>
  <c r="O3154" i="5"/>
  <c r="O3155" i="5"/>
  <c r="O3156" i="5"/>
  <c r="O3157" i="5"/>
  <c r="O3158" i="5"/>
  <c r="O3159" i="5"/>
  <c r="O3160" i="5"/>
  <c r="O3161" i="5"/>
  <c r="O3162" i="5"/>
  <c r="O3163" i="5"/>
  <c r="O3164" i="5"/>
  <c r="O3165" i="5"/>
  <c r="O3166" i="5"/>
  <c r="O3167" i="5"/>
  <c r="O3168" i="5"/>
  <c r="O3169" i="5"/>
  <c r="O3170" i="5"/>
  <c r="O3171" i="5"/>
  <c r="O3172" i="5"/>
  <c r="O3173" i="5"/>
  <c r="O3174" i="5"/>
  <c r="O3175" i="5"/>
  <c r="O3176" i="5"/>
  <c r="O3177" i="5"/>
  <c r="O3178" i="5"/>
  <c r="O3179" i="5"/>
  <c r="O3180" i="5"/>
  <c r="O3181" i="5"/>
  <c r="O3182" i="5"/>
  <c r="O3183" i="5"/>
  <c r="O3184" i="5"/>
  <c r="O3185" i="5"/>
  <c r="O3186" i="5"/>
  <c r="O3187" i="5"/>
  <c r="O3188" i="5"/>
  <c r="O3189" i="5"/>
  <c r="O3190" i="5"/>
  <c r="O3191" i="5"/>
  <c r="O3192" i="5"/>
  <c r="O3193" i="5"/>
  <c r="O3194" i="5"/>
  <c r="O3195" i="5"/>
  <c r="O3196" i="5"/>
  <c r="O3197" i="5"/>
  <c r="O3198" i="5"/>
  <c r="O3199" i="5"/>
  <c r="O3200" i="5"/>
  <c r="O3201" i="5"/>
  <c r="O3202" i="5"/>
  <c r="O3203" i="5"/>
  <c r="O3204" i="5"/>
  <c r="O3205" i="5"/>
  <c r="O3206" i="5"/>
  <c r="O3207" i="5"/>
  <c r="O3208" i="5"/>
  <c r="O3209" i="5"/>
  <c r="O3210" i="5"/>
  <c r="O3211" i="5"/>
  <c r="O3212" i="5"/>
  <c r="O3213" i="5"/>
  <c r="O3214" i="5"/>
  <c r="O3215" i="5"/>
  <c r="O3216" i="5"/>
  <c r="O3217" i="5"/>
  <c r="O3218" i="5"/>
  <c r="O3219" i="5"/>
  <c r="O3220" i="5"/>
  <c r="O3221" i="5"/>
  <c r="O3222" i="5"/>
  <c r="O3223" i="5"/>
  <c r="O3224" i="5"/>
  <c r="O3225" i="5"/>
  <c r="O3226" i="5"/>
  <c r="O3227" i="5"/>
  <c r="O3228" i="5"/>
  <c r="O3229" i="5"/>
  <c r="O3230" i="5"/>
  <c r="O3231" i="5"/>
  <c r="O3232" i="5"/>
  <c r="O3233" i="5"/>
  <c r="O3234" i="5"/>
  <c r="O3235" i="5"/>
  <c r="O3236" i="5"/>
  <c r="O3237" i="5"/>
  <c r="O3238" i="5"/>
  <c r="O3239" i="5"/>
  <c r="O3240" i="5"/>
  <c r="O3241" i="5"/>
  <c r="O3242" i="5"/>
  <c r="O3243" i="5"/>
  <c r="O3244" i="5"/>
  <c r="O3245" i="5"/>
  <c r="O3246" i="5"/>
  <c r="O3247" i="5"/>
  <c r="O3248" i="5"/>
  <c r="O3249" i="5"/>
  <c r="O3250" i="5"/>
  <c r="O3251" i="5"/>
  <c r="O3252" i="5"/>
  <c r="O3253" i="5"/>
  <c r="O3254" i="5"/>
  <c r="O3255" i="5"/>
  <c r="O3256" i="5"/>
  <c r="O3257" i="5"/>
  <c r="O3258" i="5"/>
  <c r="O3259" i="5"/>
  <c r="O3260" i="5"/>
  <c r="O3261" i="5"/>
  <c r="O3262" i="5"/>
  <c r="O3263" i="5"/>
  <c r="O3264" i="5"/>
  <c r="O3265" i="5"/>
  <c r="O3266" i="5"/>
  <c r="O3267" i="5"/>
  <c r="O3268" i="5"/>
  <c r="O3269" i="5"/>
  <c r="O3270" i="5"/>
  <c r="O3271" i="5"/>
  <c r="O3272" i="5"/>
  <c r="O3273" i="5"/>
  <c r="O3274" i="5"/>
  <c r="O3275" i="5"/>
  <c r="O3276" i="5"/>
  <c r="O3277" i="5"/>
  <c r="O3278" i="5"/>
  <c r="O3279" i="5"/>
  <c r="O3280" i="5"/>
  <c r="O3281" i="5"/>
  <c r="O3282" i="5"/>
  <c r="O3283" i="5"/>
  <c r="O3284" i="5"/>
  <c r="O3285" i="5"/>
  <c r="O3286" i="5"/>
  <c r="O3287" i="5"/>
  <c r="O3288" i="5"/>
  <c r="O3289" i="5"/>
  <c r="O3290" i="5"/>
  <c r="N2" i="5"/>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N201" i="5"/>
  <c r="N202" i="5"/>
  <c r="N203" i="5"/>
  <c r="N204" i="5"/>
  <c r="N205" i="5"/>
  <c r="N206" i="5"/>
  <c r="N207" i="5"/>
  <c r="N208" i="5"/>
  <c r="N209" i="5"/>
  <c r="N210" i="5"/>
  <c r="N211" i="5"/>
  <c r="N212" i="5"/>
  <c r="N213" i="5"/>
  <c r="N214" i="5"/>
  <c r="N215" i="5"/>
  <c r="N216" i="5"/>
  <c r="N217" i="5"/>
  <c r="N218" i="5"/>
  <c r="N219" i="5"/>
  <c r="N220" i="5"/>
  <c r="N221" i="5"/>
  <c r="N222" i="5"/>
  <c r="N223" i="5"/>
  <c r="N224" i="5"/>
  <c r="N225" i="5"/>
  <c r="N226" i="5"/>
  <c r="N227" i="5"/>
  <c r="N228" i="5"/>
  <c r="N229" i="5"/>
  <c r="N230" i="5"/>
  <c r="N231" i="5"/>
  <c r="N232" i="5"/>
  <c r="N233" i="5"/>
  <c r="N234" i="5"/>
  <c r="N235" i="5"/>
  <c r="N236" i="5"/>
  <c r="N237" i="5"/>
  <c r="N238" i="5"/>
  <c r="N239" i="5"/>
  <c r="N240" i="5"/>
  <c r="N241" i="5"/>
  <c r="N242" i="5"/>
  <c r="N243" i="5"/>
  <c r="N244" i="5"/>
  <c r="N245" i="5"/>
  <c r="N246" i="5"/>
  <c r="N247" i="5"/>
  <c r="N248" i="5"/>
  <c r="N249" i="5"/>
  <c r="N250" i="5"/>
  <c r="N251" i="5"/>
  <c r="N252" i="5"/>
  <c r="N253" i="5"/>
  <c r="N254" i="5"/>
  <c r="N255" i="5"/>
  <c r="N256" i="5"/>
  <c r="N257" i="5"/>
  <c r="N258" i="5"/>
  <c r="N259" i="5"/>
  <c r="N260" i="5"/>
  <c r="N261" i="5"/>
  <c r="N262" i="5"/>
  <c r="N263" i="5"/>
  <c r="N264" i="5"/>
  <c r="N265" i="5"/>
  <c r="N266" i="5"/>
  <c r="N267" i="5"/>
  <c r="N268" i="5"/>
  <c r="N269" i="5"/>
  <c r="N270" i="5"/>
  <c r="N271" i="5"/>
  <c r="N272" i="5"/>
  <c r="N273" i="5"/>
  <c r="N274" i="5"/>
  <c r="N275" i="5"/>
  <c r="N276" i="5"/>
  <c r="N277" i="5"/>
  <c r="N278" i="5"/>
  <c r="N279" i="5"/>
  <c r="N280" i="5"/>
  <c r="N281" i="5"/>
  <c r="N282" i="5"/>
  <c r="N283" i="5"/>
  <c r="N284" i="5"/>
  <c r="N285" i="5"/>
  <c r="N286" i="5"/>
  <c r="N287" i="5"/>
  <c r="N288" i="5"/>
  <c r="N289" i="5"/>
  <c r="N290" i="5"/>
  <c r="N291" i="5"/>
  <c r="N292" i="5"/>
  <c r="N293" i="5"/>
  <c r="N294" i="5"/>
  <c r="N295" i="5"/>
  <c r="N296" i="5"/>
  <c r="N297" i="5"/>
  <c r="N298" i="5"/>
  <c r="N299" i="5"/>
  <c r="N300" i="5"/>
  <c r="N301" i="5"/>
  <c r="N302" i="5"/>
  <c r="N303" i="5"/>
  <c r="N304" i="5"/>
  <c r="N305" i="5"/>
  <c r="N306" i="5"/>
  <c r="N307" i="5"/>
  <c r="N308" i="5"/>
  <c r="N309" i="5"/>
  <c r="N310" i="5"/>
  <c r="N311" i="5"/>
  <c r="N312" i="5"/>
  <c r="N313" i="5"/>
  <c r="N314" i="5"/>
  <c r="N315" i="5"/>
  <c r="N316" i="5"/>
  <c r="N317" i="5"/>
  <c r="N318" i="5"/>
  <c r="N319" i="5"/>
  <c r="N320" i="5"/>
  <c r="N321" i="5"/>
  <c r="N322" i="5"/>
  <c r="N323" i="5"/>
  <c r="N324" i="5"/>
  <c r="N325" i="5"/>
  <c r="N326" i="5"/>
  <c r="N327" i="5"/>
  <c r="N328" i="5"/>
  <c r="N329" i="5"/>
  <c r="N330" i="5"/>
  <c r="N331" i="5"/>
  <c r="N332" i="5"/>
  <c r="N333" i="5"/>
  <c r="N334" i="5"/>
  <c r="N335" i="5"/>
  <c r="N336" i="5"/>
  <c r="N337" i="5"/>
  <c r="N338" i="5"/>
  <c r="N339" i="5"/>
  <c r="N340" i="5"/>
  <c r="N341" i="5"/>
  <c r="N342" i="5"/>
  <c r="N343" i="5"/>
  <c r="N344" i="5"/>
  <c r="N345" i="5"/>
  <c r="N346" i="5"/>
  <c r="N347" i="5"/>
  <c r="N348" i="5"/>
  <c r="N349" i="5"/>
  <c r="N350" i="5"/>
  <c r="N351" i="5"/>
  <c r="N352" i="5"/>
  <c r="N353" i="5"/>
  <c r="N354" i="5"/>
  <c r="N355" i="5"/>
  <c r="N356" i="5"/>
  <c r="N357" i="5"/>
  <c r="N358" i="5"/>
  <c r="N359" i="5"/>
  <c r="N360" i="5"/>
  <c r="N361" i="5"/>
  <c r="N362" i="5"/>
  <c r="N363" i="5"/>
  <c r="N364" i="5"/>
  <c r="N365" i="5"/>
  <c r="N366" i="5"/>
  <c r="N367" i="5"/>
  <c r="N368" i="5"/>
  <c r="N369" i="5"/>
  <c r="N370" i="5"/>
  <c r="N371" i="5"/>
  <c r="N372" i="5"/>
  <c r="N373" i="5"/>
  <c r="N374" i="5"/>
  <c r="N375" i="5"/>
  <c r="N376" i="5"/>
  <c r="N377" i="5"/>
  <c r="N378" i="5"/>
  <c r="N379" i="5"/>
  <c r="N380" i="5"/>
  <c r="N381" i="5"/>
  <c r="N382" i="5"/>
  <c r="N383" i="5"/>
  <c r="N384" i="5"/>
  <c r="N385" i="5"/>
  <c r="N386" i="5"/>
  <c r="N387" i="5"/>
  <c r="N388" i="5"/>
  <c r="N389" i="5"/>
  <c r="N390" i="5"/>
  <c r="N391" i="5"/>
  <c r="N392" i="5"/>
  <c r="N393" i="5"/>
  <c r="N394" i="5"/>
  <c r="N395" i="5"/>
  <c r="N396" i="5"/>
  <c r="N397" i="5"/>
  <c r="N398" i="5"/>
  <c r="N399" i="5"/>
  <c r="N400" i="5"/>
  <c r="N401" i="5"/>
  <c r="N402" i="5"/>
  <c r="N403" i="5"/>
  <c r="N404" i="5"/>
  <c r="N405" i="5"/>
  <c r="N406" i="5"/>
  <c r="N407" i="5"/>
  <c r="N408" i="5"/>
  <c r="N409" i="5"/>
  <c r="N410" i="5"/>
  <c r="N411" i="5"/>
  <c r="N412" i="5"/>
  <c r="N413" i="5"/>
  <c r="N414" i="5"/>
  <c r="N415" i="5"/>
  <c r="N416" i="5"/>
  <c r="N417" i="5"/>
  <c r="N418" i="5"/>
  <c r="N419" i="5"/>
  <c r="N420" i="5"/>
  <c r="N421" i="5"/>
  <c r="N422" i="5"/>
  <c r="N423" i="5"/>
  <c r="N424" i="5"/>
  <c r="N425" i="5"/>
  <c r="N426" i="5"/>
  <c r="N427" i="5"/>
  <c r="N428" i="5"/>
  <c r="N429" i="5"/>
  <c r="N430" i="5"/>
  <c r="N431" i="5"/>
  <c r="N432" i="5"/>
  <c r="N433" i="5"/>
  <c r="N434" i="5"/>
  <c r="N435" i="5"/>
  <c r="N436" i="5"/>
  <c r="N437" i="5"/>
  <c r="N438" i="5"/>
  <c r="N439" i="5"/>
  <c r="N440" i="5"/>
  <c r="N441" i="5"/>
  <c r="N442" i="5"/>
  <c r="N443" i="5"/>
  <c r="N444" i="5"/>
  <c r="N445" i="5"/>
  <c r="N446" i="5"/>
  <c r="N447" i="5"/>
  <c r="N448" i="5"/>
  <c r="N449" i="5"/>
  <c r="N450" i="5"/>
  <c r="N451" i="5"/>
  <c r="N452" i="5"/>
  <c r="N453" i="5"/>
  <c r="N454" i="5"/>
  <c r="N455" i="5"/>
  <c r="N456" i="5"/>
  <c r="N457" i="5"/>
  <c r="N458" i="5"/>
  <c r="N459" i="5"/>
  <c r="N460" i="5"/>
  <c r="N461" i="5"/>
  <c r="N462" i="5"/>
  <c r="N463" i="5"/>
  <c r="N464" i="5"/>
  <c r="N465" i="5"/>
  <c r="N466" i="5"/>
  <c r="N467" i="5"/>
  <c r="N468" i="5"/>
  <c r="N469" i="5"/>
  <c r="N470" i="5"/>
  <c r="N471" i="5"/>
  <c r="N472" i="5"/>
  <c r="N473" i="5"/>
  <c r="N474" i="5"/>
  <c r="N475" i="5"/>
  <c r="N476" i="5"/>
  <c r="N477" i="5"/>
  <c r="N478" i="5"/>
  <c r="N479" i="5"/>
  <c r="N480" i="5"/>
  <c r="N481" i="5"/>
  <c r="N482" i="5"/>
  <c r="N483" i="5"/>
  <c r="N484" i="5"/>
  <c r="N485" i="5"/>
  <c r="N486" i="5"/>
  <c r="N487" i="5"/>
  <c r="N488" i="5"/>
  <c r="N489" i="5"/>
  <c r="N490" i="5"/>
  <c r="N491" i="5"/>
  <c r="N492" i="5"/>
  <c r="N493" i="5"/>
  <c r="N494" i="5"/>
  <c r="N495" i="5"/>
  <c r="N496" i="5"/>
  <c r="N497" i="5"/>
  <c r="N498" i="5"/>
  <c r="N499" i="5"/>
  <c r="N500" i="5"/>
  <c r="N501" i="5"/>
  <c r="N502" i="5"/>
  <c r="N503" i="5"/>
  <c r="N504" i="5"/>
  <c r="N505" i="5"/>
  <c r="N506" i="5"/>
  <c r="N507" i="5"/>
  <c r="N508" i="5"/>
  <c r="N509" i="5"/>
  <c r="N510" i="5"/>
  <c r="N511" i="5"/>
  <c r="N512" i="5"/>
  <c r="N513" i="5"/>
  <c r="N514" i="5"/>
  <c r="N515" i="5"/>
  <c r="N516" i="5"/>
  <c r="N517" i="5"/>
  <c r="N518" i="5"/>
  <c r="N519" i="5"/>
  <c r="N520" i="5"/>
  <c r="N521" i="5"/>
  <c r="N522" i="5"/>
  <c r="N523" i="5"/>
  <c r="N524" i="5"/>
  <c r="N525" i="5"/>
  <c r="N526" i="5"/>
  <c r="N527" i="5"/>
  <c r="N528" i="5"/>
  <c r="N529" i="5"/>
  <c r="N530" i="5"/>
  <c r="N531" i="5"/>
  <c r="N532" i="5"/>
  <c r="N533" i="5"/>
  <c r="N534" i="5"/>
  <c r="N535" i="5"/>
  <c r="N536" i="5"/>
  <c r="N537" i="5"/>
  <c r="N538" i="5"/>
  <c r="N539" i="5"/>
  <c r="N540" i="5"/>
  <c r="N541" i="5"/>
  <c r="N542" i="5"/>
  <c r="N543" i="5"/>
  <c r="N544" i="5"/>
  <c r="N545" i="5"/>
  <c r="N546" i="5"/>
  <c r="N547" i="5"/>
  <c r="N548" i="5"/>
  <c r="N549" i="5"/>
  <c r="N550" i="5"/>
  <c r="N551" i="5"/>
  <c r="N552" i="5"/>
  <c r="N553" i="5"/>
  <c r="N554" i="5"/>
  <c r="N555" i="5"/>
  <c r="N556" i="5"/>
  <c r="N557" i="5"/>
  <c r="N558" i="5"/>
  <c r="N559" i="5"/>
  <c r="N560" i="5"/>
  <c r="N561" i="5"/>
  <c r="N562" i="5"/>
  <c r="N563" i="5"/>
  <c r="N564" i="5"/>
  <c r="N565" i="5"/>
  <c r="N566" i="5"/>
  <c r="N567" i="5"/>
  <c r="N568" i="5"/>
  <c r="N569" i="5"/>
  <c r="N570" i="5"/>
  <c r="N571" i="5"/>
  <c r="N572" i="5"/>
  <c r="N573" i="5"/>
  <c r="N574" i="5"/>
  <c r="N575" i="5"/>
  <c r="N576" i="5"/>
  <c r="N577" i="5"/>
  <c r="N578" i="5"/>
  <c r="N579" i="5"/>
  <c r="N580" i="5"/>
  <c r="N581" i="5"/>
  <c r="N582" i="5"/>
  <c r="N583" i="5"/>
  <c r="N584" i="5"/>
  <c r="N585" i="5"/>
  <c r="N586" i="5"/>
  <c r="N587" i="5"/>
  <c r="N588" i="5"/>
  <c r="N589" i="5"/>
  <c r="N590" i="5"/>
  <c r="N591" i="5"/>
  <c r="N592" i="5"/>
  <c r="N593" i="5"/>
  <c r="N594" i="5"/>
  <c r="N595" i="5"/>
  <c r="N596" i="5"/>
  <c r="N597" i="5"/>
  <c r="N598" i="5"/>
  <c r="N599" i="5"/>
  <c r="N600" i="5"/>
  <c r="N601" i="5"/>
  <c r="N602" i="5"/>
  <c r="N603" i="5"/>
  <c r="N604" i="5"/>
  <c r="N605" i="5"/>
  <c r="N606" i="5"/>
  <c r="N607" i="5"/>
  <c r="N608" i="5"/>
  <c r="N609" i="5"/>
  <c r="N610" i="5"/>
  <c r="N611" i="5"/>
  <c r="N612" i="5"/>
  <c r="N613" i="5"/>
  <c r="N614" i="5"/>
  <c r="N615" i="5"/>
  <c r="N616" i="5"/>
  <c r="N617" i="5"/>
  <c r="N618" i="5"/>
  <c r="N619" i="5"/>
  <c r="N620" i="5"/>
  <c r="N621" i="5"/>
  <c r="N622" i="5"/>
  <c r="N623" i="5"/>
  <c r="N624" i="5"/>
  <c r="N625" i="5"/>
  <c r="N626" i="5"/>
  <c r="N627" i="5"/>
  <c r="N628" i="5"/>
  <c r="N629" i="5"/>
  <c r="N630" i="5"/>
  <c r="N631" i="5"/>
  <c r="N632" i="5"/>
  <c r="N633" i="5"/>
  <c r="N634" i="5"/>
  <c r="N635" i="5"/>
  <c r="N636" i="5"/>
  <c r="N637" i="5"/>
  <c r="N638" i="5"/>
  <c r="N639" i="5"/>
  <c r="N640" i="5"/>
  <c r="N641" i="5"/>
  <c r="N642" i="5"/>
  <c r="N643" i="5"/>
  <c r="N644" i="5"/>
  <c r="N645" i="5"/>
  <c r="N646" i="5"/>
  <c r="N647" i="5"/>
  <c r="N648" i="5"/>
  <c r="N649" i="5"/>
  <c r="N650" i="5"/>
  <c r="N651" i="5"/>
  <c r="N652" i="5"/>
  <c r="N653" i="5"/>
  <c r="N654" i="5"/>
  <c r="N655" i="5"/>
  <c r="N656" i="5"/>
  <c r="N657" i="5"/>
  <c r="N658" i="5"/>
  <c r="N659" i="5"/>
  <c r="N660" i="5"/>
  <c r="N661" i="5"/>
  <c r="N662" i="5"/>
  <c r="N663" i="5"/>
  <c r="N664" i="5"/>
  <c r="N665" i="5"/>
  <c r="N666" i="5"/>
  <c r="N667" i="5"/>
  <c r="N668" i="5"/>
  <c r="N669" i="5"/>
  <c r="N670" i="5"/>
  <c r="N671" i="5"/>
  <c r="N672" i="5"/>
  <c r="N673" i="5"/>
  <c r="N674" i="5"/>
  <c r="N675" i="5"/>
  <c r="N676" i="5"/>
  <c r="N677" i="5"/>
  <c r="N678" i="5"/>
  <c r="N679" i="5"/>
  <c r="N680" i="5"/>
  <c r="N681" i="5"/>
  <c r="N682" i="5"/>
  <c r="N683" i="5"/>
  <c r="N684" i="5"/>
  <c r="N685" i="5"/>
  <c r="N686" i="5"/>
  <c r="N687" i="5"/>
  <c r="N688" i="5"/>
  <c r="N689" i="5"/>
  <c r="N690" i="5"/>
  <c r="N691" i="5"/>
  <c r="N692" i="5"/>
  <c r="N693" i="5"/>
  <c r="N694" i="5"/>
  <c r="N695" i="5"/>
  <c r="N696" i="5"/>
  <c r="N697" i="5"/>
  <c r="N698" i="5"/>
  <c r="N699" i="5"/>
  <c r="N700" i="5"/>
  <c r="N701" i="5"/>
  <c r="N702" i="5"/>
  <c r="N703" i="5"/>
  <c r="N704" i="5"/>
  <c r="N705" i="5"/>
  <c r="N706" i="5"/>
  <c r="N707" i="5"/>
  <c r="N708" i="5"/>
  <c r="N709" i="5"/>
  <c r="N710" i="5"/>
  <c r="N711" i="5"/>
  <c r="N712" i="5"/>
  <c r="N713" i="5"/>
  <c r="N714" i="5"/>
  <c r="N715" i="5"/>
  <c r="N716" i="5"/>
  <c r="N717" i="5"/>
  <c r="N718" i="5"/>
  <c r="N719" i="5"/>
  <c r="N720" i="5"/>
  <c r="N721" i="5"/>
  <c r="N722" i="5"/>
  <c r="N723" i="5"/>
  <c r="N724" i="5"/>
  <c r="N725" i="5"/>
  <c r="N726" i="5"/>
  <c r="N727" i="5"/>
  <c r="N728" i="5"/>
  <c r="N729" i="5"/>
  <c r="N730" i="5"/>
  <c r="N731" i="5"/>
  <c r="N732" i="5"/>
  <c r="N733" i="5"/>
  <c r="N734" i="5"/>
  <c r="N735" i="5"/>
  <c r="N736" i="5"/>
  <c r="N737" i="5"/>
  <c r="N738" i="5"/>
  <c r="N739" i="5"/>
  <c r="N740" i="5"/>
  <c r="N741" i="5"/>
  <c r="N742" i="5"/>
  <c r="N743" i="5"/>
  <c r="N744" i="5"/>
  <c r="N745" i="5"/>
  <c r="N746" i="5"/>
  <c r="N747" i="5"/>
  <c r="N748" i="5"/>
  <c r="N749" i="5"/>
  <c r="N750" i="5"/>
  <c r="N751" i="5"/>
  <c r="N752" i="5"/>
  <c r="N753" i="5"/>
  <c r="N754" i="5"/>
  <c r="N755" i="5"/>
  <c r="N756" i="5"/>
  <c r="N757" i="5"/>
  <c r="N758" i="5"/>
  <c r="N759" i="5"/>
  <c r="N760" i="5"/>
  <c r="N761" i="5"/>
  <c r="N762" i="5"/>
  <c r="N763" i="5"/>
  <c r="N764" i="5"/>
  <c r="N765" i="5"/>
  <c r="N766" i="5"/>
  <c r="N767" i="5"/>
  <c r="N768" i="5"/>
  <c r="N769" i="5"/>
  <c r="N770" i="5"/>
  <c r="N771" i="5"/>
  <c r="N772" i="5"/>
  <c r="N773" i="5"/>
  <c r="N774" i="5"/>
  <c r="N775" i="5"/>
  <c r="N776" i="5"/>
  <c r="N777" i="5"/>
  <c r="N778" i="5"/>
  <c r="N779" i="5"/>
  <c r="N780" i="5"/>
  <c r="N781" i="5"/>
  <c r="N782" i="5"/>
  <c r="N783" i="5"/>
  <c r="N784" i="5"/>
  <c r="N785" i="5"/>
  <c r="N786" i="5"/>
  <c r="N787" i="5"/>
  <c r="N788" i="5"/>
  <c r="N789" i="5"/>
  <c r="N790" i="5"/>
  <c r="N791" i="5"/>
  <c r="N792" i="5"/>
  <c r="N793" i="5"/>
  <c r="N794" i="5"/>
  <c r="N795" i="5"/>
  <c r="N796" i="5"/>
  <c r="N797" i="5"/>
  <c r="N798" i="5"/>
  <c r="N799" i="5"/>
  <c r="N800" i="5"/>
  <c r="N801" i="5"/>
  <c r="N802" i="5"/>
  <c r="N803" i="5"/>
  <c r="N804" i="5"/>
  <c r="N805" i="5"/>
  <c r="N806" i="5"/>
  <c r="N807" i="5"/>
  <c r="N808" i="5"/>
  <c r="N809" i="5"/>
  <c r="N810" i="5"/>
  <c r="N811" i="5"/>
  <c r="N812" i="5"/>
  <c r="N813" i="5"/>
  <c r="N814" i="5"/>
  <c r="N815" i="5"/>
  <c r="N816" i="5"/>
  <c r="N817" i="5"/>
  <c r="N818" i="5"/>
  <c r="N819" i="5"/>
  <c r="N820" i="5"/>
  <c r="N821" i="5"/>
  <c r="N822" i="5"/>
  <c r="N823" i="5"/>
  <c r="N824" i="5"/>
  <c r="N825" i="5"/>
  <c r="N826" i="5"/>
  <c r="N827" i="5"/>
  <c r="N828" i="5"/>
  <c r="N829" i="5"/>
  <c r="N830" i="5"/>
  <c r="N831" i="5"/>
  <c r="N832" i="5"/>
  <c r="N833" i="5"/>
  <c r="N834" i="5"/>
  <c r="N835" i="5"/>
  <c r="N836" i="5"/>
  <c r="N837" i="5"/>
  <c r="N838" i="5"/>
  <c r="N839" i="5"/>
  <c r="N840" i="5"/>
  <c r="N841" i="5"/>
  <c r="N842" i="5"/>
  <c r="N843" i="5"/>
  <c r="N844" i="5"/>
  <c r="N845" i="5"/>
  <c r="N846" i="5"/>
  <c r="N847" i="5"/>
  <c r="N848" i="5"/>
  <c r="N849" i="5"/>
  <c r="N850" i="5"/>
  <c r="N851" i="5"/>
  <c r="N852" i="5"/>
  <c r="N853" i="5"/>
  <c r="N854" i="5"/>
  <c r="N855" i="5"/>
  <c r="N856" i="5"/>
  <c r="N857" i="5"/>
  <c r="N858" i="5"/>
  <c r="N859" i="5"/>
  <c r="N860" i="5"/>
  <c r="N861" i="5"/>
  <c r="N862" i="5"/>
  <c r="N863" i="5"/>
  <c r="N864" i="5"/>
  <c r="N865" i="5"/>
  <c r="N866" i="5"/>
  <c r="N867" i="5"/>
  <c r="N868" i="5"/>
  <c r="N869" i="5"/>
  <c r="N870" i="5"/>
  <c r="N871" i="5"/>
  <c r="N872" i="5"/>
  <c r="N873" i="5"/>
  <c r="N874" i="5"/>
  <c r="N875" i="5"/>
  <c r="N876" i="5"/>
  <c r="N877" i="5"/>
  <c r="N878" i="5"/>
  <c r="N879" i="5"/>
  <c r="N880" i="5"/>
  <c r="N881" i="5"/>
  <c r="N882" i="5"/>
  <c r="N883" i="5"/>
  <c r="N884" i="5"/>
  <c r="N885" i="5"/>
  <c r="N886" i="5"/>
  <c r="N887" i="5"/>
  <c r="N888" i="5"/>
  <c r="N889" i="5"/>
  <c r="N890" i="5"/>
  <c r="N891" i="5"/>
  <c r="N892" i="5"/>
  <c r="N893" i="5"/>
  <c r="N894" i="5"/>
  <c r="N895" i="5"/>
  <c r="N896" i="5"/>
  <c r="N897" i="5"/>
  <c r="N898" i="5"/>
  <c r="N899" i="5"/>
  <c r="N900" i="5"/>
  <c r="N901" i="5"/>
  <c r="N902" i="5"/>
  <c r="N903" i="5"/>
  <c r="N904" i="5"/>
  <c r="N905" i="5"/>
  <c r="N906" i="5"/>
  <c r="N907" i="5"/>
  <c r="N908" i="5"/>
  <c r="N909" i="5"/>
  <c r="N910" i="5"/>
  <c r="N911" i="5"/>
  <c r="N912" i="5"/>
  <c r="N913" i="5"/>
  <c r="N914" i="5"/>
  <c r="N915" i="5"/>
  <c r="N916" i="5"/>
  <c r="N917" i="5"/>
  <c r="N918" i="5"/>
  <c r="N919" i="5"/>
  <c r="N920" i="5"/>
  <c r="N921" i="5"/>
  <c r="N922" i="5"/>
  <c r="N923" i="5"/>
  <c r="N924" i="5"/>
  <c r="N925" i="5"/>
  <c r="N926" i="5"/>
  <c r="N927" i="5"/>
  <c r="N928" i="5"/>
  <c r="N929" i="5"/>
  <c r="N930" i="5"/>
  <c r="N931" i="5"/>
  <c r="N932" i="5"/>
  <c r="N933" i="5"/>
  <c r="N934" i="5"/>
  <c r="N935" i="5"/>
  <c r="N936" i="5"/>
  <c r="N937" i="5"/>
  <c r="N938" i="5"/>
  <c r="N939" i="5"/>
  <c r="N940" i="5"/>
  <c r="N941" i="5"/>
  <c r="N942" i="5"/>
  <c r="N943" i="5"/>
  <c r="N944" i="5"/>
  <c r="N945" i="5"/>
  <c r="N946" i="5"/>
  <c r="N947" i="5"/>
  <c r="N948" i="5"/>
  <c r="N949" i="5"/>
  <c r="N950" i="5"/>
  <c r="N951" i="5"/>
  <c r="N952" i="5"/>
  <c r="N953" i="5"/>
  <c r="N954" i="5"/>
  <c r="N955" i="5"/>
  <c r="N956" i="5"/>
  <c r="N957" i="5"/>
  <c r="N958" i="5"/>
  <c r="N959" i="5"/>
  <c r="N960" i="5"/>
  <c r="N961" i="5"/>
  <c r="N962" i="5"/>
  <c r="N963" i="5"/>
  <c r="N964" i="5"/>
  <c r="N965" i="5"/>
  <c r="N966" i="5"/>
  <c r="N967" i="5"/>
  <c r="N968" i="5"/>
  <c r="N969" i="5"/>
  <c r="N970" i="5"/>
  <c r="N971" i="5"/>
  <c r="N972" i="5"/>
  <c r="N973" i="5"/>
  <c r="N974" i="5"/>
  <c r="N975" i="5"/>
  <c r="N976" i="5"/>
  <c r="N977" i="5"/>
  <c r="N978" i="5"/>
  <c r="N979" i="5"/>
  <c r="N980" i="5"/>
  <c r="N981" i="5"/>
  <c r="N982" i="5"/>
  <c r="N983" i="5"/>
  <c r="N984" i="5"/>
  <c r="N985" i="5"/>
  <c r="N986" i="5"/>
  <c r="N987" i="5"/>
  <c r="N988" i="5"/>
  <c r="N989" i="5"/>
  <c r="N990" i="5"/>
  <c r="N991" i="5"/>
  <c r="N992" i="5"/>
  <c r="N993" i="5"/>
  <c r="N994" i="5"/>
  <c r="N995" i="5"/>
  <c r="N996" i="5"/>
  <c r="N997" i="5"/>
  <c r="N998" i="5"/>
  <c r="N999" i="5"/>
  <c r="N1000" i="5"/>
  <c r="N1001" i="5"/>
  <c r="N1002" i="5"/>
  <c r="N1003" i="5"/>
  <c r="N1004" i="5"/>
  <c r="N1005" i="5"/>
  <c r="N1006" i="5"/>
  <c r="N1007" i="5"/>
  <c r="N1008" i="5"/>
  <c r="N1009" i="5"/>
  <c r="N1010" i="5"/>
  <c r="N1011" i="5"/>
  <c r="N1012" i="5"/>
  <c r="N1013" i="5"/>
  <c r="N1014" i="5"/>
  <c r="N1015" i="5"/>
  <c r="N1016" i="5"/>
  <c r="N1017" i="5"/>
  <c r="N1018" i="5"/>
  <c r="N1019" i="5"/>
  <c r="N1020" i="5"/>
  <c r="N1021" i="5"/>
  <c r="N1022" i="5"/>
  <c r="N1023" i="5"/>
  <c r="N1024" i="5"/>
  <c r="N1025" i="5"/>
  <c r="N1026" i="5"/>
  <c r="N1027" i="5"/>
  <c r="N1028" i="5"/>
  <c r="N1029" i="5"/>
  <c r="N1030" i="5"/>
  <c r="N1031" i="5"/>
  <c r="N1032" i="5"/>
  <c r="N1033" i="5"/>
  <c r="N1034" i="5"/>
  <c r="N1035" i="5"/>
  <c r="N1036" i="5"/>
  <c r="N1037" i="5"/>
  <c r="N1038" i="5"/>
  <c r="N1039" i="5"/>
  <c r="N1040" i="5"/>
  <c r="N1041" i="5"/>
  <c r="N1042" i="5"/>
  <c r="N1043" i="5"/>
  <c r="N1044" i="5"/>
  <c r="N1045" i="5"/>
  <c r="N1046" i="5"/>
  <c r="N1047" i="5"/>
  <c r="N1048" i="5"/>
  <c r="N1049" i="5"/>
  <c r="N1050" i="5"/>
  <c r="N1051" i="5"/>
  <c r="N1052" i="5"/>
  <c r="N1053" i="5"/>
  <c r="N1054" i="5"/>
  <c r="N1055" i="5"/>
  <c r="N1056" i="5"/>
  <c r="N1057" i="5"/>
  <c r="N1058" i="5"/>
  <c r="N1059" i="5"/>
  <c r="N1060" i="5"/>
  <c r="N1061" i="5"/>
  <c r="N1062" i="5"/>
  <c r="N1063" i="5"/>
  <c r="N1064" i="5"/>
  <c r="N1065" i="5"/>
  <c r="N1066" i="5"/>
  <c r="N1067" i="5"/>
  <c r="N1068" i="5"/>
  <c r="N1069" i="5"/>
  <c r="N1070" i="5"/>
  <c r="N1071" i="5"/>
  <c r="N1072" i="5"/>
  <c r="N1073" i="5"/>
  <c r="N1074" i="5"/>
  <c r="N1075" i="5"/>
  <c r="N1076" i="5"/>
  <c r="N1077" i="5"/>
  <c r="N1078" i="5"/>
  <c r="N1079" i="5"/>
  <c r="N1080" i="5"/>
  <c r="N1081" i="5"/>
  <c r="N1082" i="5"/>
  <c r="N1083" i="5"/>
  <c r="N1084" i="5"/>
  <c r="N1085" i="5"/>
  <c r="N1086" i="5"/>
  <c r="N1087" i="5"/>
  <c r="N1088" i="5"/>
  <c r="N1089" i="5"/>
  <c r="N1090" i="5"/>
  <c r="N1091" i="5"/>
  <c r="N1092" i="5"/>
  <c r="N1093" i="5"/>
  <c r="N1094" i="5"/>
  <c r="N1095" i="5"/>
  <c r="N1096" i="5"/>
  <c r="N1097" i="5"/>
  <c r="N1098" i="5"/>
  <c r="N1099" i="5"/>
  <c r="N1100" i="5"/>
  <c r="N1101" i="5"/>
  <c r="N1102" i="5"/>
  <c r="N1103" i="5"/>
  <c r="N1104" i="5"/>
  <c r="N1105" i="5"/>
  <c r="N1106" i="5"/>
  <c r="N1107" i="5"/>
  <c r="N1108" i="5"/>
  <c r="N1109" i="5"/>
  <c r="N1110" i="5"/>
  <c r="N1111" i="5"/>
  <c r="N1112" i="5"/>
  <c r="N1113" i="5"/>
  <c r="N1114" i="5"/>
  <c r="N1115" i="5"/>
  <c r="N1116" i="5"/>
  <c r="N1117" i="5"/>
  <c r="N1118" i="5"/>
  <c r="N1119" i="5"/>
  <c r="N1120" i="5"/>
  <c r="N1121" i="5"/>
  <c r="N1122" i="5"/>
  <c r="N1123" i="5"/>
  <c r="N1124" i="5"/>
  <c r="N1125" i="5"/>
  <c r="N1126" i="5"/>
  <c r="N1127" i="5"/>
  <c r="N1128" i="5"/>
  <c r="N1129" i="5"/>
  <c r="N1130" i="5"/>
  <c r="N1131" i="5"/>
  <c r="N1132" i="5"/>
  <c r="N1133" i="5"/>
  <c r="N1134" i="5"/>
  <c r="N1135" i="5"/>
  <c r="N1136" i="5"/>
  <c r="N1137" i="5"/>
  <c r="N1138" i="5"/>
  <c r="N1139" i="5"/>
  <c r="N1140" i="5"/>
  <c r="N1141" i="5"/>
  <c r="N1142" i="5"/>
  <c r="N1143" i="5"/>
  <c r="N1144" i="5"/>
  <c r="N1145" i="5"/>
  <c r="N1146" i="5"/>
  <c r="N1147" i="5"/>
  <c r="N1148" i="5"/>
  <c r="N1149" i="5"/>
  <c r="N1150" i="5"/>
  <c r="N1151" i="5"/>
  <c r="N1152" i="5"/>
  <c r="N1153" i="5"/>
  <c r="N1154" i="5"/>
  <c r="N1155" i="5"/>
  <c r="N1156" i="5"/>
  <c r="N1157" i="5"/>
  <c r="N1158" i="5"/>
  <c r="N1159" i="5"/>
  <c r="N1160" i="5"/>
  <c r="N1161" i="5"/>
  <c r="N1162" i="5"/>
  <c r="N1163" i="5"/>
  <c r="N1164" i="5"/>
  <c r="N1165" i="5"/>
  <c r="N1166" i="5"/>
  <c r="N1167" i="5"/>
  <c r="N1168" i="5"/>
  <c r="N1169" i="5"/>
  <c r="N1170" i="5"/>
  <c r="N1171" i="5"/>
  <c r="N1172" i="5"/>
  <c r="N1173" i="5"/>
  <c r="N1174" i="5"/>
  <c r="N1175" i="5"/>
  <c r="N1176" i="5"/>
  <c r="N1177" i="5"/>
  <c r="N1178" i="5"/>
  <c r="N1179" i="5"/>
  <c r="N1180" i="5"/>
  <c r="N1181" i="5"/>
  <c r="N1182" i="5"/>
  <c r="N1183" i="5"/>
  <c r="N1184" i="5"/>
  <c r="N1185" i="5"/>
  <c r="N1186" i="5"/>
  <c r="N1187" i="5"/>
  <c r="N1188" i="5"/>
  <c r="N1189" i="5"/>
  <c r="N1190" i="5"/>
  <c r="N1191" i="5"/>
  <c r="N1192" i="5"/>
  <c r="N1193" i="5"/>
  <c r="N1194" i="5"/>
  <c r="N1195" i="5"/>
  <c r="N1196" i="5"/>
  <c r="N1197" i="5"/>
  <c r="N1198" i="5"/>
  <c r="N1199" i="5"/>
  <c r="N1200" i="5"/>
  <c r="N1201" i="5"/>
  <c r="N1202" i="5"/>
  <c r="N1203" i="5"/>
  <c r="N1204" i="5"/>
  <c r="N1205" i="5"/>
  <c r="N1206" i="5"/>
  <c r="N1207" i="5"/>
  <c r="N1208" i="5"/>
  <c r="N1209" i="5"/>
  <c r="N1210" i="5"/>
  <c r="N1211" i="5"/>
  <c r="N1212" i="5"/>
  <c r="N1213" i="5"/>
  <c r="N1214" i="5"/>
  <c r="N1215" i="5"/>
  <c r="N1216" i="5"/>
  <c r="N1217" i="5"/>
  <c r="N1218" i="5"/>
  <c r="N1219" i="5"/>
  <c r="N1220" i="5"/>
  <c r="N1221" i="5"/>
  <c r="N1222" i="5"/>
  <c r="N1223" i="5"/>
  <c r="N1224" i="5"/>
  <c r="N1225" i="5"/>
  <c r="N1226" i="5"/>
  <c r="N1227" i="5"/>
  <c r="N1228" i="5"/>
  <c r="N1229" i="5"/>
  <c r="N1230" i="5"/>
  <c r="N1231" i="5"/>
  <c r="N1232" i="5"/>
  <c r="N1233" i="5"/>
  <c r="N1234" i="5"/>
  <c r="N1235" i="5"/>
  <c r="N1236" i="5"/>
  <c r="N1237" i="5"/>
  <c r="N1238" i="5"/>
  <c r="N1239" i="5"/>
  <c r="N1240" i="5"/>
  <c r="N1241" i="5"/>
  <c r="N1242" i="5"/>
  <c r="N1243" i="5"/>
  <c r="N1244" i="5"/>
  <c r="N1245" i="5"/>
  <c r="N1246" i="5"/>
  <c r="N1247" i="5"/>
  <c r="N1248" i="5"/>
  <c r="N1249" i="5"/>
  <c r="N1250" i="5"/>
  <c r="N1251" i="5"/>
  <c r="N1252" i="5"/>
  <c r="N1253" i="5"/>
  <c r="N1254" i="5"/>
  <c r="N1255" i="5"/>
  <c r="N1256" i="5"/>
  <c r="N1257" i="5"/>
  <c r="N1258" i="5"/>
  <c r="N1259" i="5"/>
  <c r="N1260" i="5"/>
  <c r="N1261" i="5"/>
  <c r="N1262" i="5"/>
  <c r="N1263" i="5"/>
  <c r="N1264" i="5"/>
  <c r="N1265" i="5"/>
  <c r="N1266" i="5"/>
  <c r="N1267" i="5"/>
  <c r="N1268" i="5"/>
  <c r="N1269" i="5"/>
  <c r="N1270" i="5"/>
  <c r="N1271" i="5"/>
  <c r="N1272" i="5"/>
  <c r="N1273" i="5"/>
  <c r="N1274" i="5"/>
  <c r="N1275" i="5"/>
  <c r="N1276" i="5"/>
  <c r="N1277" i="5"/>
  <c r="N1278" i="5"/>
  <c r="N1279" i="5"/>
  <c r="N1280" i="5"/>
  <c r="N1281" i="5"/>
  <c r="N1282" i="5"/>
  <c r="N1283" i="5"/>
  <c r="N1284" i="5"/>
  <c r="N1285" i="5"/>
  <c r="N1286" i="5"/>
  <c r="N1287" i="5"/>
  <c r="N1288" i="5"/>
  <c r="N1289" i="5"/>
  <c r="N1290" i="5"/>
  <c r="N1291" i="5"/>
  <c r="N1292" i="5"/>
  <c r="N1293" i="5"/>
  <c r="N1294" i="5"/>
  <c r="N1295" i="5"/>
  <c r="N1296" i="5"/>
  <c r="N1297" i="5"/>
  <c r="N1298" i="5"/>
  <c r="N1299" i="5"/>
  <c r="N1300" i="5"/>
  <c r="N1301" i="5"/>
  <c r="N1302" i="5"/>
  <c r="N1303" i="5"/>
  <c r="N1304" i="5"/>
  <c r="N1305" i="5"/>
  <c r="N1306" i="5"/>
  <c r="N1307" i="5"/>
  <c r="N1308" i="5"/>
  <c r="N1309" i="5"/>
  <c r="N1310" i="5"/>
  <c r="N1311" i="5"/>
  <c r="N1312" i="5"/>
  <c r="N1313" i="5"/>
  <c r="N1314" i="5"/>
  <c r="N1315" i="5"/>
  <c r="N1316" i="5"/>
  <c r="N1317" i="5"/>
  <c r="N1318" i="5"/>
  <c r="N1319" i="5"/>
  <c r="N1320" i="5"/>
  <c r="N1321" i="5"/>
  <c r="N1322" i="5"/>
  <c r="N1323" i="5"/>
  <c r="N1324" i="5"/>
  <c r="N1325" i="5"/>
  <c r="N1326" i="5"/>
  <c r="N1327" i="5"/>
  <c r="N1328" i="5"/>
  <c r="N1329" i="5"/>
  <c r="N1330" i="5"/>
  <c r="N1331" i="5"/>
  <c r="N1332" i="5"/>
  <c r="N1333" i="5"/>
  <c r="N1334" i="5"/>
  <c r="N1335" i="5"/>
  <c r="N1336" i="5"/>
  <c r="N1337" i="5"/>
  <c r="N1338" i="5"/>
  <c r="N1339" i="5"/>
  <c r="N1340" i="5"/>
  <c r="N1341" i="5"/>
  <c r="N1342" i="5"/>
  <c r="N1343" i="5"/>
  <c r="N1344" i="5"/>
  <c r="N1345" i="5"/>
  <c r="N1346" i="5"/>
  <c r="N1347" i="5"/>
  <c r="N1348" i="5"/>
  <c r="N1349" i="5"/>
  <c r="N1350" i="5"/>
  <c r="N1351" i="5"/>
  <c r="N1352" i="5"/>
  <c r="N1353" i="5"/>
  <c r="N1354" i="5"/>
  <c r="N1355" i="5"/>
  <c r="N1356" i="5"/>
  <c r="N1357" i="5"/>
  <c r="N1358" i="5"/>
  <c r="N1359" i="5"/>
  <c r="N1360" i="5"/>
  <c r="N1361" i="5"/>
  <c r="N1362" i="5"/>
  <c r="N1363" i="5"/>
  <c r="N1364" i="5"/>
  <c r="N1365" i="5"/>
  <c r="N1366" i="5"/>
  <c r="N1367" i="5"/>
  <c r="N1368" i="5"/>
  <c r="N1369" i="5"/>
  <c r="N1370" i="5"/>
  <c r="N1371" i="5"/>
  <c r="N1372" i="5"/>
  <c r="N1373" i="5"/>
  <c r="N1374" i="5"/>
  <c r="N1375" i="5"/>
  <c r="N1376" i="5"/>
  <c r="N1377" i="5"/>
  <c r="N1378" i="5"/>
  <c r="N1379" i="5"/>
  <c r="N1380" i="5"/>
  <c r="N1381" i="5"/>
  <c r="N1382" i="5"/>
  <c r="N1383" i="5"/>
  <c r="N1384" i="5"/>
  <c r="N1385" i="5"/>
  <c r="N1386" i="5"/>
  <c r="N1387" i="5"/>
  <c r="N1388" i="5"/>
  <c r="N1389" i="5"/>
  <c r="N1390" i="5"/>
  <c r="N1391" i="5"/>
  <c r="N1392" i="5"/>
  <c r="N1393" i="5"/>
  <c r="N1394" i="5"/>
  <c r="N1395" i="5"/>
  <c r="N1396" i="5"/>
  <c r="N1397" i="5"/>
  <c r="N1398" i="5"/>
  <c r="N1399" i="5"/>
  <c r="N1400" i="5"/>
  <c r="N1401" i="5"/>
  <c r="N1402" i="5"/>
  <c r="N1403" i="5"/>
  <c r="N1404" i="5"/>
  <c r="N1405" i="5"/>
  <c r="N1406" i="5"/>
  <c r="N1407" i="5"/>
  <c r="N1408" i="5"/>
  <c r="N1409" i="5"/>
  <c r="N1410" i="5"/>
  <c r="N1411" i="5"/>
  <c r="N1412" i="5"/>
  <c r="N1413" i="5"/>
  <c r="N1414" i="5"/>
  <c r="N1415" i="5"/>
  <c r="N1416" i="5"/>
  <c r="N1417" i="5"/>
  <c r="N1418" i="5"/>
  <c r="N1419" i="5"/>
  <c r="N1420" i="5"/>
  <c r="N1421" i="5"/>
  <c r="N1422" i="5"/>
  <c r="N1423" i="5"/>
  <c r="N1424" i="5"/>
  <c r="N1425" i="5"/>
  <c r="N1426" i="5"/>
  <c r="N1427" i="5"/>
  <c r="N1428" i="5"/>
  <c r="N1429" i="5"/>
  <c r="N1430" i="5"/>
  <c r="N1431" i="5"/>
  <c r="N1432" i="5"/>
  <c r="N1433" i="5"/>
  <c r="N1434" i="5"/>
  <c r="N1435" i="5"/>
  <c r="N1436" i="5"/>
  <c r="N1437" i="5"/>
  <c r="N1438" i="5"/>
  <c r="N1439" i="5"/>
  <c r="N1440" i="5"/>
  <c r="N1441" i="5"/>
  <c r="N1442" i="5"/>
  <c r="N1443" i="5"/>
  <c r="N1444" i="5"/>
  <c r="N1445" i="5"/>
  <c r="N1446" i="5"/>
  <c r="N1447" i="5"/>
  <c r="N1448" i="5"/>
  <c r="N1449" i="5"/>
  <c r="N1450" i="5"/>
  <c r="N1451" i="5"/>
  <c r="N1452" i="5"/>
  <c r="N1453" i="5"/>
  <c r="N1454" i="5"/>
  <c r="N1455" i="5"/>
  <c r="N1456" i="5"/>
  <c r="N1457" i="5"/>
  <c r="N1458" i="5"/>
  <c r="N1459" i="5"/>
  <c r="N1460" i="5"/>
  <c r="N1461" i="5"/>
  <c r="N1462" i="5"/>
  <c r="N1463" i="5"/>
  <c r="N1464" i="5"/>
  <c r="N1465" i="5"/>
  <c r="N1466" i="5"/>
  <c r="N1467" i="5"/>
  <c r="N1468" i="5"/>
  <c r="N1469" i="5"/>
  <c r="N1470" i="5"/>
  <c r="N1471" i="5"/>
  <c r="N1472" i="5"/>
  <c r="N1473" i="5"/>
  <c r="N1474" i="5"/>
  <c r="N1475" i="5"/>
  <c r="N1476" i="5"/>
  <c r="N1477" i="5"/>
  <c r="N1478" i="5"/>
  <c r="N1479" i="5"/>
  <c r="N1480" i="5"/>
  <c r="N1481" i="5"/>
  <c r="N1482" i="5"/>
  <c r="N1483" i="5"/>
  <c r="N1484" i="5"/>
  <c r="N1485" i="5"/>
  <c r="N1486" i="5"/>
  <c r="N1487" i="5"/>
  <c r="N1488" i="5"/>
  <c r="N1489" i="5"/>
  <c r="N1490" i="5"/>
  <c r="N1491" i="5"/>
  <c r="N1492" i="5"/>
  <c r="N1493" i="5"/>
  <c r="N1494" i="5"/>
  <c r="N1495" i="5"/>
  <c r="N1496" i="5"/>
  <c r="N1497" i="5"/>
  <c r="N1498" i="5"/>
  <c r="N1499" i="5"/>
  <c r="N1500" i="5"/>
  <c r="N1501" i="5"/>
  <c r="N1502" i="5"/>
  <c r="N1503" i="5"/>
  <c r="N1504" i="5"/>
  <c r="N1505" i="5"/>
  <c r="N1506" i="5"/>
  <c r="N1507" i="5"/>
  <c r="N1508" i="5"/>
  <c r="N1509" i="5"/>
  <c r="N1510" i="5"/>
  <c r="N1511" i="5"/>
  <c r="N1512" i="5"/>
  <c r="N1513" i="5"/>
  <c r="N1514" i="5"/>
  <c r="N1515" i="5"/>
  <c r="N1516" i="5"/>
  <c r="N1517" i="5"/>
  <c r="N1518" i="5"/>
  <c r="N1519" i="5"/>
  <c r="N1520" i="5"/>
  <c r="N1521" i="5"/>
  <c r="N1522" i="5"/>
  <c r="N1523" i="5"/>
  <c r="N1524" i="5"/>
  <c r="N1525" i="5"/>
  <c r="N1526" i="5"/>
  <c r="N1527" i="5"/>
  <c r="N1528" i="5"/>
  <c r="N1529" i="5"/>
  <c r="N1530" i="5"/>
  <c r="N1531" i="5"/>
  <c r="N1532" i="5"/>
  <c r="N1533" i="5"/>
  <c r="N1534" i="5"/>
  <c r="N1535" i="5"/>
  <c r="N1536" i="5"/>
  <c r="N1537" i="5"/>
  <c r="N1538" i="5"/>
  <c r="N1539" i="5"/>
  <c r="N1540" i="5"/>
  <c r="N1541" i="5"/>
  <c r="N1542" i="5"/>
  <c r="N1543" i="5"/>
  <c r="N1544" i="5"/>
  <c r="N1545" i="5"/>
  <c r="N1546" i="5"/>
  <c r="N1547" i="5"/>
  <c r="N1548" i="5"/>
  <c r="N1549" i="5"/>
  <c r="N1550" i="5"/>
  <c r="N1551" i="5"/>
  <c r="N1552" i="5"/>
  <c r="N1553" i="5"/>
  <c r="N1554" i="5"/>
  <c r="N1555" i="5"/>
  <c r="N1556" i="5"/>
  <c r="N1557" i="5"/>
  <c r="N1558" i="5"/>
  <c r="N1559" i="5"/>
  <c r="N1560" i="5"/>
  <c r="N1561" i="5"/>
  <c r="N1562" i="5"/>
  <c r="N1563" i="5"/>
  <c r="N1564" i="5"/>
  <c r="N1565" i="5"/>
  <c r="N1566" i="5"/>
  <c r="N1567" i="5"/>
  <c r="N1568" i="5"/>
  <c r="N1569" i="5"/>
  <c r="N1570" i="5"/>
  <c r="N1571" i="5"/>
  <c r="N1572" i="5"/>
  <c r="N1573" i="5"/>
  <c r="N1574" i="5"/>
  <c r="N1575" i="5"/>
  <c r="N1576" i="5"/>
  <c r="N1577" i="5"/>
  <c r="N1578" i="5"/>
  <c r="N1579" i="5"/>
  <c r="N1580" i="5"/>
  <c r="N1581" i="5"/>
  <c r="N1582" i="5"/>
  <c r="N1583" i="5"/>
  <c r="N1584" i="5"/>
  <c r="N1585" i="5"/>
  <c r="N1586" i="5"/>
  <c r="N1587" i="5"/>
  <c r="N1588" i="5"/>
  <c r="N1589" i="5"/>
  <c r="N1590" i="5"/>
  <c r="N1591" i="5"/>
  <c r="N1592" i="5"/>
  <c r="N1593" i="5"/>
  <c r="N1594" i="5"/>
  <c r="N1595" i="5"/>
  <c r="N1596" i="5"/>
  <c r="N1597" i="5"/>
  <c r="N1598" i="5"/>
  <c r="N1599" i="5"/>
  <c r="N1600" i="5"/>
  <c r="N1601" i="5"/>
  <c r="N1602" i="5"/>
  <c r="N1603" i="5"/>
  <c r="N1604" i="5"/>
  <c r="N1605" i="5"/>
  <c r="N1606" i="5"/>
  <c r="N1607" i="5"/>
  <c r="N1608" i="5"/>
  <c r="N1609" i="5"/>
  <c r="N1610" i="5"/>
  <c r="N1611" i="5"/>
  <c r="N1612" i="5"/>
  <c r="N1613" i="5"/>
  <c r="N1614" i="5"/>
  <c r="N1615" i="5"/>
  <c r="N1616" i="5"/>
  <c r="N1617" i="5"/>
  <c r="N1618" i="5"/>
  <c r="N1619" i="5"/>
  <c r="N1620" i="5"/>
  <c r="N1621" i="5"/>
  <c r="N1622" i="5"/>
  <c r="N1623" i="5"/>
  <c r="N1624" i="5"/>
  <c r="N1625" i="5"/>
  <c r="N1626" i="5"/>
  <c r="N1627" i="5"/>
  <c r="N1628" i="5"/>
  <c r="N1629" i="5"/>
  <c r="N1630" i="5"/>
  <c r="N1631" i="5"/>
  <c r="N1632" i="5"/>
  <c r="N1633" i="5"/>
  <c r="N1634" i="5"/>
  <c r="N1635" i="5"/>
  <c r="N1636" i="5"/>
  <c r="N1637" i="5"/>
  <c r="N1638" i="5"/>
  <c r="N1639" i="5"/>
  <c r="N1640" i="5"/>
  <c r="N1641" i="5"/>
  <c r="N1642" i="5"/>
  <c r="N1643" i="5"/>
  <c r="N1644" i="5"/>
  <c r="N1645" i="5"/>
  <c r="N1646" i="5"/>
  <c r="N1647" i="5"/>
  <c r="N1648" i="5"/>
  <c r="N1649" i="5"/>
  <c r="N1650" i="5"/>
  <c r="N1651" i="5"/>
  <c r="N1652" i="5"/>
  <c r="N1653" i="5"/>
  <c r="N1654" i="5"/>
  <c r="N1655" i="5"/>
  <c r="N1656" i="5"/>
  <c r="N1657" i="5"/>
  <c r="N1658" i="5"/>
  <c r="N1659" i="5"/>
  <c r="N1660" i="5"/>
  <c r="N1661" i="5"/>
  <c r="N1662" i="5"/>
  <c r="N1663" i="5"/>
  <c r="N1664" i="5"/>
  <c r="N1665" i="5"/>
  <c r="N1666" i="5"/>
  <c r="N1667" i="5"/>
  <c r="N1668" i="5"/>
  <c r="N1669" i="5"/>
  <c r="N1670" i="5"/>
  <c r="N1671" i="5"/>
  <c r="N1672" i="5"/>
  <c r="N1673" i="5"/>
  <c r="N1674" i="5"/>
  <c r="N1675" i="5"/>
  <c r="N1676" i="5"/>
  <c r="N1677" i="5"/>
  <c r="N1678" i="5"/>
  <c r="N1679" i="5"/>
  <c r="N1680" i="5"/>
  <c r="N1681" i="5"/>
  <c r="N1682" i="5"/>
  <c r="N1683" i="5"/>
  <c r="N1684" i="5"/>
  <c r="N1685" i="5"/>
  <c r="N1686" i="5"/>
  <c r="N1687" i="5"/>
  <c r="N1688" i="5"/>
  <c r="N1689" i="5"/>
  <c r="N1690" i="5"/>
  <c r="N1691" i="5"/>
  <c r="N1692" i="5"/>
  <c r="N1693" i="5"/>
  <c r="N1694" i="5"/>
  <c r="N1695" i="5"/>
  <c r="N1696" i="5"/>
  <c r="N1697" i="5"/>
  <c r="N1698" i="5"/>
  <c r="N1699" i="5"/>
  <c r="N1700" i="5"/>
  <c r="N1701" i="5"/>
  <c r="N1702" i="5"/>
  <c r="N1703" i="5"/>
  <c r="N1704" i="5"/>
  <c r="N1705" i="5"/>
  <c r="N1706" i="5"/>
  <c r="N1707" i="5"/>
  <c r="N1708" i="5"/>
  <c r="N1709" i="5"/>
  <c r="N1710" i="5"/>
  <c r="N1711" i="5"/>
  <c r="N1712" i="5"/>
  <c r="N1713" i="5"/>
  <c r="N1714" i="5"/>
  <c r="N1715" i="5"/>
  <c r="N1716" i="5"/>
  <c r="N1717" i="5"/>
  <c r="N1718" i="5"/>
  <c r="N1719" i="5"/>
  <c r="N1720" i="5"/>
  <c r="N1721" i="5"/>
  <c r="N1722" i="5"/>
  <c r="N1723" i="5"/>
  <c r="N1724" i="5"/>
  <c r="N1725" i="5"/>
  <c r="N1726" i="5"/>
  <c r="N1727" i="5"/>
  <c r="N1728" i="5"/>
  <c r="N1729" i="5"/>
  <c r="N1730" i="5"/>
  <c r="N1731" i="5"/>
  <c r="N1732" i="5"/>
  <c r="N1733" i="5"/>
  <c r="N1734" i="5"/>
  <c r="N1735" i="5"/>
  <c r="N1736" i="5"/>
  <c r="N1737" i="5"/>
  <c r="N1738" i="5"/>
  <c r="N1739" i="5"/>
  <c r="N1740" i="5"/>
  <c r="N1741" i="5"/>
  <c r="N1742" i="5"/>
  <c r="N1743" i="5"/>
  <c r="N1744" i="5"/>
  <c r="N1745" i="5"/>
  <c r="N1746" i="5"/>
  <c r="N1747" i="5"/>
  <c r="N1748" i="5"/>
  <c r="N1749" i="5"/>
  <c r="N1750" i="5"/>
  <c r="N1751" i="5"/>
  <c r="N1752" i="5"/>
  <c r="N1753" i="5"/>
  <c r="N1754" i="5"/>
  <c r="N1755" i="5"/>
  <c r="N1756" i="5"/>
  <c r="N1757" i="5"/>
  <c r="N1758" i="5"/>
  <c r="N1759" i="5"/>
  <c r="N1760" i="5"/>
  <c r="N1761" i="5"/>
  <c r="N1762" i="5"/>
  <c r="N1763" i="5"/>
  <c r="N1764" i="5"/>
  <c r="N1765" i="5"/>
  <c r="N1766" i="5"/>
  <c r="N1767" i="5"/>
  <c r="N1768" i="5"/>
  <c r="N1769" i="5"/>
  <c r="N1770" i="5"/>
  <c r="N1771" i="5"/>
  <c r="N1772" i="5"/>
  <c r="N1773" i="5"/>
  <c r="N1774" i="5"/>
  <c r="N1775" i="5"/>
  <c r="N1776" i="5"/>
  <c r="N1777" i="5"/>
  <c r="N1778" i="5"/>
  <c r="N1779" i="5"/>
  <c r="N1780" i="5"/>
  <c r="N1781" i="5"/>
  <c r="N1782" i="5"/>
  <c r="N1783" i="5"/>
  <c r="N1784" i="5"/>
  <c r="N1785" i="5"/>
  <c r="N1786" i="5"/>
  <c r="N1787" i="5"/>
  <c r="N1788" i="5"/>
  <c r="N1789" i="5"/>
  <c r="N1790" i="5"/>
  <c r="N1791" i="5"/>
  <c r="N1792" i="5"/>
  <c r="N1793" i="5"/>
  <c r="N1794" i="5"/>
  <c r="N1795" i="5"/>
  <c r="N1796" i="5"/>
  <c r="N1797" i="5"/>
  <c r="N1798" i="5"/>
  <c r="N1799" i="5"/>
  <c r="N1800" i="5"/>
  <c r="N1801" i="5"/>
  <c r="N1802" i="5"/>
  <c r="N1803" i="5"/>
  <c r="N1804" i="5"/>
  <c r="N1805" i="5"/>
  <c r="N1806" i="5"/>
  <c r="N1807" i="5"/>
  <c r="N1808" i="5"/>
  <c r="N1809" i="5"/>
  <c r="N1810" i="5"/>
  <c r="N1811" i="5"/>
  <c r="N1812" i="5"/>
  <c r="N1813" i="5"/>
  <c r="N1814" i="5"/>
  <c r="N1815" i="5"/>
  <c r="N1816" i="5"/>
  <c r="N1817" i="5"/>
  <c r="N1818" i="5"/>
  <c r="N1819" i="5"/>
  <c r="N1820" i="5"/>
  <c r="N1821" i="5"/>
  <c r="N1822" i="5"/>
  <c r="N1823" i="5"/>
  <c r="N1824" i="5"/>
  <c r="N1825" i="5"/>
  <c r="N1826" i="5"/>
  <c r="N1827" i="5"/>
  <c r="N1828" i="5"/>
  <c r="N1829" i="5"/>
  <c r="N1830" i="5"/>
  <c r="N1831" i="5"/>
  <c r="N1832" i="5"/>
  <c r="N1833" i="5"/>
  <c r="N1834" i="5"/>
  <c r="N1835" i="5"/>
  <c r="N1836" i="5"/>
  <c r="N1837" i="5"/>
  <c r="N1838" i="5"/>
  <c r="N1839" i="5"/>
  <c r="N1840" i="5"/>
  <c r="N1841" i="5"/>
  <c r="N1842" i="5"/>
  <c r="N1843" i="5"/>
  <c r="N1844" i="5"/>
  <c r="N1845" i="5"/>
  <c r="N1846" i="5"/>
  <c r="N1847" i="5"/>
  <c r="N1848" i="5"/>
  <c r="N1849" i="5"/>
  <c r="N1850" i="5"/>
  <c r="N1851" i="5"/>
  <c r="N1852" i="5"/>
  <c r="N1853" i="5"/>
  <c r="N1854" i="5"/>
  <c r="N1855" i="5"/>
  <c r="N1856" i="5"/>
  <c r="N1857" i="5"/>
  <c r="N1858" i="5"/>
  <c r="N1859" i="5"/>
  <c r="N1860" i="5"/>
  <c r="N1861" i="5"/>
  <c r="N1862" i="5"/>
  <c r="N1863" i="5"/>
  <c r="N1864" i="5"/>
  <c r="N1865" i="5"/>
  <c r="N1866" i="5"/>
  <c r="N1867" i="5"/>
  <c r="N1868" i="5"/>
  <c r="N1869" i="5"/>
  <c r="N1870" i="5"/>
  <c r="N1871" i="5"/>
  <c r="N1872" i="5"/>
  <c r="N1873" i="5"/>
  <c r="N1874" i="5"/>
  <c r="N1875" i="5"/>
  <c r="N1876" i="5"/>
  <c r="N1877" i="5"/>
  <c r="N1878" i="5"/>
  <c r="N1879" i="5"/>
  <c r="N1880" i="5"/>
  <c r="N1881" i="5"/>
  <c r="N1882" i="5"/>
  <c r="N1883" i="5"/>
  <c r="N1884" i="5"/>
  <c r="N1885" i="5"/>
  <c r="N1886" i="5"/>
  <c r="N1887" i="5"/>
  <c r="N1888" i="5"/>
  <c r="N1889" i="5"/>
  <c r="N1890" i="5"/>
  <c r="N1891" i="5"/>
  <c r="N1892" i="5"/>
  <c r="N1893" i="5"/>
  <c r="N1894" i="5"/>
  <c r="N1895" i="5"/>
  <c r="N1896" i="5"/>
  <c r="N1897" i="5"/>
  <c r="N1898" i="5"/>
  <c r="N1899" i="5"/>
  <c r="N1900" i="5"/>
  <c r="N1901" i="5"/>
  <c r="N1902" i="5"/>
  <c r="N1903" i="5"/>
  <c r="N1904" i="5"/>
  <c r="N1905" i="5"/>
  <c r="N1906" i="5"/>
  <c r="N1907" i="5"/>
  <c r="N1908" i="5"/>
  <c r="N1909" i="5"/>
  <c r="N1910" i="5"/>
  <c r="N1911" i="5"/>
  <c r="N1912" i="5"/>
  <c r="N1913" i="5"/>
  <c r="N1914" i="5"/>
  <c r="N1915" i="5"/>
  <c r="N1916" i="5"/>
  <c r="N1917" i="5"/>
  <c r="N1918" i="5"/>
  <c r="N1919" i="5"/>
  <c r="N1920" i="5"/>
  <c r="N1921" i="5"/>
  <c r="N1922" i="5"/>
  <c r="N1923" i="5"/>
  <c r="N1924" i="5"/>
  <c r="N1925" i="5"/>
  <c r="N1926" i="5"/>
  <c r="N1927" i="5"/>
  <c r="N1928" i="5"/>
  <c r="N1929" i="5"/>
  <c r="N1930" i="5"/>
  <c r="N1931" i="5"/>
  <c r="N1932" i="5"/>
  <c r="N1933" i="5"/>
  <c r="N1934" i="5"/>
  <c r="N1935" i="5"/>
  <c r="N1936" i="5"/>
  <c r="N1937" i="5"/>
  <c r="N1938" i="5"/>
  <c r="N1939" i="5"/>
  <c r="N1940" i="5"/>
  <c r="N1941" i="5"/>
  <c r="N1942" i="5"/>
  <c r="N1943" i="5"/>
  <c r="N1944" i="5"/>
  <c r="N1945" i="5"/>
  <c r="N1946" i="5"/>
  <c r="N1947" i="5"/>
  <c r="N1948" i="5"/>
  <c r="N1949" i="5"/>
  <c r="N1950" i="5"/>
  <c r="N1951" i="5"/>
  <c r="N1952" i="5"/>
  <c r="N1953" i="5"/>
  <c r="N1954" i="5"/>
  <c r="N1955" i="5"/>
  <c r="N1956" i="5"/>
  <c r="N1957" i="5"/>
  <c r="N1958" i="5"/>
  <c r="N1959" i="5"/>
  <c r="N1960" i="5"/>
  <c r="N1961" i="5"/>
  <c r="N1962" i="5"/>
  <c r="N1963" i="5"/>
  <c r="N1964" i="5"/>
  <c r="N1965" i="5"/>
  <c r="N1966" i="5"/>
  <c r="N1967" i="5"/>
  <c r="N1968" i="5"/>
  <c r="N1969" i="5"/>
  <c r="N1970" i="5"/>
  <c r="N1971" i="5"/>
  <c r="N1972" i="5"/>
  <c r="N1973" i="5"/>
  <c r="N1974" i="5"/>
  <c r="N1975" i="5"/>
  <c r="N1976" i="5"/>
  <c r="N1977" i="5"/>
  <c r="N1978" i="5"/>
  <c r="N1979" i="5"/>
  <c r="N1980" i="5"/>
  <c r="N1981" i="5"/>
  <c r="N1982" i="5"/>
  <c r="N1983" i="5"/>
  <c r="N1984" i="5"/>
  <c r="N1985" i="5"/>
  <c r="N1986" i="5"/>
  <c r="N1987" i="5"/>
  <c r="N1988" i="5"/>
  <c r="N1989" i="5"/>
  <c r="N1990" i="5"/>
  <c r="N1991" i="5"/>
  <c r="N1992" i="5"/>
  <c r="N1993" i="5"/>
  <c r="N1994" i="5"/>
  <c r="N1995" i="5"/>
  <c r="N1996" i="5"/>
  <c r="N1997" i="5"/>
  <c r="N1998" i="5"/>
  <c r="N1999" i="5"/>
  <c r="N2000" i="5"/>
  <c r="N2001" i="5"/>
  <c r="N2002" i="5"/>
  <c r="N2003" i="5"/>
  <c r="N2004" i="5"/>
  <c r="N2005" i="5"/>
  <c r="N2006" i="5"/>
  <c r="N2007" i="5"/>
  <c r="N2008" i="5"/>
  <c r="N2009" i="5"/>
  <c r="N2010" i="5"/>
  <c r="N2011" i="5"/>
  <c r="N2012" i="5"/>
  <c r="N2013" i="5"/>
  <c r="N2014" i="5"/>
  <c r="N2015" i="5"/>
  <c r="N2016" i="5"/>
  <c r="N2017" i="5"/>
  <c r="N2018" i="5"/>
  <c r="N2019" i="5"/>
  <c r="N2020" i="5"/>
  <c r="N2021" i="5"/>
  <c r="N2022" i="5"/>
  <c r="N2023" i="5"/>
  <c r="N2024" i="5"/>
  <c r="N2025" i="5"/>
  <c r="N2026" i="5"/>
  <c r="N2027" i="5"/>
  <c r="N2028" i="5"/>
  <c r="N2029" i="5"/>
  <c r="N2030" i="5"/>
  <c r="N2031" i="5"/>
  <c r="N2032" i="5"/>
  <c r="N2033" i="5"/>
  <c r="N2034" i="5"/>
  <c r="N2035" i="5"/>
  <c r="N2036" i="5"/>
  <c r="N2037" i="5"/>
  <c r="N2038" i="5"/>
  <c r="N2039" i="5"/>
  <c r="N2040" i="5"/>
  <c r="N2041" i="5"/>
  <c r="N2042" i="5"/>
  <c r="N2043" i="5"/>
  <c r="N2044" i="5"/>
  <c r="N2045" i="5"/>
  <c r="N2046" i="5"/>
  <c r="N2047" i="5"/>
  <c r="N2048" i="5"/>
  <c r="N2049" i="5"/>
  <c r="N2050" i="5"/>
  <c r="N2051" i="5"/>
  <c r="N2052" i="5"/>
  <c r="N2053" i="5"/>
  <c r="N2054" i="5"/>
  <c r="N2055" i="5"/>
  <c r="N2056" i="5"/>
  <c r="N2057" i="5"/>
  <c r="N2058" i="5"/>
  <c r="N2059" i="5"/>
  <c r="N2060" i="5"/>
  <c r="N2061" i="5"/>
  <c r="N2062" i="5"/>
  <c r="N2063" i="5"/>
  <c r="N2064" i="5"/>
  <c r="N2065" i="5"/>
  <c r="N2066" i="5"/>
  <c r="N2067" i="5"/>
  <c r="N2068" i="5"/>
  <c r="N2069" i="5"/>
  <c r="N2070" i="5"/>
  <c r="N2071" i="5"/>
  <c r="N2072" i="5"/>
  <c r="N2073" i="5"/>
  <c r="N2074" i="5"/>
  <c r="N2075" i="5"/>
  <c r="N2076" i="5"/>
  <c r="N2077" i="5"/>
  <c r="N2078" i="5"/>
  <c r="N2079" i="5"/>
  <c r="N2080" i="5"/>
  <c r="N2081" i="5"/>
  <c r="N2082" i="5"/>
  <c r="N2083" i="5"/>
  <c r="N2084" i="5"/>
  <c r="N2085" i="5"/>
  <c r="N2086" i="5"/>
  <c r="N2087" i="5"/>
  <c r="N2088" i="5"/>
  <c r="N2089" i="5"/>
  <c r="N2090" i="5"/>
  <c r="N2091" i="5"/>
  <c r="N2092" i="5"/>
  <c r="N2093" i="5"/>
  <c r="N2094" i="5"/>
  <c r="N2095" i="5"/>
  <c r="N2096" i="5"/>
  <c r="N2097" i="5"/>
  <c r="N2098" i="5"/>
  <c r="N2099" i="5"/>
  <c r="N2100" i="5"/>
  <c r="N2101" i="5"/>
  <c r="N2102" i="5"/>
  <c r="N2103" i="5"/>
  <c r="N2104" i="5"/>
  <c r="N2105" i="5"/>
  <c r="N2106" i="5"/>
  <c r="N2107" i="5"/>
  <c r="N2108" i="5"/>
  <c r="N2109" i="5"/>
  <c r="N2110" i="5"/>
  <c r="N2111" i="5"/>
  <c r="N2112" i="5"/>
  <c r="N2113" i="5"/>
  <c r="N2114" i="5"/>
  <c r="N2115" i="5"/>
  <c r="N2116" i="5"/>
  <c r="N2117" i="5"/>
  <c r="N2118" i="5"/>
  <c r="N2119" i="5"/>
  <c r="N2120" i="5"/>
  <c r="N2121" i="5"/>
  <c r="N2122" i="5"/>
  <c r="N2123" i="5"/>
  <c r="N2124" i="5"/>
  <c r="N2125" i="5"/>
  <c r="N2126" i="5"/>
  <c r="N2127" i="5"/>
  <c r="N2128" i="5"/>
  <c r="N2129" i="5"/>
  <c r="N2130" i="5"/>
  <c r="N2131" i="5"/>
  <c r="N2132" i="5"/>
  <c r="N2133" i="5"/>
  <c r="N2134" i="5"/>
  <c r="N2135" i="5"/>
  <c r="N2136" i="5"/>
  <c r="N2137" i="5"/>
  <c r="N2138" i="5"/>
  <c r="N2139" i="5"/>
  <c r="N2140" i="5"/>
  <c r="N2141" i="5"/>
  <c r="N2142" i="5"/>
  <c r="N2143" i="5"/>
  <c r="N2144" i="5"/>
  <c r="N2145" i="5"/>
  <c r="N2146" i="5"/>
  <c r="N2147" i="5"/>
  <c r="N2148" i="5"/>
  <c r="N2149" i="5"/>
  <c r="N2150" i="5"/>
  <c r="N2151" i="5"/>
  <c r="N2152" i="5"/>
  <c r="N2153" i="5"/>
  <c r="N2154" i="5"/>
  <c r="N2155" i="5"/>
  <c r="N2156" i="5"/>
  <c r="N2157" i="5"/>
  <c r="N2158" i="5"/>
  <c r="N2159" i="5"/>
  <c r="N2160" i="5"/>
  <c r="N2161" i="5"/>
  <c r="N2162" i="5"/>
  <c r="N2163" i="5"/>
  <c r="N2164" i="5"/>
  <c r="N2165" i="5"/>
  <c r="N2166" i="5"/>
  <c r="N2167" i="5"/>
  <c r="N2168" i="5"/>
  <c r="N2169" i="5"/>
  <c r="N2170" i="5"/>
  <c r="N2171" i="5"/>
  <c r="N2172" i="5"/>
  <c r="N2173" i="5"/>
  <c r="N2174" i="5"/>
  <c r="N2175" i="5"/>
  <c r="N2176" i="5"/>
  <c r="N2177" i="5"/>
  <c r="N2178" i="5"/>
  <c r="N2179" i="5"/>
  <c r="N2180" i="5"/>
  <c r="N2181" i="5"/>
  <c r="N2182" i="5"/>
  <c r="N2183" i="5"/>
  <c r="N2184" i="5"/>
  <c r="N2185" i="5"/>
  <c r="N2186" i="5"/>
  <c r="N2187" i="5"/>
  <c r="N2188" i="5"/>
  <c r="N2189" i="5"/>
  <c r="N2190" i="5"/>
  <c r="N2191" i="5"/>
  <c r="N2192" i="5"/>
  <c r="N2193" i="5"/>
  <c r="N2194" i="5"/>
  <c r="N2195" i="5"/>
  <c r="N2196" i="5"/>
  <c r="N2197" i="5"/>
  <c r="N2198" i="5"/>
  <c r="N2199" i="5"/>
  <c r="N2200" i="5"/>
  <c r="N2201" i="5"/>
  <c r="N2202" i="5"/>
  <c r="N2203" i="5"/>
  <c r="N2204" i="5"/>
  <c r="N2205" i="5"/>
  <c r="N2206" i="5"/>
  <c r="N2207" i="5"/>
  <c r="N2208" i="5"/>
  <c r="N2209" i="5"/>
  <c r="N2210" i="5"/>
  <c r="N2211" i="5"/>
  <c r="N2212" i="5"/>
  <c r="N2213" i="5"/>
  <c r="N2214" i="5"/>
  <c r="N2215" i="5"/>
  <c r="N2216" i="5"/>
  <c r="N2217" i="5"/>
  <c r="N2218" i="5"/>
  <c r="N2219" i="5"/>
  <c r="N2220" i="5"/>
  <c r="N2221" i="5"/>
  <c r="N2222" i="5"/>
  <c r="N2223" i="5"/>
  <c r="N2224" i="5"/>
  <c r="N2225" i="5"/>
  <c r="N2226" i="5"/>
  <c r="N2227" i="5"/>
  <c r="N2228" i="5"/>
  <c r="N2229" i="5"/>
  <c r="N2230" i="5"/>
  <c r="N2231" i="5"/>
  <c r="N2232" i="5"/>
  <c r="N2233" i="5"/>
  <c r="N2234" i="5"/>
  <c r="N2235" i="5"/>
  <c r="N2236" i="5"/>
  <c r="N2237" i="5"/>
  <c r="N2238" i="5"/>
  <c r="N2239" i="5"/>
  <c r="N2240" i="5"/>
  <c r="N2241" i="5"/>
  <c r="N2242" i="5"/>
  <c r="N2243" i="5"/>
  <c r="N2244" i="5"/>
  <c r="N2245" i="5"/>
  <c r="N2246" i="5"/>
  <c r="N2247" i="5"/>
  <c r="N2248" i="5"/>
  <c r="N2249" i="5"/>
  <c r="N2250" i="5"/>
  <c r="N2251" i="5"/>
  <c r="N2252" i="5"/>
  <c r="N2253" i="5"/>
  <c r="N2254" i="5"/>
  <c r="N2255" i="5"/>
  <c r="N2256" i="5"/>
  <c r="N2257" i="5"/>
  <c r="N2258" i="5"/>
  <c r="N2259" i="5"/>
  <c r="N2260" i="5"/>
  <c r="N2261" i="5"/>
  <c r="N2262" i="5"/>
  <c r="N2263" i="5"/>
  <c r="N2264" i="5"/>
  <c r="N2265" i="5"/>
  <c r="N2266" i="5"/>
  <c r="N2267" i="5"/>
  <c r="N2268" i="5"/>
  <c r="N2269" i="5"/>
  <c r="N2270" i="5"/>
  <c r="N2271" i="5"/>
  <c r="N2272" i="5"/>
  <c r="N2273" i="5"/>
  <c r="N2274" i="5"/>
  <c r="N2275" i="5"/>
  <c r="N2276" i="5"/>
  <c r="N2277" i="5"/>
  <c r="N2278" i="5"/>
  <c r="N2279" i="5"/>
  <c r="N2280" i="5"/>
  <c r="N2281" i="5"/>
  <c r="N2282" i="5"/>
  <c r="N2283" i="5"/>
  <c r="N2284" i="5"/>
  <c r="N2285" i="5"/>
  <c r="N2286" i="5"/>
  <c r="N2287" i="5"/>
  <c r="N2288" i="5"/>
  <c r="N2289" i="5"/>
  <c r="N2290" i="5"/>
  <c r="N2291" i="5"/>
  <c r="N2292" i="5"/>
  <c r="N2293" i="5"/>
  <c r="N2294" i="5"/>
  <c r="N2295" i="5"/>
  <c r="N2296" i="5"/>
  <c r="N2297" i="5"/>
  <c r="N2298" i="5"/>
  <c r="N2299" i="5"/>
  <c r="N2300" i="5"/>
  <c r="N2301" i="5"/>
  <c r="N2302" i="5"/>
  <c r="N2303" i="5"/>
  <c r="N2304" i="5"/>
  <c r="N2305" i="5"/>
  <c r="N2306" i="5"/>
  <c r="N2307" i="5"/>
  <c r="N2308" i="5"/>
  <c r="N2309" i="5"/>
  <c r="N2310" i="5"/>
  <c r="N2311" i="5"/>
  <c r="N2312" i="5"/>
  <c r="N2313" i="5"/>
  <c r="N2314" i="5"/>
  <c r="N2315" i="5"/>
  <c r="N2316" i="5"/>
  <c r="N2317" i="5"/>
  <c r="N2318" i="5"/>
  <c r="N2319" i="5"/>
  <c r="N2320" i="5"/>
  <c r="N2321" i="5"/>
  <c r="N2322" i="5"/>
  <c r="N2323" i="5"/>
  <c r="N2324" i="5"/>
  <c r="N2325" i="5"/>
  <c r="N2326" i="5"/>
  <c r="N2327" i="5"/>
  <c r="N2328" i="5"/>
  <c r="N2329" i="5"/>
  <c r="N2330" i="5"/>
  <c r="N2331" i="5"/>
  <c r="N2332" i="5"/>
  <c r="N2333" i="5"/>
  <c r="N2334" i="5"/>
  <c r="N2335" i="5"/>
  <c r="N2336" i="5"/>
  <c r="N2337" i="5"/>
  <c r="N2338" i="5"/>
  <c r="N2339" i="5"/>
  <c r="N2340" i="5"/>
  <c r="N2341" i="5"/>
  <c r="N2342" i="5"/>
  <c r="N2343" i="5"/>
  <c r="N2344" i="5"/>
  <c r="N2345" i="5"/>
  <c r="N2346" i="5"/>
  <c r="N2347" i="5"/>
  <c r="N2348" i="5"/>
  <c r="N2349" i="5"/>
  <c r="N2350" i="5"/>
  <c r="N2351" i="5"/>
  <c r="N2352" i="5"/>
  <c r="N2353" i="5"/>
  <c r="N2354" i="5"/>
  <c r="N2355" i="5"/>
  <c r="N2356" i="5"/>
  <c r="N2357" i="5"/>
  <c r="N2358" i="5"/>
  <c r="N2359" i="5"/>
  <c r="N2360" i="5"/>
  <c r="N2361" i="5"/>
  <c r="N2362" i="5"/>
  <c r="N2363" i="5"/>
  <c r="N2364" i="5"/>
  <c r="N2365" i="5"/>
  <c r="N2366" i="5"/>
  <c r="N2367" i="5"/>
  <c r="N2368" i="5"/>
  <c r="N2369" i="5"/>
  <c r="N2370" i="5"/>
  <c r="N2371" i="5"/>
  <c r="N2372" i="5"/>
  <c r="N2373" i="5"/>
  <c r="N2374" i="5"/>
  <c r="N2375" i="5"/>
  <c r="N2376" i="5"/>
  <c r="N2377" i="5"/>
  <c r="N2378" i="5"/>
  <c r="N2379" i="5"/>
  <c r="N2380" i="5"/>
  <c r="N2381" i="5"/>
  <c r="N2382" i="5"/>
  <c r="N2383" i="5"/>
  <c r="N2384" i="5"/>
  <c r="N2385" i="5"/>
  <c r="N2386" i="5"/>
  <c r="N2387" i="5"/>
  <c r="N2388" i="5"/>
  <c r="N2389" i="5"/>
  <c r="N2390" i="5"/>
  <c r="N2391" i="5"/>
  <c r="N2392" i="5"/>
  <c r="N2393" i="5"/>
  <c r="N2394" i="5"/>
  <c r="N2395" i="5"/>
  <c r="N2396" i="5"/>
  <c r="N2397" i="5"/>
  <c r="N2398" i="5"/>
  <c r="N2399" i="5"/>
  <c r="N2400" i="5"/>
  <c r="N2401" i="5"/>
  <c r="N2402" i="5"/>
  <c r="N2403" i="5"/>
  <c r="N2404" i="5"/>
  <c r="N2405" i="5"/>
  <c r="N2406" i="5"/>
  <c r="N2407" i="5"/>
  <c r="N2408" i="5"/>
  <c r="N2409" i="5"/>
  <c r="N2410" i="5"/>
  <c r="N2411" i="5"/>
  <c r="N2412" i="5"/>
  <c r="N2413" i="5"/>
  <c r="N2414" i="5"/>
  <c r="N2415" i="5"/>
  <c r="N2416" i="5"/>
  <c r="N2417" i="5"/>
  <c r="N2418" i="5"/>
  <c r="N2419" i="5"/>
  <c r="N2420" i="5"/>
  <c r="N2421" i="5"/>
  <c r="N2422" i="5"/>
  <c r="N2423" i="5"/>
  <c r="N2424" i="5"/>
  <c r="N2425" i="5"/>
  <c r="N2426" i="5"/>
  <c r="N2427" i="5"/>
  <c r="N2428" i="5"/>
  <c r="N2429" i="5"/>
  <c r="N2430" i="5"/>
  <c r="N2431" i="5"/>
  <c r="N2432" i="5"/>
  <c r="N2433" i="5"/>
  <c r="N2434" i="5"/>
  <c r="N2435" i="5"/>
  <c r="N2436" i="5"/>
  <c r="N2437" i="5"/>
  <c r="N2438" i="5"/>
  <c r="N2439" i="5"/>
  <c r="N2440" i="5"/>
  <c r="N2441" i="5"/>
  <c r="N2442" i="5"/>
  <c r="N2443" i="5"/>
  <c r="N2444" i="5"/>
  <c r="N2445" i="5"/>
  <c r="N2446" i="5"/>
  <c r="N2447" i="5"/>
  <c r="N2448" i="5"/>
  <c r="N2449" i="5"/>
  <c r="N2450" i="5"/>
  <c r="N2451" i="5"/>
  <c r="N2452" i="5"/>
  <c r="N2453" i="5"/>
  <c r="N2454" i="5"/>
  <c r="N2455" i="5"/>
  <c r="N2456" i="5"/>
  <c r="N2457" i="5"/>
  <c r="N2458" i="5"/>
  <c r="N2459" i="5"/>
  <c r="N2460" i="5"/>
  <c r="N2461" i="5"/>
  <c r="N2462" i="5"/>
  <c r="N2463" i="5"/>
  <c r="N2464" i="5"/>
  <c r="N2465" i="5"/>
  <c r="N2466" i="5"/>
  <c r="N2467" i="5"/>
  <c r="N2468" i="5"/>
  <c r="N2469" i="5"/>
  <c r="N2470" i="5"/>
  <c r="N2471" i="5"/>
  <c r="N2472" i="5"/>
  <c r="N2473" i="5"/>
  <c r="N2474" i="5"/>
  <c r="N2475" i="5"/>
  <c r="N2476" i="5"/>
  <c r="N2477" i="5"/>
  <c r="N2478" i="5"/>
  <c r="N2479" i="5"/>
  <c r="N2480" i="5"/>
  <c r="N2481" i="5"/>
  <c r="N2482" i="5"/>
  <c r="N2483" i="5"/>
  <c r="N2484" i="5"/>
  <c r="N2485" i="5"/>
  <c r="N2486" i="5"/>
  <c r="N2487" i="5"/>
  <c r="N2488" i="5"/>
  <c r="N2489" i="5"/>
  <c r="N2490" i="5"/>
  <c r="N2491" i="5"/>
  <c r="N2492" i="5"/>
  <c r="N2493" i="5"/>
  <c r="N2494" i="5"/>
  <c r="N2495" i="5"/>
  <c r="N2496" i="5"/>
  <c r="N2497" i="5"/>
  <c r="N2498" i="5"/>
  <c r="N2499" i="5"/>
  <c r="N2500" i="5"/>
  <c r="N2501" i="5"/>
  <c r="N2502" i="5"/>
  <c r="N2503" i="5"/>
  <c r="N2504" i="5"/>
  <c r="N2505" i="5"/>
  <c r="N2506" i="5"/>
  <c r="N2507" i="5"/>
  <c r="N2508" i="5"/>
  <c r="N2509" i="5"/>
  <c r="N2510" i="5"/>
  <c r="N2511" i="5"/>
  <c r="N2512" i="5"/>
  <c r="N2513" i="5"/>
  <c r="N2514" i="5"/>
  <c r="N2515" i="5"/>
  <c r="N2516" i="5"/>
  <c r="N2517" i="5"/>
  <c r="N2518" i="5"/>
  <c r="N2519" i="5"/>
  <c r="N2520" i="5"/>
  <c r="N2521" i="5"/>
  <c r="N2522" i="5"/>
  <c r="N2523" i="5"/>
  <c r="N2524" i="5"/>
  <c r="N2525" i="5"/>
  <c r="N2526" i="5"/>
  <c r="N2527" i="5"/>
  <c r="N2528" i="5"/>
  <c r="N2529" i="5"/>
  <c r="N2530" i="5"/>
  <c r="N2531" i="5"/>
  <c r="N2532" i="5"/>
  <c r="N2533" i="5"/>
  <c r="N2534" i="5"/>
  <c r="N2535" i="5"/>
  <c r="N2536" i="5"/>
  <c r="N2537" i="5"/>
  <c r="N2538" i="5"/>
  <c r="N2539" i="5"/>
  <c r="N2540" i="5"/>
  <c r="N2541" i="5"/>
  <c r="N2542" i="5"/>
  <c r="N2543" i="5"/>
  <c r="N2544" i="5"/>
  <c r="N2545" i="5"/>
  <c r="N2546" i="5"/>
  <c r="N2547" i="5"/>
  <c r="N2548" i="5"/>
  <c r="N2549" i="5"/>
  <c r="N2550" i="5"/>
  <c r="N2551" i="5"/>
  <c r="N2552" i="5"/>
  <c r="N2553" i="5"/>
  <c r="N2554" i="5"/>
  <c r="N2555" i="5"/>
  <c r="N2556" i="5"/>
  <c r="N2557" i="5"/>
  <c r="N2558" i="5"/>
  <c r="N2559" i="5"/>
  <c r="N2560" i="5"/>
  <c r="N2561" i="5"/>
  <c r="N2562" i="5"/>
  <c r="N2563" i="5"/>
  <c r="N2564" i="5"/>
  <c r="N2565" i="5"/>
  <c r="N2566" i="5"/>
  <c r="N2567" i="5"/>
  <c r="N2568" i="5"/>
  <c r="N2569" i="5"/>
  <c r="N2570" i="5"/>
  <c r="N2571" i="5"/>
  <c r="N2572" i="5"/>
  <c r="N2573" i="5"/>
  <c r="N2574" i="5"/>
  <c r="N2575" i="5"/>
  <c r="N2576" i="5"/>
  <c r="N2577" i="5"/>
  <c r="N2578" i="5"/>
  <c r="N2579" i="5"/>
  <c r="N2580" i="5"/>
  <c r="N2581" i="5"/>
  <c r="N2582" i="5"/>
  <c r="N2583" i="5"/>
  <c r="N2584" i="5"/>
  <c r="N2585" i="5"/>
  <c r="N2586" i="5"/>
  <c r="N2587" i="5"/>
  <c r="N2588" i="5"/>
  <c r="N2589" i="5"/>
  <c r="N2590" i="5"/>
  <c r="N2591" i="5"/>
  <c r="N2592" i="5"/>
  <c r="N2593" i="5"/>
  <c r="N2594" i="5"/>
  <c r="N2595" i="5"/>
  <c r="N2596" i="5"/>
  <c r="N2597" i="5"/>
  <c r="N2598" i="5"/>
  <c r="N2599" i="5"/>
  <c r="N2600" i="5"/>
  <c r="N2601" i="5"/>
  <c r="N2602" i="5"/>
  <c r="N2603" i="5"/>
  <c r="N2604" i="5"/>
  <c r="N2605" i="5"/>
  <c r="N2606" i="5"/>
  <c r="N2607" i="5"/>
  <c r="N2608" i="5"/>
  <c r="N2609" i="5"/>
  <c r="N2610" i="5"/>
  <c r="N2611" i="5"/>
  <c r="N2612" i="5"/>
  <c r="N2613" i="5"/>
  <c r="N2614" i="5"/>
  <c r="N2615" i="5"/>
  <c r="N2616" i="5"/>
  <c r="N2617" i="5"/>
  <c r="N2618" i="5"/>
  <c r="N2619" i="5"/>
  <c r="N2620" i="5"/>
  <c r="N2621" i="5"/>
  <c r="N2622" i="5"/>
  <c r="N2623" i="5"/>
  <c r="N2624" i="5"/>
  <c r="N2625" i="5"/>
  <c r="N2626" i="5"/>
  <c r="N2627" i="5"/>
  <c r="N2628" i="5"/>
  <c r="N2629" i="5"/>
  <c r="N2630" i="5"/>
  <c r="N2631" i="5"/>
  <c r="N2632" i="5"/>
  <c r="N2633" i="5"/>
  <c r="N2634" i="5"/>
  <c r="N2635" i="5"/>
  <c r="N2636" i="5"/>
  <c r="N2637" i="5"/>
  <c r="N2638" i="5"/>
  <c r="N2639" i="5"/>
  <c r="N2640" i="5"/>
  <c r="N2641" i="5"/>
  <c r="N2642" i="5"/>
  <c r="N2643" i="5"/>
  <c r="N2644" i="5"/>
  <c r="N2645" i="5"/>
  <c r="N2646" i="5"/>
  <c r="N2647" i="5"/>
  <c r="N2648" i="5"/>
  <c r="N2649" i="5"/>
  <c r="N2650" i="5"/>
  <c r="N2651" i="5"/>
  <c r="N2652" i="5"/>
  <c r="N2653" i="5"/>
  <c r="N2654" i="5"/>
  <c r="N2655" i="5"/>
  <c r="N2656" i="5"/>
  <c r="N2657" i="5"/>
  <c r="N2658" i="5"/>
  <c r="N2659" i="5"/>
  <c r="N2660" i="5"/>
  <c r="N2661" i="5"/>
  <c r="N2662" i="5"/>
  <c r="N2663" i="5"/>
  <c r="N2664" i="5"/>
  <c r="N2665" i="5"/>
  <c r="N2666" i="5"/>
  <c r="N2667" i="5"/>
  <c r="N2668" i="5"/>
  <c r="N2669" i="5"/>
  <c r="N2670" i="5"/>
  <c r="N2671" i="5"/>
  <c r="N2672" i="5"/>
  <c r="N2673" i="5"/>
  <c r="N2674" i="5"/>
  <c r="N2675" i="5"/>
  <c r="N2676" i="5"/>
  <c r="N2677" i="5"/>
  <c r="N2678" i="5"/>
  <c r="N2679" i="5"/>
  <c r="N2680" i="5"/>
  <c r="N2681" i="5"/>
  <c r="N2682" i="5"/>
  <c r="N2683" i="5"/>
  <c r="N2684" i="5"/>
  <c r="N2685" i="5"/>
  <c r="N2686" i="5"/>
  <c r="N2687" i="5"/>
  <c r="N2688" i="5"/>
  <c r="N2689" i="5"/>
  <c r="N2690" i="5"/>
  <c r="N2691" i="5"/>
  <c r="N2692" i="5"/>
  <c r="N2693" i="5"/>
  <c r="N2694" i="5"/>
  <c r="N2695" i="5"/>
  <c r="N2696" i="5"/>
  <c r="N2697" i="5"/>
  <c r="N2698" i="5"/>
  <c r="N2699" i="5"/>
  <c r="N2700" i="5"/>
  <c r="N2701" i="5"/>
  <c r="N2702" i="5"/>
  <c r="N2703" i="5"/>
  <c r="N2704" i="5"/>
  <c r="N2705" i="5"/>
  <c r="N2706" i="5"/>
  <c r="N2707" i="5"/>
  <c r="N2708" i="5"/>
  <c r="N2709" i="5"/>
  <c r="N2710" i="5"/>
  <c r="N2711" i="5"/>
  <c r="N2712" i="5"/>
  <c r="N2713" i="5"/>
  <c r="N2714" i="5"/>
  <c r="N2715" i="5"/>
  <c r="N2716" i="5"/>
  <c r="N2717" i="5"/>
  <c r="N2718" i="5"/>
  <c r="N2719" i="5"/>
  <c r="N2720" i="5"/>
  <c r="N2721" i="5"/>
  <c r="N2722" i="5"/>
  <c r="N2723" i="5"/>
  <c r="N2724" i="5"/>
  <c r="N2725" i="5"/>
  <c r="N2726" i="5"/>
  <c r="N2727" i="5"/>
  <c r="N2728" i="5"/>
  <c r="N2729" i="5"/>
  <c r="N2730" i="5"/>
  <c r="N2731" i="5"/>
  <c r="N2732" i="5"/>
  <c r="N2733" i="5"/>
  <c r="N2734" i="5"/>
  <c r="N2735" i="5"/>
  <c r="N2736" i="5"/>
  <c r="N2737" i="5"/>
  <c r="N2738" i="5"/>
  <c r="N2739" i="5"/>
  <c r="N2740" i="5"/>
  <c r="N2741" i="5"/>
  <c r="N2742" i="5"/>
  <c r="N2743" i="5"/>
  <c r="N2744" i="5"/>
  <c r="N2745" i="5"/>
  <c r="N2746" i="5"/>
  <c r="N2747" i="5"/>
  <c r="N2748" i="5"/>
  <c r="N2749" i="5"/>
  <c r="N2750" i="5"/>
  <c r="N2751" i="5"/>
  <c r="N2752" i="5"/>
  <c r="N2753" i="5"/>
  <c r="N2754" i="5"/>
  <c r="N2755" i="5"/>
  <c r="N2756" i="5"/>
  <c r="N2757" i="5"/>
  <c r="N2758" i="5"/>
  <c r="N2759" i="5"/>
  <c r="N2760" i="5"/>
  <c r="N2761" i="5"/>
  <c r="N2762" i="5"/>
  <c r="N2763" i="5"/>
  <c r="N2764" i="5"/>
  <c r="N2765" i="5"/>
  <c r="N2766" i="5"/>
  <c r="N2767" i="5"/>
  <c r="N2768" i="5"/>
  <c r="N2769" i="5"/>
  <c r="N2770" i="5"/>
  <c r="N2771" i="5"/>
  <c r="N2772" i="5"/>
  <c r="N2773" i="5"/>
  <c r="N2774" i="5"/>
  <c r="N2775" i="5"/>
  <c r="N2776" i="5"/>
  <c r="N2777" i="5"/>
  <c r="N2778" i="5"/>
  <c r="N2779" i="5"/>
  <c r="N2780" i="5"/>
  <c r="N2781" i="5"/>
  <c r="N2782" i="5"/>
  <c r="N2783" i="5"/>
  <c r="N2784" i="5"/>
  <c r="N2785" i="5"/>
  <c r="N2786" i="5"/>
  <c r="N2787" i="5"/>
  <c r="N2788" i="5"/>
  <c r="N2789" i="5"/>
  <c r="N2790" i="5"/>
  <c r="N2791" i="5"/>
  <c r="N2792" i="5"/>
  <c r="N2793" i="5"/>
  <c r="N2794" i="5"/>
  <c r="N2795" i="5"/>
  <c r="N2796" i="5"/>
  <c r="N2797" i="5"/>
  <c r="N2798" i="5"/>
  <c r="N2799" i="5"/>
  <c r="N2800" i="5"/>
  <c r="N2801" i="5"/>
  <c r="N2802" i="5"/>
  <c r="N2803" i="5"/>
  <c r="N2804" i="5"/>
  <c r="N2805" i="5"/>
  <c r="N2806" i="5"/>
  <c r="N2807" i="5"/>
  <c r="N2808" i="5"/>
  <c r="N2809" i="5"/>
  <c r="N2810" i="5"/>
  <c r="N2811" i="5"/>
  <c r="N2812" i="5"/>
  <c r="N2813" i="5"/>
  <c r="N2814" i="5"/>
  <c r="N2815" i="5"/>
  <c r="N2816" i="5"/>
  <c r="N2817" i="5"/>
  <c r="N2818" i="5"/>
  <c r="N2819" i="5"/>
  <c r="N2820" i="5"/>
  <c r="N2821" i="5"/>
  <c r="N2822" i="5"/>
  <c r="N2823" i="5"/>
  <c r="N2824" i="5"/>
  <c r="N2825" i="5"/>
  <c r="N2826" i="5"/>
  <c r="N2827" i="5"/>
  <c r="N2828" i="5"/>
  <c r="N2829" i="5"/>
  <c r="N2830" i="5"/>
  <c r="N2831" i="5"/>
  <c r="N2832" i="5"/>
  <c r="N2833" i="5"/>
  <c r="N2834" i="5"/>
  <c r="N2835" i="5"/>
  <c r="N2836" i="5"/>
  <c r="N2837" i="5"/>
  <c r="N2838" i="5"/>
  <c r="N2839" i="5"/>
  <c r="N2840" i="5"/>
  <c r="N2841" i="5"/>
  <c r="N2842" i="5"/>
  <c r="N2843" i="5"/>
  <c r="N2844" i="5"/>
  <c r="N2845" i="5"/>
  <c r="N2846" i="5"/>
  <c r="N2847" i="5"/>
  <c r="N2848" i="5"/>
  <c r="N2849" i="5"/>
  <c r="N2850" i="5"/>
  <c r="N2851" i="5"/>
  <c r="N2852" i="5"/>
  <c r="N2853" i="5"/>
  <c r="N2854" i="5"/>
  <c r="N2855" i="5"/>
  <c r="N2856" i="5"/>
  <c r="N2857" i="5"/>
  <c r="N2858" i="5"/>
  <c r="N2859" i="5"/>
  <c r="N2860" i="5"/>
  <c r="N2861" i="5"/>
  <c r="N2862" i="5"/>
  <c r="N2863" i="5"/>
  <c r="N2864" i="5"/>
  <c r="N2865" i="5"/>
  <c r="N2866" i="5"/>
  <c r="N2867" i="5"/>
  <c r="N2868" i="5"/>
  <c r="N2869" i="5"/>
  <c r="N2870" i="5"/>
  <c r="N2871" i="5"/>
  <c r="N2872" i="5"/>
  <c r="N2873" i="5"/>
  <c r="N2874" i="5"/>
  <c r="N2875" i="5"/>
  <c r="N2876" i="5"/>
  <c r="N2877" i="5"/>
  <c r="N2878" i="5"/>
  <c r="N2879" i="5"/>
  <c r="N2880" i="5"/>
  <c r="N2881" i="5"/>
  <c r="N2882" i="5"/>
  <c r="N2883" i="5"/>
  <c r="N2884" i="5"/>
  <c r="N2885" i="5"/>
  <c r="N2886" i="5"/>
  <c r="N2887" i="5"/>
  <c r="N2888" i="5"/>
  <c r="N2889" i="5"/>
  <c r="N2890" i="5"/>
  <c r="N2891" i="5"/>
  <c r="N2892" i="5"/>
  <c r="N2893" i="5"/>
  <c r="N2894" i="5"/>
  <c r="N2895" i="5"/>
  <c r="N2896" i="5"/>
  <c r="N2897" i="5"/>
  <c r="N2898" i="5"/>
  <c r="N2899" i="5"/>
  <c r="N2900" i="5"/>
  <c r="N2901" i="5"/>
  <c r="N2902" i="5"/>
  <c r="N2903" i="5"/>
  <c r="N2904" i="5"/>
  <c r="N2905" i="5"/>
  <c r="N2906" i="5"/>
  <c r="N2907" i="5"/>
  <c r="N2908" i="5"/>
  <c r="N2909" i="5"/>
  <c r="N2910" i="5"/>
  <c r="N2911" i="5"/>
  <c r="N2912" i="5"/>
  <c r="N2913" i="5"/>
  <c r="N2914" i="5"/>
  <c r="N2915" i="5"/>
  <c r="N2916" i="5"/>
  <c r="N2917" i="5"/>
  <c r="N2918" i="5"/>
  <c r="N2919" i="5"/>
  <c r="N2920" i="5"/>
  <c r="N2921" i="5"/>
  <c r="N2922" i="5"/>
  <c r="N2923" i="5"/>
  <c r="N2924" i="5"/>
  <c r="N2925" i="5"/>
  <c r="N2926" i="5"/>
  <c r="N2927" i="5"/>
  <c r="N2928" i="5"/>
  <c r="N2929" i="5"/>
  <c r="N2930" i="5"/>
  <c r="N2931" i="5"/>
  <c r="N2932" i="5"/>
  <c r="N2933" i="5"/>
  <c r="N2934" i="5"/>
  <c r="N2935" i="5"/>
  <c r="N2936" i="5"/>
  <c r="N2937" i="5"/>
  <c r="N2938" i="5"/>
  <c r="N2939" i="5"/>
  <c r="N2940" i="5"/>
  <c r="N2941" i="5"/>
  <c r="N2942" i="5"/>
  <c r="N2943" i="5"/>
  <c r="N2944" i="5"/>
  <c r="N2945" i="5"/>
  <c r="N2946" i="5"/>
  <c r="N2947" i="5"/>
  <c r="N2948" i="5"/>
  <c r="N2949" i="5"/>
  <c r="N2950" i="5"/>
  <c r="N2951" i="5"/>
  <c r="N2952" i="5"/>
  <c r="N2953" i="5"/>
  <c r="N2954" i="5"/>
  <c r="N2955" i="5"/>
  <c r="N2956" i="5"/>
  <c r="N2957" i="5"/>
  <c r="N2958" i="5"/>
  <c r="N2959" i="5"/>
  <c r="N2960" i="5"/>
  <c r="N2961" i="5"/>
  <c r="N2962" i="5"/>
  <c r="N2963" i="5"/>
  <c r="N2964" i="5"/>
  <c r="N2965" i="5"/>
  <c r="N2966" i="5"/>
  <c r="N2967" i="5"/>
  <c r="N2968" i="5"/>
  <c r="N2969" i="5"/>
  <c r="N2970" i="5"/>
  <c r="N2971" i="5"/>
  <c r="N2972" i="5"/>
  <c r="N2973" i="5"/>
  <c r="N2974" i="5"/>
  <c r="N2975" i="5"/>
  <c r="N2976" i="5"/>
  <c r="N2977" i="5"/>
  <c r="N2978" i="5"/>
  <c r="N2979" i="5"/>
  <c r="N2980" i="5"/>
  <c r="N2981" i="5"/>
  <c r="N2982" i="5"/>
  <c r="N2983" i="5"/>
  <c r="N2984" i="5"/>
  <c r="N2985" i="5"/>
  <c r="N2986" i="5"/>
  <c r="N2987" i="5"/>
  <c r="N2988" i="5"/>
  <c r="N2989" i="5"/>
  <c r="N2990" i="5"/>
  <c r="N2991" i="5"/>
  <c r="N2992" i="5"/>
  <c r="N2993" i="5"/>
  <c r="N2994" i="5"/>
  <c r="N2995" i="5"/>
  <c r="N2996" i="5"/>
  <c r="N2997" i="5"/>
  <c r="N2998" i="5"/>
  <c r="N2999" i="5"/>
  <c r="N3000" i="5"/>
  <c r="N3001" i="5"/>
  <c r="N3002" i="5"/>
  <c r="N3003" i="5"/>
  <c r="N3004" i="5"/>
  <c r="N3005" i="5"/>
  <c r="N3006" i="5"/>
  <c r="N3007" i="5"/>
  <c r="N3008" i="5"/>
  <c r="N3009" i="5"/>
  <c r="N3010" i="5"/>
  <c r="N3011" i="5"/>
  <c r="N3012" i="5"/>
  <c r="N3013" i="5"/>
  <c r="N3014" i="5"/>
  <c r="N3015" i="5"/>
  <c r="N3016" i="5"/>
  <c r="N3017" i="5"/>
  <c r="N3018" i="5"/>
  <c r="N3019" i="5"/>
  <c r="N3020" i="5"/>
  <c r="N3021" i="5"/>
  <c r="N3022" i="5"/>
  <c r="N3023" i="5"/>
  <c r="N3024" i="5"/>
  <c r="N3025" i="5"/>
  <c r="N3026" i="5"/>
  <c r="N3027" i="5"/>
  <c r="N3028" i="5"/>
  <c r="N3029" i="5"/>
  <c r="N3030" i="5"/>
  <c r="N3031" i="5"/>
  <c r="N3032" i="5"/>
  <c r="N3033" i="5"/>
  <c r="N3034" i="5"/>
  <c r="N3035" i="5"/>
  <c r="N3036" i="5"/>
  <c r="N3037" i="5"/>
  <c r="N3038" i="5"/>
  <c r="N3039" i="5"/>
  <c r="N3040" i="5"/>
  <c r="N3041" i="5"/>
  <c r="N3042" i="5"/>
  <c r="N3043" i="5"/>
  <c r="N3044" i="5"/>
  <c r="N3045" i="5"/>
  <c r="N3046" i="5"/>
  <c r="N3047" i="5"/>
  <c r="N3048" i="5"/>
  <c r="N3049" i="5"/>
  <c r="N3050" i="5"/>
  <c r="N3051" i="5"/>
  <c r="N3052" i="5"/>
  <c r="N3053" i="5"/>
  <c r="N3054" i="5"/>
  <c r="N3055" i="5"/>
  <c r="N3056" i="5"/>
  <c r="N3057" i="5"/>
  <c r="N3058" i="5"/>
  <c r="N3059" i="5"/>
  <c r="N3060" i="5"/>
  <c r="N3061" i="5"/>
  <c r="N3062" i="5"/>
  <c r="N3063" i="5"/>
  <c r="N3064" i="5"/>
  <c r="N3065" i="5"/>
  <c r="N3066" i="5"/>
  <c r="N3067" i="5"/>
  <c r="N3068" i="5"/>
  <c r="N3069" i="5"/>
  <c r="N3070" i="5"/>
  <c r="N3071" i="5"/>
  <c r="N3072" i="5"/>
  <c r="N3073" i="5"/>
  <c r="N3074" i="5"/>
  <c r="N3075" i="5"/>
  <c r="N3076" i="5"/>
  <c r="N3077" i="5"/>
  <c r="N3078" i="5"/>
  <c r="N3079" i="5"/>
  <c r="N3080" i="5"/>
  <c r="N3081" i="5"/>
  <c r="N3082" i="5"/>
  <c r="N3083" i="5"/>
  <c r="N3084" i="5"/>
  <c r="N3085" i="5"/>
  <c r="N3086" i="5"/>
  <c r="N3087" i="5"/>
  <c r="N3088" i="5"/>
  <c r="N3089" i="5"/>
  <c r="N3090" i="5"/>
  <c r="N3091" i="5"/>
  <c r="N3092" i="5"/>
  <c r="N3093" i="5"/>
  <c r="N3094" i="5"/>
  <c r="N3095" i="5"/>
  <c r="N3096" i="5"/>
  <c r="N3097" i="5"/>
  <c r="N3098" i="5"/>
  <c r="N3099" i="5"/>
  <c r="N3100" i="5"/>
  <c r="N3101" i="5"/>
  <c r="N3102" i="5"/>
  <c r="N3103" i="5"/>
  <c r="N3104" i="5"/>
  <c r="N3105" i="5"/>
  <c r="N3106" i="5"/>
  <c r="N3107" i="5"/>
  <c r="N3108" i="5"/>
  <c r="N3109" i="5"/>
  <c r="N3110" i="5"/>
  <c r="N3111" i="5"/>
  <c r="N3112" i="5"/>
  <c r="N3113" i="5"/>
  <c r="N3114" i="5"/>
  <c r="N3115" i="5"/>
  <c r="N3116" i="5"/>
  <c r="N3117" i="5"/>
  <c r="N3118" i="5"/>
  <c r="N3119" i="5"/>
  <c r="N3120" i="5"/>
  <c r="N3121" i="5"/>
  <c r="N3122" i="5"/>
  <c r="N3123" i="5"/>
  <c r="N3124" i="5"/>
  <c r="N3125" i="5"/>
  <c r="N3126" i="5"/>
  <c r="N3127" i="5"/>
  <c r="N3128" i="5"/>
  <c r="N3129" i="5"/>
  <c r="N3130" i="5"/>
  <c r="N3131" i="5"/>
  <c r="N3132" i="5"/>
  <c r="N3133" i="5"/>
  <c r="N3134" i="5"/>
  <c r="N3135" i="5"/>
  <c r="N3136" i="5"/>
  <c r="N3137" i="5"/>
  <c r="N3138" i="5"/>
  <c r="N3139" i="5"/>
  <c r="N3140" i="5"/>
  <c r="N3141" i="5"/>
  <c r="N3142" i="5"/>
  <c r="N3143" i="5"/>
  <c r="N3144" i="5"/>
  <c r="N3145" i="5"/>
  <c r="N3146" i="5"/>
  <c r="N3147" i="5"/>
  <c r="N3148" i="5"/>
  <c r="N3149" i="5"/>
  <c r="N3150" i="5"/>
  <c r="N3151" i="5"/>
  <c r="N3152" i="5"/>
  <c r="N3153" i="5"/>
  <c r="N3154" i="5"/>
  <c r="N3155" i="5"/>
  <c r="N3156" i="5"/>
  <c r="N3157" i="5"/>
  <c r="N3158" i="5"/>
  <c r="N3159" i="5"/>
  <c r="N3160" i="5"/>
  <c r="N3161" i="5"/>
  <c r="N3162" i="5"/>
  <c r="N3163" i="5"/>
  <c r="N3164" i="5"/>
  <c r="N3165" i="5"/>
  <c r="N3166" i="5"/>
  <c r="N3167" i="5"/>
  <c r="N3168" i="5"/>
  <c r="N3169" i="5"/>
  <c r="N3170" i="5"/>
  <c r="N3171" i="5"/>
  <c r="N3172" i="5"/>
  <c r="N3173" i="5"/>
  <c r="N3174" i="5"/>
  <c r="N3175" i="5"/>
  <c r="N3176" i="5"/>
  <c r="N3177" i="5"/>
  <c r="N3178" i="5"/>
  <c r="N3179" i="5"/>
  <c r="N3180" i="5"/>
  <c r="N3181" i="5"/>
  <c r="N3182" i="5"/>
  <c r="N3183" i="5"/>
  <c r="N3184" i="5"/>
  <c r="N3185" i="5"/>
  <c r="N3186" i="5"/>
  <c r="N3187" i="5"/>
  <c r="N3188" i="5"/>
  <c r="N3189" i="5"/>
  <c r="N3190" i="5"/>
  <c r="N3191" i="5"/>
  <c r="N3192" i="5"/>
  <c r="N3193" i="5"/>
  <c r="N3194" i="5"/>
  <c r="N3195" i="5"/>
  <c r="N3196" i="5"/>
  <c r="N3197" i="5"/>
  <c r="N3198" i="5"/>
  <c r="N3199" i="5"/>
  <c r="N3200" i="5"/>
  <c r="N3201" i="5"/>
  <c r="N3202" i="5"/>
  <c r="N3203" i="5"/>
  <c r="N3204" i="5"/>
  <c r="N3205" i="5"/>
  <c r="N3206" i="5"/>
  <c r="N3207" i="5"/>
  <c r="N3208" i="5"/>
  <c r="N3209" i="5"/>
  <c r="N3210" i="5"/>
  <c r="N3211" i="5"/>
  <c r="N3212" i="5"/>
  <c r="N3213" i="5"/>
  <c r="N3214" i="5"/>
  <c r="N3215" i="5"/>
  <c r="N3216" i="5"/>
  <c r="N3217" i="5"/>
  <c r="N3218" i="5"/>
  <c r="N3219" i="5"/>
  <c r="N3220" i="5"/>
  <c r="N3221" i="5"/>
  <c r="N3222" i="5"/>
  <c r="N3223" i="5"/>
  <c r="N3224" i="5"/>
  <c r="N3225" i="5"/>
  <c r="N3226" i="5"/>
  <c r="N3227" i="5"/>
  <c r="N3228" i="5"/>
  <c r="N3229" i="5"/>
  <c r="N3230" i="5"/>
  <c r="N3231" i="5"/>
  <c r="N3232" i="5"/>
  <c r="N3233" i="5"/>
  <c r="N3234" i="5"/>
  <c r="N3235" i="5"/>
  <c r="N3236" i="5"/>
  <c r="N3237" i="5"/>
  <c r="N3238" i="5"/>
  <c r="N3239" i="5"/>
  <c r="N3240" i="5"/>
  <c r="N3241" i="5"/>
  <c r="N3242" i="5"/>
  <c r="N3243" i="5"/>
  <c r="N3244" i="5"/>
  <c r="N3245" i="5"/>
  <c r="N3246" i="5"/>
  <c r="N3247" i="5"/>
  <c r="N3248" i="5"/>
  <c r="N3249" i="5"/>
  <c r="N3250" i="5"/>
  <c r="N3251" i="5"/>
  <c r="N3252" i="5"/>
  <c r="N3253" i="5"/>
  <c r="N3254" i="5"/>
  <c r="N3255" i="5"/>
  <c r="N3256" i="5"/>
  <c r="N3257" i="5"/>
  <c r="N3258" i="5"/>
  <c r="N3259" i="5"/>
  <c r="N3260" i="5"/>
  <c r="N3261" i="5"/>
  <c r="N3262" i="5"/>
  <c r="N3263" i="5"/>
  <c r="N3264" i="5"/>
  <c r="N3265" i="5"/>
  <c r="N3266" i="5"/>
  <c r="N3267" i="5"/>
  <c r="N3268" i="5"/>
  <c r="N3269" i="5"/>
  <c r="N3270" i="5"/>
  <c r="N3271" i="5"/>
  <c r="N3272" i="5"/>
  <c r="N3273" i="5"/>
  <c r="N3274" i="5"/>
  <c r="N3275" i="5"/>
  <c r="N3276" i="5"/>
  <c r="N3277" i="5"/>
  <c r="N3278" i="5"/>
  <c r="N3279" i="5"/>
  <c r="N3280" i="5"/>
  <c r="N3281" i="5"/>
  <c r="N3282" i="5"/>
  <c r="N3283" i="5"/>
  <c r="N3284" i="5"/>
  <c r="N3285" i="5"/>
  <c r="N3286" i="5"/>
  <c r="N3287" i="5"/>
  <c r="N3288" i="5"/>
  <c r="N3289" i="5"/>
  <c r="N3290" i="5"/>
</calcChain>
</file>

<file path=xl/sharedStrings.xml><?xml version="1.0" encoding="utf-8"?>
<sst xmlns="http://schemas.openxmlformats.org/spreadsheetml/2006/main" count="16532" uniqueCount="64">
  <si>
    <t>SaleDate</t>
  </si>
  <si>
    <t>Qty</t>
  </si>
  <si>
    <t>PropertyType</t>
  </si>
  <si>
    <t>SellingPrice</t>
  </si>
  <si>
    <t>CostPrice</t>
  </si>
  <si>
    <t>Distance</t>
  </si>
  <si>
    <t>SalesPerson</t>
  </si>
  <si>
    <t>1 Bedroom</t>
  </si>
  <si>
    <t>11 mns</t>
  </si>
  <si>
    <t>2 Bedrooms</t>
  </si>
  <si>
    <t>3 Bedrooms</t>
  </si>
  <si>
    <t>58 mns</t>
  </si>
  <si>
    <t>30 mns</t>
  </si>
  <si>
    <t>35 mns</t>
  </si>
  <si>
    <t>States</t>
  </si>
  <si>
    <t>MonthNo.</t>
  </si>
  <si>
    <t>MonthName</t>
  </si>
  <si>
    <t>TotalSales</t>
  </si>
  <si>
    <t>TotaCost</t>
  </si>
  <si>
    <t>Adelaide</t>
  </si>
  <si>
    <t>Canberra</t>
  </si>
  <si>
    <t>Sydney</t>
  </si>
  <si>
    <t>Melbourne</t>
  </si>
  <si>
    <t>South Australia</t>
  </si>
  <si>
    <t>Victoria</t>
  </si>
  <si>
    <t>New South Wales</t>
  </si>
  <si>
    <t>Australian Capital Territory</t>
  </si>
  <si>
    <t>Enid Maddox</t>
  </si>
  <si>
    <t>Nia Gallegos</t>
  </si>
  <si>
    <t>Virginia Senior</t>
  </si>
  <si>
    <t>Jayson Chandler</t>
  </si>
  <si>
    <t>TotalLoss</t>
  </si>
  <si>
    <t>OtherExp.</t>
  </si>
  <si>
    <t>Sum of TotalSales</t>
  </si>
  <si>
    <t>Location</t>
  </si>
  <si>
    <t>Grand Total</t>
  </si>
  <si>
    <t>Property Type</t>
  </si>
  <si>
    <t>Apr</t>
  </si>
  <si>
    <t>May</t>
  </si>
  <si>
    <t>Jun</t>
  </si>
  <si>
    <t>Jul</t>
  </si>
  <si>
    <t>Aug</t>
  </si>
  <si>
    <t>Sep</t>
  </si>
  <si>
    <t>Oct</t>
  </si>
  <si>
    <t>Nov</t>
  </si>
  <si>
    <t>Dec</t>
  </si>
  <si>
    <t>Jan</t>
  </si>
  <si>
    <t>Feb</t>
  </si>
  <si>
    <t>Mar</t>
  </si>
  <si>
    <t>Sum of TotalLoss</t>
  </si>
  <si>
    <t>Months</t>
  </si>
  <si>
    <t xml:space="preserve"> TotalSales</t>
  </si>
  <si>
    <t xml:space="preserve"> TotalLoss</t>
  </si>
  <si>
    <t>Sales Person</t>
  </si>
  <si>
    <t>Sum of Qty</t>
  </si>
  <si>
    <t>Sales Total</t>
  </si>
  <si>
    <t>Sum of Property</t>
  </si>
  <si>
    <t>Qty Sold</t>
  </si>
  <si>
    <t>Sum of TotaCost</t>
  </si>
  <si>
    <t>Cost Total</t>
  </si>
  <si>
    <t>No of Houses</t>
  </si>
  <si>
    <t>Net Loss</t>
  </si>
  <si>
    <t>Total</t>
  </si>
  <si>
    <t>Summary</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</si>
</sst>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quot;$&quot;\ #,##0,,\ &quot;M&quot;"/>
    <numFmt numFmtId="165" formatCode="&quot;$&quot;\ #,##0,\ &quot;K&quot;"/>
  </numFmts>
  <fonts count="4">
    <font>
      <sz val="11"/>
      <color theme="1"/>
      <name val="Calibri"/>
      <family val="2"/>
      <scheme val="minor"/>
    </font>
    <font>
      <b/>
      <sz val="12"/>
      <color theme="1"/>
      <name val="Gotham"/>
    </font>
    <font>
      <b/>
      <sz val="11"/>
      <color theme="1"/>
      <name val="Gotham"/>
    </font>
    <font>
      <sz val="10"/>
      <color theme="1"/>
      <name val="Gotham"/>
    </font>
  </fonts>
  <fills count="12">
    <fill>
      <patternFill patternType="none"/>
    </fill>
    <fill>
      <patternFill patternType="gray125"/>
    </fill>
    <fill>
      <patternFill patternType="solid">
        <fgColor rgb="FFEB012A"/>
        <bgColor indexed="64"/>
      </patternFill>
    </fill>
    <fill>
      <patternFill patternType="solid">
        <fgColor rgb="FFE43152"/>
        <bgColor indexed="64"/>
      </patternFill>
    </fill>
    <fill>
      <patternFill patternType="solid">
        <fgColor rgb="FF828282"/>
        <bgColor indexed="64"/>
      </patternFill>
    </fill>
    <fill>
      <patternFill patternType="solid">
        <fgColor rgb="FF717171"/>
        <bgColor indexed="64"/>
      </patternFill>
    </fill>
    <fill>
      <patternFill patternType="solid">
        <fgColor rgb="FFE5AAB5"/>
        <bgColor indexed="64"/>
      </patternFill>
    </fill>
    <fill>
      <patternFill patternType="solid">
        <fgColor rgb="FFFAA9BE"/>
        <bgColor indexed="64"/>
      </patternFill>
    </fill>
    <fill>
      <patternFill patternType="solid">
        <fgColor rgb="FFF3EEF0"/>
        <bgColor indexed="64"/>
      </patternFill>
    </fill>
    <fill>
      <patternFill patternType="solid">
        <fgColor rgb="FFBCBCBC"/>
        <bgColor indexed="64"/>
      </patternFill>
    </fill>
    <fill>
      <patternFill patternType="solid">
        <fgColor rgb="FFA9A9A9"/>
        <bgColor indexed="64"/>
      </patternFill>
    </fill>
    <fill>
      <patternFill patternType="solid">
        <fgColor theme="0" tint="-4.9989318521683403E-2"/>
        <bgColor indexed="64"/>
      </patternFill>
    </fill>
  </fills>
  <borders count="4">
    <border>
      <left/>
      <right/>
      <top/>
      <bottom/>
      <diagonal/>
    </border>
    <border>
      <left/>
      <right/>
      <top style="medium">
        <color rgb="FF717171"/>
      </top>
      <bottom style="thin">
        <color rgb="FF717171"/>
      </bottom>
      <diagonal/>
    </border>
    <border>
      <left/>
      <right/>
      <top/>
      <bottom style="thin">
        <color rgb="FFA9A9A9"/>
      </bottom>
      <diagonal/>
    </border>
    <border>
      <left/>
      <right style="thin">
        <color rgb="FFA9A9A9"/>
      </right>
      <top/>
      <bottom/>
      <diagonal/>
    </border>
  </borders>
  <cellStyleXfs count="1">
    <xf numFmtId="0" fontId="0" fillId="0" borderId="0"/>
  </cellStyleXfs>
  <cellXfs count="32">
    <xf numFmtId="0" fontId="0" fillId="0" borderId="0" xfId="0"/>
    <xf numFmtId="14" fontId="0" fillId="0" borderId="0" xfId="0" applyNumberFormat="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0" borderId="0" xfId="0" applyNumberFormat="1"/>
    <xf numFmtId="0" fontId="0" fillId="0" borderId="0" xfId="0" pivotButton="1"/>
    <xf numFmtId="0" fontId="0" fillId="0" borderId="0" xfId="0" applyAlignment="1">
      <alignment horizontal="left"/>
    </xf>
    <xf numFmtId="0" fontId="0" fillId="0" borderId="1" xfId="0" applyBorder="1"/>
    <xf numFmtId="0" fontId="0" fillId="11" borderId="0" xfId="0" applyFill="1"/>
    <xf numFmtId="164" fontId="0" fillId="0" borderId="0" xfId="0" applyNumberFormat="1"/>
    <xf numFmtId="164" fontId="0" fillId="0" borderId="1" xfId="0" applyNumberFormat="1" applyBorder="1"/>
    <xf numFmtId="165" fontId="0" fillId="0" borderId="1" xfId="0" applyNumberFormat="1" applyBorder="1"/>
    <xf numFmtId="0" fontId="3" fillId="8" borderId="0" xfId="0" applyFont="1" applyFill="1" applyBorder="1" applyAlignment="1">
      <alignment horizontal="left"/>
    </xf>
    <xf numFmtId="0" fontId="3" fillId="8" borderId="3" xfId="0" applyFont="1" applyFill="1" applyBorder="1" applyAlignment="1">
      <alignment horizontal="left"/>
    </xf>
    <xf numFmtId="0" fontId="3" fillId="8" borderId="0" xfId="0" applyFont="1" applyFill="1" applyAlignment="1">
      <alignment horizontal="right"/>
    </xf>
    <xf numFmtId="0" fontId="2" fillId="9" borderId="0" xfId="0" applyFont="1" applyFill="1" applyBorder="1" applyAlignment="1">
      <alignment horizontal="right"/>
    </xf>
    <xf numFmtId="0" fontId="2" fillId="9" borderId="0" xfId="0" applyFont="1" applyFill="1" applyBorder="1" applyAlignment="1">
      <alignment horizontal="left"/>
    </xf>
    <xf numFmtId="0" fontId="0" fillId="11" borderId="0" xfId="0" applyFill="1" applyAlignment="1">
      <alignment horizontal="center"/>
    </xf>
    <xf numFmtId="0" fontId="1" fillId="8" borderId="0" xfId="0" applyFont="1" applyFill="1" applyAlignment="1">
      <alignment horizontal="center"/>
    </xf>
    <xf numFmtId="0" fontId="2" fillId="9" borderId="0" xfId="0" applyFont="1" applyFill="1" applyBorder="1" applyAlignment="1">
      <alignment horizontal="left" vertical="center"/>
    </xf>
    <xf numFmtId="0" fontId="2" fillId="9" borderId="2" xfId="0" applyFont="1" applyFill="1" applyBorder="1" applyAlignment="1">
      <alignment horizontal="left" vertical="center"/>
    </xf>
    <xf numFmtId="0" fontId="2" fillId="9" borderId="0" xfId="0" applyFont="1" applyFill="1" applyBorder="1" applyAlignment="1">
      <alignment horizontal="right" vertical="center"/>
    </xf>
    <xf numFmtId="0" fontId="2" fillId="9" borderId="2" xfId="0" applyFont="1" applyFill="1" applyBorder="1" applyAlignment="1">
      <alignment horizontal="right" vertical="center"/>
    </xf>
    <xf numFmtId="0" fontId="2" fillId="9" borderId="0" xfId="0" applyFont="1" applyFill="1" applyBorder="1" applyAlignment="1">
      <alignment horizontal="center" vertical="center"/>
    </xf>
    <xf numFmtId="0" fontId="2" fillId="9" borderId="2" xfId="0" applyFont="1" applyFill="1" applyBorder="1" applyAlignment="1">
      <alignment horizontal="center" vertical="center"/>
    </xf>
  </cellXfs>
  <cellStyles count="1">
    <cellStyle name="Normal" xfId="0" builtinId="0"/>
  </cellStyles>
  <dxfs count="18">
    <dxf>
      <numFmt numFmtId="164" formatCode="&quot;$&quot;\ #,##0,,\ &quot;M&quot;"/>
    </dxf>
    <dxf>
      <numFmt numFmtId="164" formatCode="&quot;$&quot;\ #,##0,,\ &quot;M&quot;"/>
    </dxf>
    <dxf>
      <numFmt numFmtId="164" formatCode="&quot;$&quot;\ #,##0,,\ &quot;M&quot;"/>
    </dxf>
    <dxf>
      <numFmt numFmtId="164" formatCode="&quot;$&quot;\ #,##0,,\ &quot;M&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
    </dxf>
    <dxf>
      <numFmt numFmtId="19" formatCode="dd/mm/yy"/>
    </dxf>
    <dxf>
      <numFmt numFmtId="164" formatCode="&quot;$&quot;\ #,##0,,\ &quot;M&quot;"/>
    </dxf>
    <dxf>
      <numFmt numFmtId="164" formatCode="&quot;$&quot;\ #,##0,,\ &quot;M&quot;"/>
    </dxf>
    <dxf>
      <font>
        <b/>
        <i val="0"/>
        <sz val="11"/>
        <color theme="0"/>
        <name val="Arial"/>
        <scheme val="none"/>
      </font>
      <fill>
        <patternFill>
          <bgColor rgb="FFEB012A"/>
        </patternFill>
      </fill>
      <border>
        <bottom style="thin">
          <color theme="0"/>
        </bottom>
        <vertical/>
        <horizontal/>
      </border>
    </dxf>
    <dxf>
      <font>
        <color theme="0"/>
      </font>
      <fill>
        <patternFill>
          <fgColor rgb="FFEB012A"/>
          <bgColor rgb="FFEB012A"/>
        </patternFill>
      </fill>
      <border diagonalUp="0" diagonalDown="0">
        <left/>
        <right/>
        <top/>
        <bottom/>
        <vertical/>
        <horizontal/>
      </border>
    </dxf>
    <dxf>
      <font>
        <b/>
        <i val="0"/>
        <sz val="12"/>
        <color theme="1"/>
        <name val="Arial"/>
        <scheme val="none"/>
      </font>
      <fill>
        <patternFill>
          <bgColor rgb="FFF3EEF0"/>
        </patternFill>
      </fill>
      <border>
        <bottom style="thin">
          <color rgb="FFEB012A"/>
        </bottom>
        <vertical/>
        <horizontal/>
      </border>
    </dxf>
    <dxf>
      <font>
        <color theme="1"/>
      </font>
      <fill>
        <patternFill>
          <fgColor rgb="FFF3EEF0"/>
          <bgColor rgb="FFF3EEF0"/>
        </patternFill>
      </fill>
      <border>
        <left style="thin">
          <color rgb="FFA9A9A9"/>
        </left>
        <right style="thin">
          <color rgb="FFA9A9A9"/>
        </right>
        <top style="thin">
          <color rgb="FFA9A9A9"/>
        </top>
        <bottom style="thin">
          <color rgb="FFA9A9A9"/>
        </bottom>
        <vertical/>
        <horizontal/>
      </border>
    </dxf>
  </dxfs>
  <tableStyles count="2" defaultTableStyle="TableStyleMedium2" defaultPivotStyle="PivotStyleLight16">
    <tableStyle name="Cushman &amp; Wakefield" pivot="0" table="0" count="10">
      <tableStyleElement type="wholeTable" dxfId="17"/>
      <tableStyleElement type="headerRow" dxfId="16"/>
    </tableStyle>
    <tableStyle name="Cushman and Wakefield" pivot="0" table="0" count="10">
      <tableStyleElement type="wholeTable" dxfId="15"/>
      <tableStyleElement type="headerRow" dxfId="14"/>
    </tableStyle>
  </tableStyles>
  <colors>
    <mruColors>
      <color rgb="FFF3EEF0"/>
      <color rgb="FFEB012A"/>
      <color rgb="FF717171"/>
      <color rgb="FFBCBCBC"/>
      <color rgb="FFFAA9BE"/>
      <color rgb="FFFCD8E1"/>
      <color rgb="FFFDE3EA"/>
      <color rgb="FFA9A9A9"/>
      <color rgb="FFE5AAB5"/>
      <color rgb="FF828282"/>
    </mruColors>
  </colors>
  <extLst>
    <ext xmlns:x14="http://schemas.microsoft.com/office/spreadsheetml/2009/9/main" uri="{46F421CA-312F-682f-3DD2-61675219B42D}">
      <x14:dxfs count="16">
        <dxf>
          <font>
            <color rgb="FF000000"/>
          </font>
          <fill>
            <patternFill patternType="solid">
              <fgColor auto="1"/>
              <bgColor theme="4" tint="0.59996337778862885"/>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rgb="FFFAA9BE"/>
              <bgColor theme="4" tint="0.59996337778862885"/>
            </patternFill>
          </fill>
          <border diagonalUp="0" diagonalDown="0">
            <left/>
            <right/>
            <top/>
            <bottom/>
            <vertical/>
            <horizontal/>
          </border>
        </dxf>
        <dxf>
          <font>
            <color rgb="FF000000"/>
          </font>
          <fill>
            <patternFill patternType="solid">
              <fgColor auto="1"/>
              <bgColor theme="4" tint="0.59996337778862885"/>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sz val="11"/>
            <color rgb="FF000000"/>
            <name val="CHRONICLE TEXT ROMAN"/>
            <scheme val="none"/>
          </font>
          <fill>
            <patternFill patternType="solid">
              <fgColor rgb="FFF3EEF0"/>
              <bgColor rgb="FFF3EEF0"/>
            </patternFill>
          </fill>
          <border diagonalUp="0" diagonalDown="0">
            <left/>
            <right/>
            <top/>
            <bottom/>
            <vertical/>
            <horizontal/>
          </border>
        </dxf>
        <dxf>
          <font>
            <color rgb="FF828282"/>
          </font>
          <fill>
            <patternFill patternType="none">
              <fgColor indexed="64"/>
              <bgColor auto="1"/>
            </patternFill>
          </fill>
          <border diagonalUp="0" diagonalDown="0">
            <left/>
            <right/>
            <top/>
            <bottom/>
            <vertical/>
            <horizontal/>
          </border>
        </dxf>
        <dxf>
          <font>
            <color rgb="FF000000"/>
          </font>
          <fill>
            <patternFill patternType="none">
              <fgColor indexed="64"/>
              <bgColor auto="1"/>
            </patternFill>
          </fill>
          <border diagonalUp="0" diagonalDown="0">
            <left/>
            <right/>
            <top/>
            <bottom/>
            <vertical/>
            <horizontal/>
          </border>
        </dxf>
        <dxf>
          <font>
            <color rgb="FF000000"/>
          </font>
          <fill>
            <patternFill patternType="solid">
              <fgColor auto="1"/>
              <bgColor theme="6" tint="0.3999450666829432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diagonalUp="0" diagonalDown="0">
            <left/>
            <right/>
            <top/>
            <bottom/>
            <vertical/>
            <horizontal/>
          </border>
        </dxf>
        <dxf>
          <font>
            <color rgb="FF000000"/>
          </font>
          <fill>
            <patternFill patternType="solid">
              <fgColor auto="1"/>
              <bgColor theme="6" tint="0.39994506668294322"/>
            </pattern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sz val="11"/>
            <color rgb="FF000000"/>
            <name val="CHRONICLE TEXT ROMAN"/>
            <scheme val="none"/>
          </font>
          <fill>
            <patternFill patternType="solid">
              <fgColor theme="4" tint="0.59999389629810485"/>
              <bgColor theme="4" tint="0.59999389629810485"/>
            </pattern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Cushman &amp; Wakefield">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Cushman and Wakefield">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Analysis Report.xlsx]Real Estate Report!Sales by Loaction and Property Type</c:name>
    <c:fmtId val="2"/>
  </c:pivotSource>
  <c:chart>
    <c:title>
      <c:tx>
        <c:rich>
          <a:bodyPr/>
          <a:lstStyle/>
          <a:p>
            <a:pPr>
              <a:defRPr sz="1100"/>
            </a:pPr>
            <a:r>
              <a:rPr lang="en-US" sz="1100">
                <a:latin typeface="Gotham"/>
              </a:rPr>
              <a:t>Sales by Location &amp; Property Type</a:t>
            </a:r>
          </a:p>
        </c:rich>
      </c:tx>
      <c:layout>
        <c:manualLayout>
          <c:xMode val="edge"/>
          <c:yMode val="edge"/>
          <c:x val="0.15795372074634068"/>
          <c:y val="0"/>
        </c:manualLayout>
      </c:layout>
      <c:overlay val="0"/>
    </c:title>
    <c:autoTitleDeleted val="0"/>
    <c:pivotFmts>
      <c:pivotFmt>
        <c:idx val="0"/>
      </c:pivotFmt>
      <c:pivotFmt>
        <c:idx val="1"/>
      </c:pivotFmt>
      <c:pivotFmt>
        <c:idx val="2"/>
      </c:pivotFmt>
      <c:pivotFmt>
        <c:idx val="3"/>
      </c:pivotFmt>
      <c:pivotFmt>
        <c:idx val="4"/>
        <c:marker>
          <c:symbol val="none"/>
        </c:marker>
      </c:pivotFmt>
      <c:pivotFmt>
        <c:idx val="5"/>
        <c:marker>
          <c:symbol val="none"/>
        </c:marker>
      </c:pivotFmt>
      <c:pivotFmt>
        <c:idx val="6"/>
        <c:marker>
          <c:symbol val="none"/>
        </c:marker>
      </c:pivotFmt>
      <c:pivotFmt>
        <c:idx val="7"/>
        <c:marker>
          <c:symbol val="none"/>
        </c:marker>
      </c:pivotFmt>
      <c:pivotFmt>
        <c:idx val="8"/>
        <c:spPr>
          <a:solidFill>
            <a:schemeClr val="accent1"/>
          </a:solidFill>
        </c:spPr>
        <c:marker>
          <c:symbol val="none"/>
        </c:marker>
      </c:pivotFmt>
      <c:pivotFmt>
        <c:idx val="9"/>
        <c:marker>
          <c:symbol val="none"/>
        </c:marker>
      </c:pivotFmt>
      <c:pivotFmt>
        <c:idx val="10"/>
        <c:marker>
          <c:symbol val="none"/>
        </c:marker>
      </c:pivotFmt>
      <c:pivotFmt>
        <c:idx val="11"/>
        <c:marker>
          <c:symbol val="none"/>
        </c:marker>
      </c:pivotFmt>
    </c:pivotFmts>
    <c:plotArea>
      <c:layout>
        <c:manualLayout>
          <c:layoutTarget val="inner"/>
          <c:xMode val="edge"/>
          <c:yMode val="edge"/>
          <c:x val="0.21251573187379125"/>
          <c:y val="0.23178784525217175"/>
          <c:w val="0.70492267042206025"/>
          <c:h val="0.66880102792427354"/>
        </c:manualLayout>
      </c:layout>
      <c:barChart>
        <c:barDir val="bar"/>
        <c:grouping val="clustered"/>
        <c:varyColors val="0"/>
        <c:ser>
          <c:idx val="0"/>
          <c:order val="0"/>
          <c:tx>
            <c:strRef>
              <c:f>'Real Estate Report'!$E$3:$E$4</c:f>
              <c:strCache>
                <c:ptCount val="1"/>
                <c:pt idx="0">
                  <c:v>Adelaide</c:v>
                </c:pt>
              </c:strCache>
            </c:strRef>
          </c:tx>
          <c:spPr>
            <a:solidFill>
              <a:schemeClr val="accent1"/>
            </a:solidFill>
          </c:spPr>
          <c:invertIfNegative val="0"/>
          <c:cat>
            <c:strRef>
              <c:f>'Real Estate Report'!$D$5:$D$8</c:f>
              <c:strCache>
                <c:ptCount val="3"/>
                <c:pt idx="0">
                  <c:v>1 Bedroom</c:v>
                </c:pt>
                <c:pt idx="1">
                  <c:v>2 Bedrooms</c:v>
                </c:pt>
                <c:pt idx="2">
                  <c:v>3 Bedrooms</c:v>
                </c:pt>
              </c:strCache>
            </c:strRef>
          </c:cat>
          <c:val>
            <c:numRef>
              <c:f>'Real Estate Report'!$E$5:$E$8</c:f>
              <c:numCache>
                <c:formatCode>General</c:formatCode>
                <c:ptCount val="3"/>
                <c:pt idx="0">
                  <c:v>15609000</c:v>
                </c:pt>
                <c:pt idx="1">
                  <c:v>27540000</c:v>
                </c:pt>
                <c:pt idx="2">
                  <c:v>39694000</c:v>
                </c:pt>
              </c:numCache>
            </c:numRef>
          </c:val>
        </c:ser>
        <c:ser>
          <c:idx val="1"/>
          <c:order val="1"/>
          <c:tx>
            <c:strRef>
              <c:f>'Real Estate Report'!$F$3:$F$4</c:f>
              <c:strCache>
                <c:ptCount val="1"/>
                <c:pt idx="0">
                  <c:v>Canberra</c:v>
                </c:pt>
              </c:strCache>
            </c:strRef>
          </c:tx>
          <c:invertIfNegative val="0"/>
          <c:cat>
            <c:strRef>
              <c:f>'Real Estate Report'!$D$5:$D$8</c:f>
              <c:strCache>
                <c:ptCount val="3"/>
                <c:pt idx="0">
                  <c:v>1 Bedroom</c:v>
                </c:pt>
                <c:pt idx="1">
                  <c:v>2 Bedrooms</c:v>
                </c:pt>
                <c:pt idx="2">
                  <c:v>3 Bedrooms</c:v>
                </c:pt>
              </c:strCache>
            </c:strRef>
          </c:cat>
          <c:val>
            <c:numRef>
              <c:f>'Real Estate Report'!$F$5:$F$8</c:f>
              <c:numCache>
                <c:formatCode>General</c:formatCode>
                <c:ptCount val="3"/>
                <c:pt idx="0">
                  <c:v>6468000</c:v>
                </c:pt>
                <c:pt idx="1">
                  <c:v>3360000</c:v>
                </c:pt>
                <c:pt idx="2">
                  <c:v>2937000</c:v>
                </c:pt>
              </c:numCache>
            </c:numRef>
          </c:val>
        </c:ser>
        <c:ser>
          <c:idx val="2"/>
          <c:order val="2"/>
          <c:tx>
            <c:strRef>
              <c:f>'Real Estate Report'!$G$3:$G$4</c:f>
              <c:strCache>
                <c:ptCount val="1"/>
                <c:pt idx="0">
                  <c:v>Melbourne</c:v>
                </c:pt>
              </c:strCache>
            </c:strRef>
          </c:tx>
          <c:invertIfNegative val="0"/>
          <c:cat>
            <c:strRef>
              <c:f>'Real Estate Report'!$D$5:$D$8</c:f>
              <c:strCache>
                <c:ptCount val="3"/>
                <c:pt idx="0">
                  <c:v>1 Bedroom</c:v>
                </c:pt>
                <c:pt idx="1">
                  <c:v>2 Bedrooms</c:v>
                </c:pt>
                <c:pt idx="2">
                  <c:v>3 Bedrooms</c:v>
                </c:pt>
              </c:strCache>
            </c:strRef>
          </c:cat>
          <c:val>
            <c:numRef>
              <c:f>'Real Estate Report'!$G$5:$G$8</c:f>
              <c:numCache>
                <c:formatCode>General</c:formatCode>
                <c:ptCount val="3"/>
                <c:pt idx="0">
                  <c:v>14619000</c:v>
                </c:pt>
                <c:pt idx="1">
                  <c:v>26220000</c:v>
                </c:pt>
                <c:pt idx="2">
                  <c:v>37024000</c:v>
                </c:pt>
              </c:numCache>
            </c:numRef>
          </c:val>
        </c:ser>
        <c:ser>
          <c:idx val="3"/>
          <c:order val="3"/>
          <c:tx>
            <c:strRef>
              <c:f>'Real Estate Report'!$H$3:$H$4</c:f>
              <c:strCache>
                <c:ptCount val="1"/>
                <c:pt idx="0">
                  <c:v>Sydney</c:v>
                </c:pt>
              </c:strCache>
            </c:strRef>
          </c:tx>
          <c:invertIfNegative val="0"/>
          <c:cat>
            <c:strRef>
              <c:f>'Real Estate Report'!$D$5:$D$8</c:f>
              <c:strCache>
                <c:ptCount val="3"/>
                <c:pt idx="0">
                  <c:v>1 Bedroom</c:v>
                </c:pt>
                <c:pt idx="1">
                  <c:v>2 Bedrooms</c:v>
                </c:pt>
                <c:pt idx="2">
                  <c:v>3 Bedrooms</c:v>
                </c:pt>
              </c:strCache>
            </c:strRef>
          </c:cat>
          <c:val>
            <c:numRef>
              <c:f>'Real Estate Report'!$H$5:$H$8</c:f>
              <c:numCache>
                <c:formatCode>General</c:formatCode>
                <c:ptCount val="3"/>
                <c:pt idx="0">
                  <c:v>14949000</c:v>
                </c:pt>
                <c:pt idx="1">
                  <c:v>25920000</c:v>
                </c:pt>
                <c:pt idx="2">
                  <c:v>37825000</c:v>
                </c:pt>
              </c:numCache>
            </c:numRef>
          </c:val>
        </c:ser>
        <c:dLbls>
          <c:showLegendKey val="0"/>
          <c:showVal val="0"/>
          <c:showCatName val="0"/>
          <c:showSerName val="0"/>
          <c:showPercent val="0"/>
          <c:showBubbleSize val="0"/>
        </c:dLbls>
        <c:gapWidth val="80"/>
        <c:axId val="236653184"/>
        <c:axId val="236671360"/>
      </c:barChart>
      <c:catAx>
        <c:axId val="236653184"/>
        <c:scaling>
          <c:orientation val="minMax"/>
        </c:scaling>
        <c:delete val="0"/>
        <c:axPos val="l"/>
        <c:majorTickMark val="out"/>
        <c:minorTickMark val="none"/>
        <c:tickLblPos val="nextTo"/>
        <c:crossAx val="236671360"/>
        <c:crosses val="autoZero"/>
        <c:auto val="1"/>
        <c:lblAlgn val="ctr"/>
        <c:lblOffset val="100"/>
        <c:noMultiLvlLbl val="0"/>
      </c:catAx>
      <c:valAx>
        <c:axId val="236671360"/>
        <c:scaling>
          <c:orientation val="minMax"/>
        </c:scaling>
        <c:delete val="0"/>
        <c:axPos val="b"/>
        <c:numFmt formatCode="&quot;$&quot;\ #,##0,,\ &quot;M&quot;" sourceLinked="0"/>
        <c:majorTickMark val="out"/>
        <c:minorTickMark val="none"/>
        <c:tickLblPos val="nextTo"/>
        <c:crossAx val="236653184"/>
        <c:crosses val="autoZero"/>
        <c:crossBetween val="between"/>
      </c:valAx>
      <c:spPr>
        <a:solidFill>
          <a:srgbClr val="F3EEF0"/>
        </a:solidFill>
      </c:spPr>
    </c:plotArea>
    <c:legend>
      <c:legendPos val="t"/>
      <c:layout>
        <c:manualLayout>
          <c:xMode val="edge"/>
          <c:yMode val="edge"/>
          <c:x val="0.1196144756770427"/>
          <c:y val="0.10636920384951881"/>
          <c:w val="0.80793285931303627"/>
          <c:h val="6.4123824237399971E-2"/>
        </c:manualLayout>
      </c:layout>
      <c:overlay val="0"/>
    </c:legend>
    <c:plotVisOnly val="1"/>
    <c:dispBlanksAs val="zero"/>
    <c:showDLblsOverMax val="0"/>
  </c:chart>
  <c:spPr>
    <a:solidFill>
      <a:srgbClr val="F3EEF0"/>
    </a:solidFill>
    <a:ln>
      <a:solidFill>
        <a:srgbClr val="A9A9A9"/>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Analysis Report.xlsx]Real Estate Report!Total Sales and Loss by Months</c:name>
    <c:fmtId val="2"/>
  </c:pivotSource>
  <c:chart>
    <c:title>
      <c:tx>
        <c:rich>
          <a:bodyPr/>
          <a:lstStyle/>
          <a:p>
            <a:pPr>
              <a:defRPr sz="1100"/>
            </a:pPr>
            <a:r>
              <a:rPr lang="en-US" sz="1100">
                <a:latin typeface="Gotham"/>
              </a:rPr>
              <a:t>Sales Total</a:t>
            </a:r>
            <a:r>
              <a:rPr lang="en-US" sz="1100" baseline="0">
                <a:latin typeface="Gotham"/>
              </a:rPr>
              <a:t> and Loss by Months</a:t>
            </a:r>
            <a:endParaRPr lang="en-US" sz="1100">
              <a:latin typeface="Gotham"/>
            </a:endParaRPr>
          </a:p>
        </c:rich>
      </c:tx>
      <c:layout>
        <c:manualLayout>
          <c:xMode val="edge"/>
          <c:yMode val="edge"/>
          <c:x val="0.24699427360787882"/>
          <c:y val="0"/>
        </c:manualLayout>
      </c:layout>
      <c:overlay val="0"/>
    </c:title>
    <c:autoTitleDeleted val="0"/>
    <c:pivotFmts>
      <c:pivotFmt>
        <c:idx val="0"/>
      </c:pivotFmt>
      <c:pivotFmt>
        <c:idx val="1"/>
      </c:pivotFmt>
      <c:pivotFmt>
        <c:idx val="2"/>
        <c:marker>
          <c:symbol val="none"/>
        </c:marker>
      </c:pivotFmt>
      <c:pivotFmt>
        <c:idx val="3"/>
      </c:pivotFmt>
      <c:pivotFmt>
        <c:idx val="4"/>
        <c:marker>
          <c:symbol val="none"/>
        </c:marker>
      </c:pivotFmt>
      <c:pivotFmt>
        <c:idx val="5"/>
        <c:marker>
          <c:symbol val="none"/>
        </c:marker>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s>
    <c:plotArea>
      <c:layout>
        <c:manualLayout>
          <c:layoutTarget val="inner"/>
          <c:xMode val="edge"/>
          <c:yMode val="edge"/>
          <c:x val="0.12578391682343504"/>
          <c:y val="0.31147504963706019"/>
          <c:w val="0.74353555255007897"/>
          <c:h val="0.49204159126227942"/>
        </c:manualLayout>
      </c:layout>
      <c:barChart>
        <c:barDir val="col"/>
        <c:grouping val="clustered"/>
        <c:varyColors val="0"/>
        <c:ser>
          <c:idx val="1"/>
          <c:order val="1"/>
          <c:tx>
            <c:strRef>
              <c:f>'Real Estate Report'!$F$15</c:f>
              <c:strCache>
                <c:ptCount val="1"/>
                <c:pt idx="0">
                  <c:v> TotalSales</c:v>
                </c:pt>
              </c:strCache>
            </c:strRef>
          </c:tx>
          <c:invertIfNegative val="0"/>
          <c:cat>
            <c:strRef>
              <c:f>'Real Estate Report'!$D$16:$D$28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'Real Estate Report'!$F$16:$F$28</c:f>
              <c:numCache>
                <c:formatCode>General</c:formatCode>
                <c:ptCount val="12"/>
                <c:pt idx="0">
                  <c:v>16996000</c:v>
                </c:pt>
                <c:pt idx="1">
                  <c:v>21429000</c:v>
                </c:pt>
                <c:pt idx="2">
                  <c:v>19895000</c:v>
                </c:pt>
                <c:pt idx="3">
                  <c:v>20664000</c:v>
                </c:pt>
                <c:pt idx="4">
                  <c:v>25158000</c:v>
                </c:pt>
                <c:pt idx="5">
                  <c:v>23301000</c:v>
                </c:pt>
                <c:pt idx="6">
                  <c:v>23647000</c:v>
                </c:pt>
                <c:pt idx="7">
                  <c:v>22217000</c:v>
                </c:pt>
                <c:pt idx="8">
                  <c:v>26169000</c:v>
                </c:pt>
                <c:pt idx="9">
                  <c:v>11129000</c:v>
                </c:pt>
                <c:pt idx="10">
                  <c:v>19107000</c:v>
                </c:pt>
                <c:pt idx="11">
                  <c:v>22453000</c:v>
                </c:pt>
              </c:numCache>
            </c:numRef>
          </c:val>
        </c:ser>
        <c:dLbls>
          <c:showLegendKey val="0"/>
          <c:showVal val="0"/>
          <c:showCatName val="0"/>
          <c:showSerName val="0"/>
          <c:showPercent val="0"/>
          <c:showBubbleSize val="0"/>
        </c:dLbls>
        <c:gapWidth val="80"/>
        <c:axId val="236715008"/>
        <c:axId val="236713472"/>
      </c:barChart>
      <c:lineChart>
        <c:grouping val="stacked"/>
        <c:varyColors val="0"/>
        <c:ser>
          <c:idx val="0"/>
          <c:order val="0"/>
          <c:tx>
            <c:strRef>
              <c:f>'Real Estate Report'!$E$15</c:f>
              <c:strCache>
                <c:ptCount val="1"/>
                <c:pt idx="0">
                  <c:v> TotalLoss</c:v>
                </c:pt>
              </c:strCache>
            </c:strRef>
          </c:tx>
          <c:marker>
            <c:symbol val="none"/>
          </c:marker>
          <c:cat>
            <c:strRef>
              <c:f>'Real Estate Report'!$D$16:$D$28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'Real Estate Report'!$E$16:$E$28</c:f>
              <c:numCache>
                <c:formatCode>General</c:formatCode>
                <c:ptCount val="12"/>
                <c:pt idx="0">
                  <c:v>46381.999999999993</c:v>
                </c:pt>
                <c:pt idx="1">
                  <c:v>56048.999999999993</c:v>
                </c:pt>
                <c:pt idx="2">
                  <c:v>52422.999999999993</c:v>
                </c:pt>
                <c:pt idx="3">
                  <c:v>54305.999999999993</c:v>
                </c:pt>
                <c:pt idx="4">
                  <c:v>67087.999999999985</c:v>
                </c:pt>
                <c:pt idx="5">
                  <c:v>61543.999999999993</c:v>
                </c:pt>
                <c:pt idx="6">
                  <c:v>61256.999999999993</c:v>
                </c:pt>
                <c:pt idx="7">
                  <c:v>57476.999999999993</c:v>
                </c:pt>
                <c:pt idx="8">
                  <c:v>68431.999999999985</c:v>
                </c:pt>
                <c:pt idx="9">
                  <c:v>32794.999999999993</c:v>
                </c:pt>
                <c:pt idx="10">
                  <c:v>50588.999999999993</c:v>
                </c:pt>
                <c:pt idx="11">
                  <c:v>58694.999999999993</c:v>
                </c:pt>
              </c:numCache>
            </c:numRef>
          </c:val>
          <c:smooth val="0"/>
        </c:ser>
        <c:dLbls>
          <c:showLegendKey val="0"/>
          <c:showVal val="0"/>
          <c:showCatName val="0"/>
          <c:showSerName val="0"/>
          <c:showPercent val="0"/>
          <c:showBubbleSize val="0"/>
        </c:dLbls>
        <c:marker val="1"/>
        <c:smooth val="0"/>
        <c:axId val="236706048"/>
        <c:axId val="236711936"/>
      </c:lineChart>
      <c:catAx>
        <c:axId val="236706048"/>
        <c:scaling>
          <c:orientation val="minMax"/>
        </c:scaling>
        <c:delete val="0"/>
        <c:axPos val="b"/>
        <c:majorTickMark val="out"/>
        <c:minorTickMark val="none"/>
        <c:tickLblPos val="nextTo"/>
        <c:crossAx val="236711936"/>
        <c:crosses val="autoZero"/>
        <c:auto val="1"/>
        <c:lblAlgn val="ctr"/>
        <c:lblOffset val="100"/>
        <c:noMultiLvlLbl val="0"/>
      </c:catAx>
      <c:valAx>
        <c:axId val="236711936"/>
        <c:scaling>
          <c:orientation val="minMax"/>
        </c:scaling>
        <c:delete val="0"/>
        <c:axPos val="l"/>
        <c:numFmt formatCode="&quot;$&quot;\ #,##0,\ &quot;K&quot;" sourceLinked="0"/>
        <c:majorTickMark val="out"/>
        <c:minorTickMark val="none"/>
        <c:tickLblPos val="nextTo"/>
        <c:crossAx val="236706048"/>
        <c:crosses val="autoZero"/>
        <c:crossBetween val="between"/>
      </c:valAx>
      <c:valAx>
        <c:axId val="236713472"/>
        <c:scaling>
          <c:orientation val="minMax"/>
        </c:scaling>
        <c:delete val="0"/>
        <c:axPos val="r"/>
        <c:numFmt formatCode="&quot;$&quot;\ #,##0,,\ &quot;M&quot;" sourceLinked="0"/>
        <c:majorTickMark val="out"/>
        <c:minorTickMark val="none"/>
        <c:tickLblPos val="nextTo"/>
        <c:crossAx val="236715008"/>
        <c:crosses val="max"/>
        <c:crossBetween val="between"/>
      </c:valAx>
      <c:catAx>
        <c:axId val="236715008"/>
        <c:scaling>
          <c:orientation val="minMax"/>
        </c:scaling>
        <c:delete val="1"/>
        <c:axPos val="b"/>
        <c:majorTickMark val="out"/>
        <c:minorTickMark val="none"/>
        <c:tickLblPos val="nextTo"/>
        <c:crossAx val="236713472"/>
        <c:crosses val="autoZero"/>
        <c:auto val="1"/>
        <c:lblAlgn val="ctr"/>
        <c:lblOffset val="100"/>
        <c:noMultiLvlLbl val="0"/>
      </c:catAx>
      <c:spPr>
        <a:solidFill>
          <a:srgbClr val="F3EEF0"/>
        </a:solidFill>
      </c:spPr>
    </c:plotArea>
    <c:legend>
      <c:legendPos val="t"/>
      <c:layout>
        <c:manualLayout>
          <c:xMode val="edge"/>
          <c:yMode val="edge"/>
          <c:x val="0.27749261719860008"/>
          <c:y val="0.13446899331647472"/>
          <c:w val="0.45072497131408468"/>
          <c:h val="0.14182668406565752"/>
        </c:manualLayout>
      </c:layout>
      <c:overlay val="0"/>
    </c:legend>
    <c:plotVisOnly val="1"/>
    <c:dispBlanksAs val="zero"/>
    <c:showDLblsOverMax val="0"/>
  </c:chart>
  <c:spPr>
    <a:solidFill>
      <a:srgbClr val="F3EEF0"/>
    </a:solidFill>
    <a:ln>
      <a:solidFill>
        <a:srgbClr val="A9A9A9"/>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Analysis Report.xlsx]Real Estate Report!Total Sales by Sales Person</c:name>
    <c:fmtId val="2"/>
  </c:pivotSource>
  <c:chart>
    <c:title>
      <c:tx>
        <c:rich>
          <a:bodyPr/>
          <a:lstStyle/>
          <a:p>
            <a:pPr>
              <a:defRPr sz="1100"/>
            </a:pPr>
            <a:r>
              <a:rPr lang="en-US" sz="1100">
                <a:latin typeface="Gotham"/>
              </a:rPr>
              <a:t>Sales Total by</a:t>
            </a:r>
            <a:r>
              <a:rPr lang="en-US" sz="1100" baseline="0">
                <a:latin typeface="Gotham"/>
              </a:rPr>
              <a:t> SalesPerson</a:t>
            </a:r>
            <a:endParaRPr lang="en-US" sz="1100">
              <a:latin typeface="Gotham"/>
            </a:endParaRPr>
          </a:p>
        </c:rich>
      </c:tx>
      <c:layout>
        <c:manualLayout>
          <c:xMode val="edge"/>
          <c:yMode val="edge"/>
          <c:x val="0.31216008539230461"/>
          <c:y val="0"/>
        </c:manualLayout>
      </c:layout>
      <c:overlay val="0"/>
    </c:title>
    <c:autoTitleDeleted val="0"/>
    <c:pivotFmts>
      <c:pivotFmt>
        <c:idx val="0"/>
        <c:marker>
          <c:symbol val="none"/>
        </c:marker>
      </c:pivotFmt>
      <c:pivotFmt>
        <c:idx val="1"/>
        <c:marker>
          <c:symbol val="none"/>
        </c:marker>
      </c:pivotFmt>
      <c:pivotFmt>
        <c:idx val="2"/>
        <c:marker>
          <c:symbol val="none"/>
        </c:marker>
        <c:dLbl>
          <c:idx val="0"/>
          <c:layout/>
          <c:numFmt formatCode="&quot;$&quot;\ #,##0,,\ &quot;M&quot;" sourceLinked="0"/>
          <c:spPr/>
          <c:txPr>
            <a:bodyPr/>
            <a:lstStyle/>
            <a:p>
              <a:pPr>
                <a:defRPr>
                  <a:solidFill>
                    <a:schemeClr val="bg1"/>
                  </a:solidFill>
                </a:defRPr>
              </a:pPr>
              <a:endParaRPr lang="en-US"/>
            </a:p>
          </c:txPr>
          <c:dLblPos val="inEnd"/>
          <c:showLegendKey val="0"/>
          <c:showVal val="1"/>
          <c:showCatName val="0"/>
          <c:showSerName val="0"/>
          <c:showPercent val="0"/>
          <c:showBubbleSize val="0"/>
        </c:dLbl>
      </c:pivotFmt>
    </c:pivotFmts>
    <c:plotArea>
      <c:layout/>
      <c:barChart>
        <c:barDir val="col"/>
        <c:grouping val="clustered"/>
        <c:varyColors val="0"/>
        <c:ser>
          <c:idx val="0"/>
          <c:order val="0"/>
          <c:tx>
            <c:strRef>
              <c:f>'Real Estate Report'!$J$15</c:f>
              <c:strCache>
                <c:ptCount val="1"/>
                <c:pt idx="0">
                  <c:v>Total</c:v>
                </c:pt>
              </c:strCache>
            </c:strRef>
          </c:tx>
          <c:invertIfNegative val="0"/>
          <c:dLbls>
            <c:numFmt formatCode="&quot;$&quot;\ #,##0,,\ &quot;M&quot;" sourceLinked="0"/>
            <c:spPr/>
            <c:txPr>
              <a:bodyPr/>
              <a:lstStyle/>
              <a:p>
                <a:pPr>
                  <a:defRPr>
                    <a:solidFill>
                      <a:schemeClr val="bg1"/>
                    </a:solidFill>
                  </a:defRPr>
                </a:pPr>
                <a:endParaRPr lang="en-US"/>
              </a:p>
            </c:txPr>
            <c:dLblPos val="inEnd"/>
            <c:showLegendKey val="0"/>
            <c:showVal val="1"/>
            <c:showCatName val="0"/>
            <c:showSerName val="0"/>
            <c:showPercent val="0"/>
            <c:showBubbleSize val="0"/>
            <c:showLeaderLines val="0"/>
          </c:dLbls>
          <c:cat>
            <c:strRef>
              <c:f>'Real Estate Report'!$I$16:$I$20</c:f>
              <c:strCache>
                <c:ptCount val="4"/>
                <c:pt idx="0">
                  <c:v>Jayson Chandler</c:v>
                </c:pt>
                <c:pt idx="1">
                  <c:v>Virginia Senior</c:v>
                </c:pt>
                <c:pt idx="2">
                  <c:v>Enid Maddox</c:v>
                </c:pt>
                <c:pt idx="3">
                  <c:v>Nia Gallegos</c:v>
                </c:pt>
              </c:strCache>
            </c:strRef>
          </c:cat>
          <c:val>
            <c:numRef>
              <c:f>'Real Estate Report'!$J$16:$J$20</c:f>
              <c:numCache>
                <c:formatCode>General</c:formatCode>
                <c:ptCount val="4"/>
                <c:pt idx="0">
                  <c:v>93529000</c:v>
                </c:pt>
                <c:pt idx="1">
                  <c:v>73126000</c:v>
                </c:pt>
                <c:pt idx="2">
                  <c:v>60193000</c:v>
                </c:pt>
                <c:pt idx="3">
                  <c:v>25317000</c:v>
                </c:pt>
              </c:numCache>
            </c:numRef>
          </c:val>
        </c:ser>
        <c:dLbls>
          <c:showLegendKey val="0"/>
          <c:showVal val="0"/>
          <c:showCatName val="0"/>
          <c:showSerName val="0"/>
          <c:showPercent val="0"/>
          <c:showBubbleSize val="0"/>
        </c:dLbls>
        <c:gapWidth val="80"/>
        <c:axId val="236748800"/>
        <c:axId val="236750336"/>
      </c:barChart>
      <c:catAx>
        <c:axId val="236748800"/>
        <c:scaling>
          <c:orientation val="minMax"/>
        </c:scaling>
        <c:delete val="0"/>
        <c:axPos val="b"/>
        <c:majorTickMark val="out"/>
        <c:minorTickMark val="none"/>
        <c:tickLblPos val="nextTo"/>
        <c:crossAx val="236750336"/>
        <c:crosses val="autoZero"/>
        <c:auto val="1"/>
        <c:lblAlgn val="ctr"/>
        <c:lblOffset val="100"/>
        <c:noMultiLvlLbl val="0"/>
      </c:catAx>
      <c:valAx>
        <c:axId val="236750336"/>
        <c:scaling>
          <c:orientation val="minMax"/>
        </c:scaling>
        <c:delete val="0"/>
        <c:axPos val="l"/>
        <c:numFmt formatCode="&quot;$&quot;\ #,##0,,\ &quot;M&quot;" sourceLinked="0"/>
        <c:majorTickMark val="out"/>
        <c:minorTickMark val="none"/>
        <c:tickLblPos val="nextTo"/>
        <c:crossAx val="236748800"/>
        <c:crosses val="autoZero"/>
        <c:crossBetween val="between"/>
      </c:valAx>
      <c:spPr>
        <a:solidFill>
          <a:srgbClr val="F3EEF0"/>
        </a:solidFill>
      </c:spPr>
    </c:plotArea>
    <c:plotVisOnly val="1"/>
    <c:dispBlanksAs val="gap"/>
    <c:showDLblsOverMax val="0"/>
  </c:chart>
  <c:spPr>
    <a:solidFill>
      <a:srgbClr val="F3EEF0"/>
    </a:solidFill>
    <a:ln>
      <a:solidFill>
        <a:srgbClr val="A9A9A9"/>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Analysis Report.xlsx]Real Estate Report!Total Sales by Location</c:name>
    <c:fmtId val="2"/>
  </c:pivotSource>
  <c:chart>
    <c:title>
      <c:tx>
        <c:rich>
          <a:bodyPr/>
          <a:lstStyle/>
          <a:p>
            <a:pPr>
              <a:defRPr sz="1100"/>
            </a:pPr>
            <a:r>
              <a:rPr lang="en-US" sz="1100">
                <a:latin typeface="Gotham"/>
              </a:rPr>
              <a:t>Sales by Loctaion</a:t>
            </a:r>
          </a:p>
        </c:rich>
      </c:tx>
      <c:layout>
        <c:manualLayout>
          <c:xMode val="edge"/>
          <c:yMode val="edge"/>
          <c:x val="0.19753280839895013"/>
          <c:y val="0"/>
        </c:manualLayout>
      </c:layout>
      <c:overlay val="0"/>
    </c:title>
    <c:autoTitleDeleted val="0"/>
    <c:pivotFmts>
      <c:pivotFmt>
        <c:idx val="0"/>
        <c:marker>
          <c:symbol val="none"/>
        </c:marker>
      </c:pivotFmt>
      <c:pivotFmt>
        <c:idx val="1"/>
        <c:marker>
          <c:symbol val="none"/>
        </c:marker>
      </c:pivotFmt>
      <c:pivotFmt>
        <c:idx val="2"/>
        <c:marker>
          <c:symbol val="none"/>
        </c:marker>
        <c:dLbl>
          <c:idx val="0"/>
          <c:layout/>
          <c:numFmt formatCode="&quot;$&quot;\ #,##0,,\ &quot;M&quot;" sourceLinked="0"/>
          <c:spPr/>
          <c:txPr>
            <a:bodyPr/>
            <a:lstStyle/>
            <a:p>
              <a:pPr>
                <a:defRPr/>
              </a:pPr>
              <a:endParaRPr lang="en-US"/>
            </a:p>
          </c:txPr>
          <c:dLblPos val="outEnd"/>
          <c:showLegendKey val="0"/>
          <c:showVal val="1"/>
          <c:showCatName val="0"/>
          <c:showSerName val="0"/>
          <c:showPercent val="0"/>
          <c:showBubbleSize val="0"/>
        </c:dLbl>
      </c:pivotFmt>
    </c:pivotFmts>
    <c:plotArea>
      <c:layout/>
      <c:barChart>
        <c:barDir val="bar"/>
        <c:grouping val="clustered"/>
        <c:varyColors val="0"/>
        <c:ser>
          <c:idx val="0"/>
          <c:order val="0"/>
          <c:tx>
            <c:strRef>
              <c:f>'Real Estate Report'!$N$3</c:f>
              <c:strCache>
                <c:ptCount val="1"/>
                <c:pt idx="0">
                  <c:v>Total</c:v>
                </c:pt>
              </c:strCache>
            </c:strRef>
          </c:tx>
          <c:invertIfNegative val="0"/>
          <c:dLbls>
            <c:numFmt formatCode="&quot;$&quot;\ #,##0,,\ &quot;M&quot;" sourceLinked="0"/>
            <c:spPr/>
            <c:txPr>
              <a:bodyPr/>
              <a:lstStyle/>
              <a:p>
                <a:pPr>
                  <a:defRPr/>
                </a:pPr>
                <a:endParaRPr lang="en-US"/>
              </a:p>
            </c:txPr>
            <c:dLblPos val="outEnd"/>
            <c:showLegendKey val="0"/>
            <c:showVal val="1"/>
            <c:showCatName val="0"/>
            <c:showSerName val="0"/>
            <c:showPercent val="0"/>
            <c:showBubbleSize val="0"/>
            <c:showLeaderLines val="0"/>
          </c:dLbls>
          <c:cat>
            <c:strRef>
              <c:f>'Real Estate Report'!$M$4:$M$8</c:f>
              <c:strCache>
                <c:ptCount val="4"/>
                <c:pt idx="0">
                  <c:v>Canberra</c:v>
                </c:pt>
                <c:pt idx="1">
                  <c:v>Melbourne</c:v>
                </c:pt>
                <c:pt idx="2">
                  <c:v>Sydney</c:v>
                </c:pt>
                <c:pt idx="3">
                  <c:v>Adelaide</c:v>
                </c:pt>
              </c:strCache>
            </c:strRef>
          </c:cat>
          <c:val>
            <c:numRef>
              <c:f>'Real Estate Report'!$N$4:$N$8</c:f>
              <c:numCache>
                <c:formatCode>General</c:formatCode>
                <c:ptCount val="4"/>
                <c:pt idx="0">
                  <c:v>12765000</c:v>
                </c:pt>
                <c:pt idx="1">
                  <c:v>77863000</c:v>
                </c:pt>
                <c:pt idx="2">
                  <c:v>78694000</c:v>
                </c:pt>
                <c:pt idx="3">
                  <c:v>82843000</c:v>
                </c:pt>
              </c:numCache>
            </c:numRef>
          </c:val>
        </c:ser>
        <c:dLbls>
          <c:showLegendKey val="0"/>
          <c:showVal val="0"/>
          <c:showCatName val="0"/>
          <c:showSerName val="0"/>
          <c:showPercent val="0"/>
          <c:showBubbleSize val="0"/>
        </c:dLbls>
        <c:gapWidth val="80"/>
        <c:axId val="236771200"/>
        <c:axId val="236772736"/>
      </c:barChart>
      <c:catAx>
        <c:axId val="236771200"/>
        <c:scaling>
          <c:orientation val="minMax"/>
        </c:scaling>
        <c:delete val="0"/>
        <c:axPos val="l"/>
        <c:majorTickMark val="out"/>
        <c:minorTickMark val="none"/>
        <c:tickLblPos val="nextTo"/>
        <c:crossAx val="236772736"/>
        <c:crosses val="autoZero"/>
        <c:auto val="1"/>
        <c:lblAlgn val="ctr"/>
        <c:lblOffset val="100"/>
        <c:noMultiLvlLbl val="0"/>
      </c:catAx>
      <c:valAx>
        <c:axId val="236772736"/>
        <c:scaling>
          <c:orientation val="minMax"/>
        </c:scaling>
        <c:delete val="0"/>
        <c:axPos val="b"/>
        <c:numFmt formatCode="&quot;$&quot;\ #,##0,,\ &quot;M&quot;" sourceLinked="0"/>
        <c:majorTickMark val="out"/>
        <c:minorTickMark val="none"/>
        <c:tickLblPos val="nextTo"/>
        <c:crossAx val="236771200"/>
        <c:crosses val="autoZero"/>
        <c:crossBetween val="between"/>
      </c:valAx>
      <c:spPr>
        <a:solidFill>
          <a:srgbClr val="F3EEF0"/>
        </a:solidFill>
      </c:spPr>
    </c:plotArea>
    <c:plotVisOnly val="1"/>
    <c:dispBlanksAs val="gap"/>
    <c:showDLblsOverMax val="0"/>
  </c:chart>
  <c:spPr>
    <a:solidFill>
      <a:srgbClr val="F3EEF0"/>
    </a:solidFill>
    <a:ln>
      <a:solidFill>
        <a:srgbClr val="A9A9A9"/>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Analysis Report.xlsx]Real Estate Report!Total Sales by Property Type</c:name>
    <c:fmtId val="2"/>
  </c:pivotSource>
  <c:chart>
    <c:title>
      <c:tx>
        <c:rich>
          <a:bodyPr/>
          <a:lstStyle/>
          <a:p>
            <a:pPr>
              <a:defRPr sz="1100"/>
            </a:pPr>
            <a:r>
              <a:rPr lang="en-US" sz="1100">
                <a:latin typeface="Gotham"/>
              </a:rPr>
              <a:t>Sales by PropertyType</a:t>
            </a:r>
          </a:p>
        </c:rich>
      </c:tx>
      <c:layout>
        <c:manualLayout>
          <c:xMode val="edge"/>
          <c:yMode val="edge"/>
          <c:x val="0.20293410987300092"/>
          <c:y val="0"/>
        </c:manualLayout>
      </c:layout>
      <c:overlay val="0"/>
    </c:title>
    <c:autoTitleDeleted val="0"/>
    <c:pivotFmts>
      <c:pivotFmt>
        <c:idx val="0"/>
        <c:marker>
          <c:symbol val="none"/>
        </c:marker>
      </c:pivotFmt>
      <c:pivotFmt>
        <c:idx val="1"/>
        <c:marker>
          <c:symbol val="none"/>
        </c:marker>
      </c:pivotFmt>
      <c:pivotFmt>
        <c:idx val="2"/>
        <c:marker>
          <c:symbol val="none"/>
        </c:marker>
        <c:dLbl>
          <c:idx val="0"/>
          <c:layout/>
          <c:spPr/>
          <c:txPr>
            <a:bodyPr/>
            <a:lstStyle/>
            <a:p>
              <a:pPr>
                <a:defRPr>
                  <a:solidFill>
                    <a:schemeClr val="bg1"/>
                  </a:solidFill>
                </a:defRPr>
              </a:pPr>
              <a:endParaRPr lang="en-US"/>
            </a:p>
          </c:txPr>
          <c:showLegendKey val="0"/>
          <c:showVal val="1"/>
          <c:showCatName val="0"/>
          <c:showSerName val="0"/>
          <c:showPercent val="1"/>
          <c:showBubbleSize val="0"/>
          <c:separator>
</c:separator>
        </c:dLbl>
      </c:pivotFmt>
    </c:pivotFmts>
    <c:plotArea>
      <c:layout>
        <c:manualLayout>
          <c:layoutTarget val="inner"/>
          <c:xMode val="edge"/>
          <c:yMode val="edge"/>
          <c:x val="4.0302502069601606E-2"/>
          <c:y val="0.16829060750967773"/>
          <c:w val="0.58398927423378078"/>
          <c:h val="0.74998651709632191"/>
        </c:manualLayout>
      </c:layout>
      <c:pieChart>
        <c:varyColors val="1"/>
        <c:ser>
          <c:idx val="0"/>
          <c:order val="0"/>
          <c:tx>
            <c:strRef>
              <c:f>'Real Estate Report'!$N$15</c:f>
              <c:strCache>
                <c:ptCount val="1"/>
                <c:pt idx="0">
                  <c:v>Total</c:v>
                </c:pt>
              </c:strCache>
            </c:strRef>
          </c:tx>
          <c:dLbls>
            <c:spPr/>
            <c:txPr>
              <a:bodyPr/>
              <a:lstStyle/>
              <a:p>
                <a:pPr>
                  <a:defRPr>
                    <a:solidFill>
                      <a:schemeClr val="bg1"/>
                    </a:solidFill>
                  </a:defRPr>
                </a:pPr>
                <a:endParaRPr lang="en-US"/>
              </a:p>
            </c:txPr>
            <c:showLegendKey val="0"/>
            <c:showVal val="1"/>
            <c:showCatName val="0"/>
            <c:showSerName val="0"/>
            <c:showPercent val="1"/>
            <c:showBubbleSize val="0"/>
            <c:separator>
</c:separator>
            <c:showLeaderLines val="1"/>
          </c:dLbls>
          <c:cat>
            <c:strRef>
              <c:f>'Real Estate Report'!$M$16:$M$19</c:f>
              <c:strCache>
                <c:ptCount val="3"/>
                <c:pt idx="0">
                  <c:v>1 Bedroom</c:v>
                </c:pt>
                <c:pt idx="1">
                  <c:v>2 Bedrooms</c:v>
                </c:pt>
                <c:pt idx="2">
                  <c:v>3 Bedrooms</c:v>
                </c:pt>
              </c:strCache>
            </c:strRef>
          </c:cat>
          <c:val>
            <c:numRef>
              <c:f>'Real Estate Report'!$N$16:$N$19</c:f>
              <c:numCache>
                <c:formatCode>"$"\ #,##0,,\ "M"</c:formatCode>
                <c:ptCount val="3"/>
                <c:pt idx="0">
                  <c:v>51645000</c:v>
                </c:pt>
                <c:pt idx="1">
                  <c:v>83040000</c:v>
                </c:pt>
                <c:pt idx="2">
                  <c:v>117480000</c:v>
                </c:pt>
              </c:numCache>
            </c:numRef>
          </c:val>
        </c:ser>
        <c:dLbls>
          <c:showLegendKey val="0"/>
          <c:showVal val="0"/>
          <c:showCatName val="0"/>
          <c:showSerName val="0"/>
          <c:showPercent val="0"/>
          <c:showBubbleSize val="0"/>
          <c:showLeaderLines val="1"/>
        </c:dLbls>
        <c:firstSliceAng val="0"/>
      </c:pieChart>
    </c:plotArea>
    <c:legend>
      <c:legendPos val="r"/>
      <c:layout>
        <c:manualLayout>
          <c:xMode val="edge"/>
          <c:yMode val="edge"/>
          <c:x val="0.63178044841821768"/>
          <c:y val="0.33687284523224553"/>
          <c:w val="0.34946209019646524"/>
          <c:h val="0.44551458750304612"/>
        </c:manualLayout>
      </c:layout>
      <c:overlay val="0"/>
    </c:legend>
    <c:plotVisOnly val="1"/>
    <c:dispBlanksAs val="gap"/>
    <c:showDLblsOverMax val="0"/>
  </c:chart>
  <c:spPr>
    <a:solidFill>
      <a:srgbClr val="F3EEF0"/>
    </a:solidFill>
    <a:ln>
      <a:solidFill>
        <a:srgbClr val="A9A9A9"/>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Real Estate Report Key Insight'!A1"/><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Real Estate Analysis'!A1"/></Relationships>
</file>

<file path=xl/drawings/drawing1.xml><?xml version="1.0" encoding="utf-8"?>
<xdr:wsDr xmlns:xdr="http://schemas.openxmlformats.org/drawingml/2006/spreadsheetDrawing" xmlns:a="http://schemas.openxmlformats.org/drawingml/2006/main">
  <xdr:twoCellAnchor>
    <xdr:from>
      <xdr:col>6</xdr:col>
      <xdr:colOff>419100</xdr:colOff>
      <xdr:row>3</xdr:row>
      <xdr:rowOff>136956</xdr:rowOff>
    </xdr:from>
    <xdr:to>
      <xdr:col>18</xdr:col>
      <xdr:colOff>428624</xdr:colOff>
      <xdr:row>10</xdr:row>
      <xdr:rowOff>147012</xdr:rowOff>
    </xdr:to>
    <xdr:grpSp>
      <xdr:nvGrpSpPr>
        <xdr:cNvPr id="27" name="Group 26"/>
        <xdr:cNvGrpSpPr/>
      </xdr:nvGrpSpPr>
      <xdr:grpSpPr>
        <a:xfrm>
          <a:off x="4076700" y="708456"/>
          <a:ext cx="8067674" cy="1343556"/>
          <a:chOff x="3429001" y="834090"/>
          <a:chExt cx="9115424" cy="1733376"/>
        </a:xfrm>
      </xdr:grpSpPr>
      <xdr:grpSp>
        <xdr:nvGrpSpPr>
          <xdr:cNvPr id="21" name="Group 20"/>
          <xdr:cNvGrpSpPr/>
        </xdr:nvGrpSpPr>
        <xdr:grpSpPr>
          <a:xfrm>
            <a:off x="3429001" y="840645"/>
            <a:ext cx="1743074" cy="1726821"/>
            <a:chOff x="3762376" y="1907445"/>
            <a:chExt cx="1743074" cy="1726821"/>
          </a:xfrm>
        </xdr:grpSpPr>
        <xdr:grpSp>
          <xdr:nvGrpSpPr>
            <xdr:cNvPr id="12" name="Group 11"/>
            <xdr:cNvGrpSpPr/>
          </xdr:nvGrpSpPr>
          <xdr:grpSpPr>
            <a:xfrm>
              <a:off x="4052950" y="2365049"/>
              <a:ext cx="1205345" cy="711526"/>
              <a:chOff x="3881500" y="641024"/>
              <a:chExt cx="1205345" cy="711526"/>
            </a:xfrm>
          </xdr:grpSpPr>
          <xdr:sp macro="" textlink="'Real Estate Report'!$A$4">
            <xdr:nvSpPr>
              <xdr:cNvPr id="2" name="TextBox 1"/>
              <xdr:cNvSpPr txBox="1"/>
            </xdr:nvSpPr>
            <xdr:spPr>
              <a:xfrm>
                <a:off x="3881500" y="641024"/>
                <a:ext cx="1205344" cy="397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B2C839-68C2-40D8-B3AD-0BBE4E8D645F}" type="TxLink">
                  <a:rPr lang="en-US" sz="1600" b="1">
                    <a:latin typeface="Gotham"/>
                  </a:rPr>
                  <a:pPr algn="ctr"/>
                  <a:t>6000</a:t>
                </a:fld>
                <a:endParaRPr lang="en-US" sz="1600" b="1">
                  <a:latin typeface="Gotham"/>
                </a:endParaRPr>
              </a:p>
            </xdr:txBody>
          </xdr:sp>
          <xdr:sp macro="" textlink="'Real Estate Report'!$A$3">
            <xdr:nvSpPr>
              <xdr:cNvPr id="7" name="TextBox 6"/>
              <xdr:cNvSpPr txBox="1"/>
            </xdr:nvSpPr>
            <xdr:spPr>
              <a:xfrm>
                <a:off x="3881500" y="1010514"/>
                <a:ext cx="1205345" cy="3420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F45860-BCB4-4AF7-9EC4-0D1C8853B927}" type="TxLink">
                  <a:rPr lang="en-US" sz="1050" b="0">
                    <a:solidFill>
                      <a:srgbClr val="717171"/>
                    </a:solidFill>
                    <a:latin typeface="Gotham"/>
                  </a:rPr>
                  <a:pPr algn="ctr"/>
                  <a:t>No of Houses</a:t>
                </a:fld>
                <a:endParaRPr lang="en-US" sz="1050" b="0">
                  <a:solidFill>
                    <a:srgbClr val="717171"/>
                  </a:solidFill>
                  <a:latin typeface="Gotham"/>
                </a:endParaRPr>
              </a:p>
            </xdr:txBody>
          </xdr:sp>
        </xdr:grpSp>
        <xdr:sp macro="" textlink="">
          <xdr:nvSpPr>
            <xdr:cNvPr id="17" name="Donut 16"/>
            <xdr:cNvSpPr/>
          </xdr:nvSpPr>
          <xdr:spPr>
            <a:xfrm>
              <a:off x="3762376" y="1907445"/>
              <a:ext cx="1743074" cy="1726821"/>
            </a:xfrm>
            <a:prstGeom prst="donut">
              <a:avLst>
                <a:gd name="adj" fmla="val 10717"/>
              </a:avLst>
            </a:prstGeom>
            <a:solidFill>
              <a:srgbClr val="EB012A"/>
            </a:solidFill>
            <a:ln>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grpSp>
      <xdr:grpSp>
        <xdr:nvGrpSpPr>
          <xdr:cNvPr id="22" name="Group 21"/>
          <xdr:cNvGrpSpPr/>
        </xdr:nvGrpSpPr>
        <xdr:grpSpPr>
          <a:xfrm>
            <a:off x="5272088" y="842917"/>
            <a:ext cx="1743074" cy="1720400"/>
            <a:chOff x="4895851" y="1909717"/>
            <a:chExt cx="1743074" cy="1720400"/>
          </a:xfrm>
        </xdr:grpSpPr>
        <xdr:grpSp>
          <xdr:nvGrpSpPr>
            <xdr:cNvPr id="13" name="Group 12"/>
            <xdr:cNvGrpSpPr/>
          </xdr:nvGrpSpPr>
          <xdr:grpSpPr>
            <a:xfrm>
              <a:off x="5238751" y="2400301"/>
              <a:ext cx="1066800" cy="657224"/>
              <a:chOff x="5314951" y="685801"/>
              <a:chExt cx="1066800" cy="657224"/>
            </a:xfrm>
          </xdr:grpSpPr>
          <xdr:sp macro="" textlink="'Real Estate Report'!$A$11">
            <xdr:nvSpPr>
              <xdr:cNvPr id="3" name="TextBox 2"/>
              <xdr:cNvSpPr txBox="1"/>
            </xdr:nvSpPr>
            <xdr:spPr>
              <a:xfrm>
                <a:off x="5314951" y="685801"/>
                <a:ext cx="10668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2B86EF-6817-43D6-BDB1-6B8DD4F6D56A}" type="TxLink">
                  <a:rPr lang="en-US" sz="1600" b="1">
                    <a:latin typeface="Gotham"/>
                  </a:rPr>
                  <a:pPr algn="ctr"/>
                  <a:t>4269</a:t>
                </a:fld>
                <a:endParaRPr lang="en-US" sz="1600" b="1">
                  <a:latin typeface="Gotham"/>
                </a:endParaRPr>
              </a:p>
            </xdr:txBody>
          </xdr:sp>
          <xdr:sp macro="" textlink="'Real Estate Report'!$A$10">
            <xdr:nvSpPr>
              <xdr:cNvPr id="8" name="TextBox 7"/>
              <xdr:cNvSpPr txBox="1"/>
            </xdr:nvSpPr>
            <xdr:spPr>
              <a:xfrm>
                <a:off x="5314951" y="1047750"/>
                <a:ext cx="10668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8C5D9D-C384-4C94-858E-6B5063C7F538}" type="TxLink">
                  <a:rPr lang="en-US" sz="1050" b="0">
                    <a:solidFill>
                      <a:srgbClr val="717171"/>
                    </a:solidFill>
                    <a:latin typeface="Gotham"/>
                  </a:rPr>
                  <a:pPr algn="ctr"/>
                  <a:t>Qty Sold</a:t>
                </a:fld>
                <a:endParaRPr lang="en-US" sz="1050" b="0">
                  <a:solidFill>
                    <a:srgbClr val="717171"/>
                  </a:solidFill>
                  <a:latin typeface="Gotham"/>
                </a:endParaRPr>
              </a:p>
            </xdr:txBody>
          </xdr:sp>
        </xdr:grpSp>
        <xdr:sp macro="" textlink="">
          <xdr:nvSpPr>
            <xdr:cNvPr id="18" name="Donut 17"/>
            <xdr:cNvSpPr/>
          </xdr:nvSpPr>
          <xdr:spPr>
            <a:xfrm>
              <a:off x="4895851" y="1909717"/>
              <a:ext cx="1743074" cy="1720400"/>
            </a:xfrm>
            <a:prstGeom prst="donut">
              <a:avLst>
                <a:gd name="adj" fmla="val 10717"/>
              </a:avLst>
            </a:prstGeom>
            <a:solidFill>
              <a:srgbClr val="EB012A"/>
            </a:solidFill>
            <a:ln>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grpSp>
      <xdr:grpSp>
        <xdr:nvGrpSpPr>
          <xdr:cNvPr id="23" name="Group 22"/>
          <xdr:cNvGrpSpPr/>
        </xdr:nvGrpSpPr>
        <xdr:grpSpPr>
          <a:xfrm>
            <a:off x="7115175" y="841729"/>
            <a:ext cx="1743074" cy="1720400"/>
            <a:chOff x="6381751" y="1851379"/>
            <a:chExt cx="1743074" cy="1720400"/>
          </a:xfrm>
        </xdr:grpSpPr>
        <xdr:grpSp>
          <xdr:nvGrpSpPr>
            <xdr:cNvPr id="14" name="Group 13"/>
            <xdr:cNvGrpSpPr/>
          </xdr:nvGrpSpPr>
          <xdr:grpSpPr>
            <a:xfrm>
              <a:off x="6666759" y="2333626"/>
              <a:ext cx="1194584" cy="657224"/>
              <a:chOff x="6638184" y="676276"/>
              <a:chExt cx="1194584" cy="657224"/>
            </a:xfrm>
          </xdr:grpSpPr>
          <xdr:sp macro="" textlink="'Real Estate Report'!$A$18">
            <xdr:nvSpPr>
              <xdr:cNvPr id="4" name="TextBox 3"/>
              <xdr:cNvSpPr txBox="1"/>
            </xdr:nvSpPr>
            <xdr:spPr>
              <a:xfrm>
                <a:off x="6638184" y="676276"/>
                <a:ext cx="1194584"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41F776D-6528-447A-A49B-15CC1C206D44}" type="TxLink">
                  <a:rPr lang="en-US" sz="1600" b="1">
                    <a:latin typeface="Gotham"/>
                  </a:rPr>
                  <a:pPr algn="ctr"/>
                  <a:t>$ 252 M</a:t>
                </a:fld>
                <a:endParaRPr lang="en-US" sz="1600" b="1">
                  <a:latin typeface="Gotham"/>
                </a:endParaRPr>
              </a:p>
            </xdr:txBody>
          </xdr:sp>
          <xdr:sp macro="" textlink="'Real Estate Report'!$A$17">
            <xdr:nvSpPr>
              <xdr:cNvPr id="9" name="TextBox 8"/>
              <xdr:cNvSpPr txBox="1"/>
            </xdr:nvSpPr>
            <xdr:spPr>
              <a:xfrm>
                <a:off x="6638184" y="1038225"/>
                <a:ext cx="1194584"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DF9AC97-332D-4B54-A2F4-74ECC47A900E}" type="TxLink">
                  <a:rPr lang="en-US" sz="1050" b="0">
                    <a:solidFill>
                      <a:srgbClr val="717171"/>
                    </a:solidFill>
                    <a:latin typeface="Gotham"/>
                  </a:rPr>
                  <a:pPr algn="ctr"/>
                  <a:t>Sales Total</a:t>
                </a:fld>
                <a:endParaRPr lang="en-US" sz="1050" b="0">
                  <a:solidFill>
                    <a:srgbClr val="717171"/>
                  </a:solidFill>
                  <a:latin typeface="Gotham"/>
                </a:endParaRPr>
              </a:p>
            </xdr:txBody>
          </xdr:sp>
        </xdr:grpSp>
        <xdr:sp macro="" textlink="">
          <xdr:nvSpPr>
            <xdr:cNvPr id="19" name="Donut 18"/>
            <xdr:cNvSpPr/>
          </xdr:nvSpPr>
          <xdr:spPr>
            <a:xfrm>
              <a:off x="6381751" y="1851379"/>
              <a:ext cx="1743074" cy="1720400"/>
            </a:xfrm>
            <a:prstGeom prst="donut">
              <a:avLst>
                <a:gd name="adj" fmla="val 10717"/>
              </a:avLst>
            </a:prstGeom>
            <a:solidFill>
              <a:srgbClr val="EB012A"/>
            </a:solidFill>
            <a:ln>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grpSp>
      <xdr:grpSp>
        <xdr:nvGrpSpPr>
          <xdr:cNvPr id="25" name="Group 24"/>
          <xdr:cNvGrpSpPr/>
        </xdr:nvGrpSpPr>
        <xdr:grpSpPr>
          <a:xfrm>
            <a:off x="8958262" y="834090"/>
            <a:ext cx="1743074" cy="1720400"/>
            <a:chOff x="6238876" y="1815165"/>
            <a:chExt cx="1743074" cy="1720400"/>
          </a:xfrm>
        </xdr:grpSpPr>
        <xdr:grpSp>
          <xdr:nvGrpSpPr>
            <xdr:cNvPr id="15" name="Group 14"/>
            <xdr:cNvGrpSpPr/>
          </xdr:nvGrpSpPr>
          <xdr:grpSpPr>
            <a:xfrm>
              <a:off x="6581776" y="2343151"/>
              <a:ext cx="1066800" cy="657224"/>
              <a:chOff x="8077201" y="666751"/>
              <a:chExt cx="1066800" cy="657224"/>
            </a:xfrm>
          </xdr:grpSpPr>
          <xdr:sp macro="" textlink="'Real Estate Report'!$A$25">
            <xdr:nvSpPr>
              <xdr:cNvPr id="5" name="TextBox 4"/>
              <xdr:cNvSpPr txBox="1"/>
            </xdr:nvSpPr>
            <xdr:spPr>
              <a:xfrm>
                <a:off x="8077201" y="666751"/>
                <a:ext cx="10668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886822-6DFF-495A-9201-48D3C9585DDD}" type="TxLink">
                  <a:rPr lang="en-US" sz="1600" b="1">
                    <a:latin typeface="Gotham"/>
                  </a:rPr>
                  <a:pPr algn="ctr"/>
                  <a:t>$ 157 M</a:t>
                </a:fld>
                <a:endParaRPr lang="en-US" sz="1600" b="1">
                  <a:latin typeface="Gotham"/>
                </a:endParaRPr>
              </a:p>
            </xdr:txBody>
          </xdr:sp>
          <xdr:sp macro="" textlink="'Real Estate Report'!$A$24">
            <xdr:nvSpPr>
              <xdr:cNvPr id="10" name="TextBox 9"/>
              <xdr:cNvSpPr txBox="1"/>
            </xdr:nvSpPr>
            <xdr:spPr>
              <a:xfrm>
                <a:off x="8077201" y="1028700"/>
                <a:ext cx="10668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93414B-D889-4B2B-9936-A724843AD55F}" type="TxLink">
                  <a:rPr lang="en-US" sz="1050" b="0">
                    <a:solidFill>
                      <a:srgbClr val="717171"/>
                    </a:solidFill>
                    <a:latin typeface="Gotham"/>
                  </a:rPr>
                  <a:pPr algn="ctr"/>
                  <a:t>Cost Total</a:t>
                </a:fld>
                <a:endParaRPr lang="en-US" sz="1050" b="0">
                  <a:solidFill>
                    <a:srgbClr val="717171"/>
                  </a:solidFill>
                  <a:latin typeface="Gotham"/>
                </a:endParaRPr>
              </a:p>
            </xdr:txBody>
          </xdr:sp>
        </xdr:grpSp>
        <xdr:sp macro="" textlink="">
          <xdr:nvSpPr>
            <xdr:cNvPr id="20" name="Donut 19"/>
            <xdr:cNvSpPr/>
          </xdr:nvSpPr>
          <xdr:spPr>
            <a:xfrm>
              <a:off x="6238876" y="1815165"/>
              <a:ext cx="1743074" cy="1720400"/>
            </a:xfrm>
            <a:prstGeom prst="donut">
              <a:avLst>
                <a:gd name="adj" fmla="val 10717"/>
              </a:avLst>
            </a:prstGeom>
            <a:solidFill>
              <a:srgbClr val="EB012A"/>
            </a:solidFill>
            <a:ln>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grpSp>
      <xdr:grpSp>
        <xdr:nvGrpSpPr>
          <xdr:cNvPr id="26" name="Group 25"/>
          <xdr:cNvGrpSpPr/>
        </xdr:nvGrpSpPr>
        <xdr:grpSpPr>
          <a:xfrm>
            <a:off x="10801351" y="837373"/>
            <a:ext cx="1743074" cy="1720400"/>
            <a:chOff x="7934326" y="1904173"/>
            <a:chExt cx="1743074" cy="1720400"/>
          </a:xfrm>
        </xdr:grpSpPr>
        <xdr:grpSp>
          <xdr:nvGrpSpPr>
            <xdr:cNvPr id="16" name="Group 15"/>
            <xdr:cNvGrpSpPr/>
          </xdr:nvGrpSpPr>
          <xdr:grpSpPr>
            <a:xfrm>
              <a:off x="8277226" y="2428876"/>
              <a:ext cx="1066800" cy="657224"/>
              <a:chOff x="9458326" y="657226"/>
              <a:chExt cx="1066800" cy="657224"/>
            </a:xfrm>
          </xdr:grpSpPr>
          <xdr:sp macro="" textlink="'Real Estate Report'!$A$32">
            <xdr:nvSpPr>
              <xdr:cNvPr id="6" name="TextBox 5"/>
              <xdr:cNvSpPr txBox="1"/>
            </xdr:nvSpPr>
            <xdr:spPr>
              <a:xfrm>
                <a:off x="9458326" y="657226"/>
                <a:ext cx="10668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637CC76-E5CB-4588-9C4E-FFAA33737119}" type="TxLink">
                  <a:rPr lang="en-US" sz="1600" b="1">
                    <a:latin typeface="Gotham"/>
                  </a:rPr>
                  <a:pPr algn="ctr"/>
                  <a:t>$ 667 K</a:t>
                </a:fld>
                <a:endParaRPr lang="en-US" sz="1600" b="1">
                  <a:latin typeface="Gotham"/>
                </a:endParaRPr>
              </a:p>
            </xdr:txBody>
          </xdr:sp>
          <xdr:sp macro="" textlink="'Real Estate Report'!$A$31">
            <xdr:nvSpPr>
              <xdr:cNvPr id="11" name="TextBox 10"/>
              <xdr:cNvSpPr txBox="1"/>
            </xdr:nvSpPr>
            <xdr:spPr>
              <a:xfrm>
                <a:off x="9458326" y="1019175"/>
                <a:ext cx="10668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6E180A1-F893-402A-94DD-FE296B72FCFB}" type="TxLink">
                  <a:rPr lang="en-US" sz="1050" b="0">
                    <a:solidFill>
                      <a:srgbClr val="717171"/>
                    </a:solidFill>
                    <a:latin typeface="Gotham"/>
                  </a:rPr>
                  <a:pPr algn="ctr"/>
                  <a:t>Net Loss</a:t>
                </a:fld>
                <a:endParaRPr lang="en-US" sz="1050" b="0">
                  <a:solidFill>
                    <a:srgbClr val="717171"/>
                  </a:solidFill>
                  <a:latin typeface="Gotham"/>
                </a:endParaRPr>
              </a:p>
            </xdr:txBody>
          </xdr:sp>
        </xdr:grpSp>
        <xdr:sp macro="" textlink="">
          <xdr:nvSpPr>
            <xdr:cNvPr id="24" name="Donut 23"/>
            <xdr:cNvSpPr/>
          </xdr:nvSpPr>
          <xdr:spPr>
            <a:xfrm>
              <a:off x="7934326" y="1904173"/>
              <a:ext cx="1743074" cy="1720400"/>
            </a:xfrm>
            <a:prstGeom prst="donut">
              <a:avLst>
                <a:gd name="adj" fmla="val 10717"/>
              </a:avLst>
            </a:prstGeom>
            <a:solidFill>
              <a:srgbClr val="EB012A"/>
            </a:solidFill>
            <a:ln>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grpSp>
    </xdr:grpSp>
    <xdr:clientData/>
  </xdr:twoCellAnchor>
  <xdr:twoCellAnchor>
    <xdr:from>
      <xdr:col>0</xdr:col>
      <xdr:colOff>9524</xdr:colOff>
      <xdr:row>0</xdr:row>
      <xdr:rowOff>9526</xdr:rowOff>
    </xdr:from>
    <xdr:to>
      <xdr:col>19</xdr:col>
      <xdr:colOff>266699</xdr:colOff>
      <xdr:row>3</xdr:row>
      <xdr:rowOff>104775</xdr:rowOff>
    </xdr:to>
    <xdr:sp macro="" textlink="">
      <xdr:nvSpPr>
        <xdr:cNvPr id="28" name="Rounded Rectangle 27"/>
        <xdr:cNvSpPr/>
      </xdr:nvSpPr>
      <xdr:spPr>
        <a:xfrm>
          <a:off x="9524" y="9526"/>
          <a:ext cx="12582525" cy="666749"/>
        </a:xfrm>
        <a:prstGeom prst="roundRect">
          <a:avLst>
            <a:gd name="adj" fmla="val 1597"/>
          </a:avLst>
        </a:prstGeom>
        <a:solidFill>
          <a:srgbClr val="EB012A"/>
        </a:solidFill>
        <a:ln w="12700">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19053</xdr:colOff>
      <xdr:row>10</xdr:row>
      <xdr:rowOff>171451</xdr:rowOff>
    </xdr:from>
    <xdr:to>
      <xdr:col>5</xdr:col>
      <xdr:colOff>581025</xdr:colOff>
      <xdr:row>29</xdr:row>
      <xdr:rowOff>114300</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600075</xdr:colOff>
      <xdr:row>10</xdr:row>
      <xdr:rowOff>171451</xdr:rowOff>
    </xdr:from>
    <xdr:to>
      <xdr:col>12</xdr:col>
      <xdr:colOff>1</xdr:colOff>
      <xdr:row>19</xdr:row>
      <xdr:rowOff>1</xdr:rowOff>
    </xdr:to>
    <xdr:sp macro="" textlink="">
      <xdr:nvSpPr>
        <xdr:cNvPr id="30" name="Rectangle 29"/>
        <xdr:cNvSpPr/>
      </xdr:nvSpPr>
      <xdr:spPr>
        <a:xfrm>
          <a:off x="3648075" y="2076451"/>
          <a:ext cx="4410076" cy="1562100"/>
        </a:xfrm>
        <a:prstGeom prst="rect">
          <a:avLst/>
        </a:prstGeom>
        <a:noFill/>
        <a:ln w="9525">
          <a:solidFill>
            <a:srgbClr val="A9A9A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600075</xdr:colOff>
      <xdr:row>19</xdr:row>
      <xdr:rowOff>19050</xdr:rowOff>
    </xdr:from>
    <xdr:to>
      <xdr:col>11</xdr:col>
      <xdr:colOff>257175</xdr:colOff>
      <xdr:row>29</xdr:row>
      <xdr:rowOff>116586</xdr:rowOff>
    </xdr:to>
    <xdr:graphicFrame macro="">
      <xdr:nvGraphicFramePr>
        <xdr:cNvPr id="31" name="Chart 3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19050</xdr:colOff>
      <xdr:row>10</xdr:row>
      <xdr:rowOff>171450</xdr:rowOff>
    </xdr:from>
    <xdr:to>
      <xdr:col>19</xdr:col>
      <xdr:colOff>238126</xdr:colOff>
      <xdr:row>19</xdr:row>
      <xdr:rowOff>0</xdr:rowOff>
    </xdr:to>
    <xdr:graphicFrame macro="">
      <xdr:nvGraphicFramePr>
        <xdr:cNvPr id="32" name="Chart 3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428625</xdr:colOff>
      <xdr:row>19</xdr:row>
      <xdr:rowOff>19050</xdr:rowOff>
    </xdr:from>
    <xdr:to>
      <xdr:col>19</xdr:col>
      <xdr:colOff>238125</xdr:colOff>
      <xdr:row>29</xdr:row>
      <xdr:rowOff>116586</xdr:rowOff>
    </xdr:to>
    <xdr:graphicFrame macro="">
      <xdr:nvGraphicFramePr>
        <xdr:cNvPr id="33" name="Chart 3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276224</xdr:colOff>
      <xdr:row>19</xdr:row>
      <xdr:rowOff>19050</xdr:rowOff>
    </xdr:from>
    <xdr:to>
      <xdr:col>15</xdr:col>
      <xdr:colOff>409575</xdr:colOff>
      <xdr:row>29</xdr:row>
      <xdr:rowOff>116586</xdr:rowOff>
    </xdr:to>
    <xdr:graphicFrame macro="">
      <xdr:nvGraphicFramePr>
        <xdr:cNvPr id="34" name="Chart 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19050</xdr:colOff>
      <xdr:row>3</xdr:row>
      <xdr:rowOff>123825</xdr:rowOff>
    </xdr:from>
    <xdr:to>
      <xdr:col>5</xdr:col>
      <xdr:colOff>590550</xdr:colOff>
      <xdr:row>10</xdr:row>
      <xdr:rowOff>161924</xdr:rowOff>
    </xdr:to>
    <mc:AlternateContent xmlns:mc="http://schemas.openxmlformats.org/markup-compatibility/2006" xmlns:a14="http://schemas.microsoft.com/office/drawing/2010/main">
      <mc:Choice Requires="a14">
        <xdr:graphicFrame macro="">
          <xdr:nvGraphicFramePr>
            <xdr:cNvPr id="36" name="Location"/>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9050" y="695325"/>
              <a:ext cx="3619500" cy="137159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152400</xdr:colOff>
      <xdr:row>0</xdr:row>
      <xdr:rowOff>9527</xdr:rowOff>
    </xdr:from>
    <xdr:to>
      <xdr:col>19</xdr:col>
      <xdr:colOff>228600</xdr:colOff>
      <xdr:row>3</xdr:row>
      <xdr:rowOff>114301</xdr:rowOff>
    </xdr:to>
    <mc:AlternateContent xmlns:mc="http://schemas.openxmlformats.org/markup-compatibility/2006" xmlns:a14="http://schemas.microsoft.com/office/drawing/2010/main">
      <mc:Choice Requires="a14">
        <xdr:graphicFrame macro="">
          <xdr:nvGraphicFramePr>
            <xdr:cNvPr id="43" name="MonthName"/>
            <xdr:cNvGraphicFramePr/>
          </xdr:nvGraphicFramePr>
          <xdr:xfrm>
            <a:off x="0" y="0"/>
            <a:ext cx="0" cy="0"/>
          </xdr:xfrm>
          <a:graphic>
            <a:graphicData uri="http://schemas.microsoft.com/office/drawing/2010/slicer">
              <sle:slicer xmlns:sle="http://schemas.microsoft.com/office/drawing/2010/slicer" name="MonthName"/>
            </a:graphicData>
          </a:graphic>
        </xdr:graphicFrame>
      </mc:Choice>
      <mc:Fallback xmlns="">
        <xdr:sp macro="" textlink="">
          <xdr:nvSpPr>
            <xdr:cNvPr id="0" name=""/>
            <xdr:cNvSpPr>
              <a:spLocks noTextEdit="1"/>
            </xdr:cNvSpPr>
          </xdr:nvSpPr>
          <xdr:spPr>
            <a:xfrm>
              <a:off x="6715125" y="9527"/>
              <a:ext cx="5838825" cy="676274"/>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xdr:col>
      <xdr:colOff>276224</xdr:colOff>
      <xdr:row>0</xdr:row>
      <xdr:rowOff>161925</xdr:rowOff>
    </xdr:from>
    <xdr:to>
      <xdr:col>8</xdr:col>
      <xdr:colOff>400050</xdr:colOff>
      <xdr:row>2</xdr:row>
      <xdr:rowOff>142874</xdr:rowOff>
    </xdr:to>
    <xdr:sp macro="" textlink="">
      <xdr:nvSpPr>
        <xdr:cNvPr id="35" name="TextBox 34"/>
        <xdr:cNvSpPr txBox="1"/>
      </xdr:nvSpPr>
      <xdr:spPr>
        <a:xfrm>
          <a:off x="885824" y="161925"/>
          <a:ext cx="4391026" cy="3619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bg1"/>
              </a:solidFill>
              <a:latin typeface="Gotham"/>
            </a:rPr>
            <a:t>Real</a:t>
          </a:r>
          <a:r>
            <a:rPr lang="en-US" sz="2400" b="1" baseline="0">
              <a:solidFill>
                <a:schemeClr val="bg1"/>
              </a:solidFill>
              <a:latin typeface="Gotham"/>
            </a:rPr>
            <a:t> Estate Analysis Report</a:t>
          </a:r>
          <a:endParaRPr lang="en-US" sz="2400" b="1">
            <a:solidFill>
              <a:schemeClr val="bg1"/>
            </a:solidFill>
            <a:latin typeface="Gotham"/>
          </a:endParaRPr>
        </a:p>
      </xdr:txBody>
    </xdr:sp>
    <xdr:clientData/>
  </xdr:twoCellAnchor>
  <xdr:twoCellAnchor>
    <xdr:from>
      <xdr:col>18</xdr:col>
      <xdr:colOff>428625</xdr:colOff>
      <xdr:row>3</xdr:row>
      <xdr:rowOff>152401</xdr:rowOff>
    </xdr:from>
    <xdr:to>
      <xdr:col>19</xdr:col>
      <xdr:colOff>171450</xdr:colOff>
      <xdr:row>4</xdr:row>
      <xdr:rowOff>95251</xdr:rowOff>
    </xdr:to>
    <xdr:sp macro="" textlink="">
      <xdr:nvSpPr>
        <xdr:cNvPr id="37" name="Chevron 36">
          <a:hlinkClick xmlns:r="http://schemas.openxmlformats.org/officeDocument/2006/relationships" r:id="rId6"/>
        </xdr:cNvPr>
        <xdr:cNvSpPr/>
      </xdr:nvSpPr>
      <xdr:spPr>
        <a:xfrm>
          <a:off x="12144375" y="723901"/>
          <a:ext cx="352425" cy="133350"/>
        </a:xfrm>
        <a:prstGeom prst="chevron">
          <a:avLst/>
        </a:prstGeom>
        <a:solidFill>
          <a:srgbClr val="F3EEF0"/>
        </a:solidFill>
        <a:ln>
          <a:solidFill>
            <a:srgbClr val="F3EEF0"/>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editAs="oneCell">
    <xdr:from>
      <xdr:col>0</xdr:col>
      <xdr:colOff>142877</xdr:colOff>
      <xdr:row>0</xdr:row>
      <xdr:rowOff>9526</xdr:rowOff>
    </xdr:from>
    <xdr:to>
      <xdr:col>1</xdr:col>
      <xdr:colOff>219075</xdr:colOff>
      <xdr:row>3</xdr:row>
      <xdr:rowOff>123824</xdr:rowOff>
    </xdr:to>
    <xdr:pic>
      <xdr:nvPicPr>
        <xdr:cNvPr id="41" name="Picture 40"/>
        <xdr:cNvPicPr>
          <a:picLocks noChangeAspect="1"/>
        </xdr:cNvPicPr>
      </xdr:nvPicPr>
      <xdr:blipFill>
        <a:blip xmlns:r="http://schemas.openxmlformats.org/officeDocument/2006/relationships" r:embed="rId7" cstate="print">
          <a:clrChange>
            <a:clrFrom>
              <a:srgbClr val="EB012A"/>
            </a:clrFrom>
            <a:clrTo>
              <a:srgbClr val="EB012A">
                <a:alpha val="0"/>
              </a:srgbClr>
            </a:clrTo>
          </a:clrChange>
          <a:extLst>
            <a:ext uri="{28A0092B-C50C-407E-A947-70E740481C1C}">
              <a14:useLocalDpi xmlns:a14="http://schemas.microsoft.com/office/drawing/2010/main" val="0"/>
            </a:ext>
          </a:extLst>
        </a:blip>
        <a:stretch>
          <a:fillRect/>
        </a:stretch>
      </xdr:blipFill>
      <xdr:spPr>
        <a:xfrm>
          <a:off x="142877" y="9526"/>
          <a:ext cx="685798" cy="68579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9525</xdr:rowOff>
    </xdr:from>
    <xdr:to>
      <xdr:col>20</xdr:col>
      <xdr:colOff>390525</xdr:colOff>
      <xdr:row>3</xdr:row>
      <xdr:rowOff>104774</xdr:rowOff>
    </xdr:to>
    <xdr:sp macro="" textlink="">
      <xdr:nvSpPr>
        <xdr:cNvPr id="2" name="Rounded Rectangle 1"/>
        <xdr:cNvSpPr/>
      </xdr:nvSpPr>
      <xdr:spPr>
        <a:xfrm>
          <a:off x="0" y="9525"/>
          <a:ext cx="12582525" cy="666749"/>
        </a:xfrm>
        <a:prstGeom prst="roundRect">
          <a:avLst>
            <a:gd name="adj" fmla="val 1597"/>
          </a:avLst>
        </a:prstGeom>
        <a:solidFill>
          <a:srgbClr val="EB012A"/>
        </a:solidFill>
        <a:ln w="12700">
          <a:solidFill>
            <a:srgbClr val="EB012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285750</xdr:colOff>
      <xdr:row>0</xdr:row>
      <xdr:rowOff>114300</xdr:rowOff>
    </xdr:from>
    <xdr:to>
      <xdr:col>10</xdr:col>
      <xdr:colOff>76200</xdr:colOff>
      <xdr:row>3</xdr:row>
      <xdr:rowOff>19049</xdr:rowOff>
    </xdr:to>
    <xdr:sp macro="" textlink="">
      <xdr:nvSpPr>
        <xdr:cNvPr id="4" name="TextBox 3"/>
        <xdr:cNvSpPr txBox="1"/>
      </xdr:nvSpPr>
      <xdr:spPr>
        <a:xfrm>
          <a:off x="895350" y="114300"/>
          <a:ext cx="5276850" cy="476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400" b="1">
              <a:solidFill>
                <a:schemeClr val="bg1"/>
              </a:solidFill>
              <a:effectLst/>
              <a:latin typeface="+mn-lt"/>
              <a:ea typeface="+mn-ea"/>
              <a:cs typeface="+mn-cs"/>
            </a:rPr>
            <a:t>KEY INSIGHTS </a:t>
          </a:r>
          <a:r>
            <a:rPr lang="en-US" sz="2400" b="1" baseline="0">
              <a:solidFill>
                <a:schemeClr val="bg1"/>
              </a:solidFill>
              <a:effectLst/>
              <a:latin typeface="+mn-lt"/>
              <a:ea typeface="+mn-ea"/>
              <a:cs typeface="+mn-cs"/>
            </a:rPr>
            <a:t>OF REAL ESTATE REPORT </a:t>
          </a:r>
          <a:endParaRPr lang="en-US" sz="2400" b="1">
            <a:solidFill>
              <a:schemeClr val="bg1"/>
            </a:solidFill>
            <a:effectLst/>
          </a:endParaRPr>
        </a:p>
      </xdr:txBody>
    </xdr:sp>
    <xdr:clientData/>
  </xdr:twoCellAnchor>
  <xdr:twoCellAnchor>
    <xdr:from>
      <xdr:col>18</xdr:col>
      <xdr:colOff>28576</xdr:colOff>
      <xdr:row>1</xdr:row>
      <xdr:rowOff>9524</xdr:rowOff>
    </xdr:from>
    <xdr:to>
      <xdr:col>20</xdr:col>
      <xdr:colOff>38101</xdr:colOff>
      <xdr:row>2</xdr:row>
      <xdr:rowOff>142874</xdr:rowOff>
    </xdr:to>
    <xdr:grpSp>
      <xdr:nvGrpSpPr>
        <xdr:cNvPr id="5" name="Group 4">
          <a:hlinkClick xmlns:r="http://schemas.openxmlformats.org/officeDocument/2006/relationships" r:id="rId1"/>
        </xdr:cNvPr>
        <xdr:cNvGrpSpPr/>
      </xdr:nvGrpSpPr>
      <xdr:grpSpPr>
        <a:xfrm>
          <a:off x="11001376" y="200024"/>
          <a:ext cx="1228725" cy="323850"/>
          <a:chOff x="5381625" y="200025"/>
          <a:chExt cx="1228725" cy="323850"/>
        </a:xfrm>
        <a:effectLst>
          <a:outerShdw blurRad="50800" dist="38100" dir="5400000" algn="t" rotWithShape="0">
            <a:prstClr val="black">
              <a:alpha val="40000"/>
            </a:prstClr>
          </a:outerShdw>
        </a:effectLst>
      </xdr:grpSpPr>
      <xdr:sp macro="" textlink="">
        <xdr:nvSpPr>
          <xdr:cNvPr id="6" name="Rounded Rectangle 5"/>
          <xdr:cNvSpPr/>
        </xdr:nvSpPr>
        <xdr:spPr>
          <a:xfrm>
            <a:off x="5381625" y="200025"/>
            <a:ext cx="1228725" cy="323850"/>
          </a:xfrm>
          <a:prstGeom prst="roundRect">
            <a:avLst/>
          </a:prstGeom>
          <a:solidFill>
            <a:srgbClr val="F3EEF0"/>
          </a:solidFill>
          <a:ln>
            <a:noFill/>
          </a:ln>
          <a:effectLst>
            <a:outerShdw blurRad="44450" dist="27940" dir="5400000" algn="ctr">
              <a:srgbClr val="000000">
                <a:alpha val="32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ysClr val="windowText" lastClr="000000"/>
              </a:solidFill>
            </a:endParaRPr>
          </a:p>
        </xdr:txBody>
      </xdr:sp>
      <xdr:sp macro="" textlink="">
        <xdr:nvSpPr>
          <xdr:cNvPr id="7" name="TextBox 6"/>
          <xdr:cNvSpPr txBox="1"/>
        </xdr:nvSpPr>
        <xdr:spPr>
          <a:xfrm>
            <a:off x="5448300" y="238125"/>
            <a:ext cx="1114425" cy="257175"/>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rgbClr val="717171"/>
                </a:solidFill>
                <a:latin typeface="Gotham"/>
              </a:rPr>
              <a:t>Home</a:t>
            </a:r>
            <a:endParaRPr lang="en-US" sz="1100" b="1">
              <a:solidFill>
                <a:srgbClr val="717171"/>
              </a:solidFill>
              <a:latin typeface="Gotham"/>
            </a:endParaRPr>
          </a:p>
        </xdr:txBody>
      </xdr:sp>
    </xdr:grpSp>
    <xdr:clientData/>
  </xdr:twoCellAnchor>
  <xdr:twoCellAnchor>
    <xdr:from>
      <xdr:col>0</xdr:col>
      <xdr:colOff>295275</xdr:colOff>
      <xdr:row>5</xdr:row>
      <xdr:rowOff>133349</xdr:rowOff>
    </xdr:from>
    <xdr:to>
      <xdr:col>7</xdr:col>
      <xdr:colOff>133350</xdr:colOff>
      <xdr:row>27</xdr:row>
      <xdr:rowOff>38100</xdr:rowOff>
    </xdr:to>
    <xdr:sp macro="" textlink="">
      <xdr:nvSpPr>
        <xdr:cNvPr id="8" name="Donut 7"/>
        <xdr:cNvSpPr/>
      </xdr:nvSpPr>
      <xdr:spPr>
        <a:xfrm>
          <a:off x="295275" y="1085849"/>
          <a:ext cx="4105275" cy="4095751"/>
        </a:xfrm>
        <a:prstGeom prst="donut">
          <a:avLst>
            <a:gd name="adj" fmla="val 4679"/>
          </a:avLst>
        </a:prstGeom>
        <a:solidFill>
          <a:srgbClr val="BCBCBC"/>
        </a:solidFill>
        <a:ln>
          <a:solidFill>
            <a:srgbClr val="BCBCB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xdr:col>
      <xdr:colOff>307428</xdr:colOff>
      <xdr:row>11</xdr:row>
      <xdr:rowOff>149086</xdr:rowOff>
    </xdr:from>
    <xdr:to>
      <xdr:col>6</xdr:col>
      <xdr:colOff>95645</xdr:colOff>
      <xdr:row>23</xdr:row>
      <xdr:rowOff>148269</xdr:rowOff>
    </xdr:to>
    <xdr:grpSp>
      <xdr:nvGrpSpPr>
        <xdr:cNvPr id="23" name="Group 22"/>
        <xdr:cNvGrpSpPr/>
      </xdr:nvGrpSpPr>
      <xdr:grpSpPr>
        <a:xfrm>
          <a:off x="917028" y="2244586"/>
          <a:ext cx="2836217" cy="2285183"/>
          <a:chOff x="917028" y="2149336"/>
          <a:chExt cx="2836217" cy="2285183"/>
        </a:xfrm>
      </xdr:grpSpPr>
      <xdr:sp macro="" textlink="">
        <xdr:nvSpPr>
          <xdr:cNvPr id="9" name="TextBox 8"/>
          <xdr:cNvSpPr txBox="1"/>
        </xdr:nvSpPr>
        <xdr:spPr>
          <a:xfrm>
            <a:off x="917028" y="2149336"/>
            <a:ext cx="2836217" cy="22851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rgbClr val="EB012A"/>
                </a:solidFill>
                <a:latin typeface="Gotham"/>
              </a:rPr>
              <a:t>KEY INSIGHTS </a:t>
            </a:r>
          </a:p>
          <a:p>
            <a:pPr algn="ctr"/>
            <a:r>
              <a:rPr lang="en-US" sz="1800" b="1" baseline="0">
                <a:solidFill>
                  <a:srgbClr val="EB012A"/>
                </a:solidFill>
                <a:latin typeface="Gotham"/>
              </a:rPr>
              <a:t>OF</a:t>
            </a:r>
          </a:p>
          <a:p>
            <a:pPr algn="ctr"/>
            <a:r>
              <a:rPr lang="en-US" sz="1800" b="1" baseline="0">
                <a:solidFill>
                  <a:srgbClr val="EB012A"/>
                </a:solidFill>
                <a:latin typeface="Gotham"/>
              </a:rPr>
              <a:t>REAL ESTATE REPORT </a:t>
            </a:r>
            <a:endParaRPr lang="en-US" sz="1800" b="1">
              <a:solidFill>
                <a:srgbClr val="EB012A"/>
              </a:solidFill>
              <a:latin typeface="Gotham"/>
            </a:endParaRPr>
          </a:p>
        </xdr:txBody>
      </xdr:sp>
      <xdr:cxnSp macro="">
        <xdr:nvCxnSpPr>
          <xdr:cNvPr id="12" name="Straight Connector 11"/>
          <xdr:cNvCxnSpPr/>
        </xdr:nvCxnSpPr>
        <xdr:spPr>
          <a:xfrm>
            <a:off x="1342886" y="2615163"/>
            <a:ext cx="1993017" cy="0"/>
          </a:xfrm>
          <a:prstGeom prst="line">
            <a:avLst/>
          </a:prstGeom>
          <a:ln w="19050">
            <a:solidFill>
              <a:srgbClr val="BCBCBC"/>
            </a:solidFill>
          </a:ln>
        </xdr:spPr>
        <xdr:style>
          <a:lnRef idx="1">
            <a:schemeClr val="accent1"/>
          </a:lnRef>
          <a:fillRef idx="0">
            <a:schemeClr val="accent1"/>
          </a:fillRef>
          <a:effectRef idx="0">
            <a:schemeClr val="accent1"/>
          </a:effectRef>
          <a:fontRef idx="minor">
            <a:schemeClr val="tx1"/>
          </a:fontRef>
        </xdr:style>
      </xdr:cxnSp>
      <xdr:cxnSp macro="">
        <xdr:nvCxnSpPr>
          <xdr:cNvPr id="13" name="Straight Connector 12"/>
          <xdr:cNvCxnSpPr/>
        </xdr:nvCxnSpPr>
        <xdr:spPr>
          <a:xfrm>
            <a:off x="1342886" y="4030218"/>
            <a:ext cx="1993017" cy="0"/>
          </a:xfrm>
          <a:prstGeom prst="line">
            <a:avLst/>
          </a:prstGeom>
          <a:ln w="19050">
            <a:solidFill>
              <a:srgbClr val="BCBCBC"/>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8</xdr:col>
      <xdr:colOff>323848</xdr:colOff>
      <xdr:row>4</xdr:row>
      <xdr:rowOff>142875</xdr:rowOff>
    </xdr:from>
    <xdr:to>
      <xdr:col>20</xdr:col>
      <xdr:colOff>104775</xdr:colOff>
      <xdr:row>28</xdr:row>
      <xdr:rowOff>95250</xdr:rowOff>
    </xdr:to>
    <xdr:grpSp>
      <xdr:nvGrpSpPr>
        <xdr:cNvPr id="22" name="Group 21"/>
        <xdr:cNvGrpSpPr/>
      </xdr:nvGrpSpPr>
      <xdr:grpSpPr>
        <a:xfrm>
          <a:off x="5200648" y="904875"/>
          <a:ext cx="7096127" cy="4524375"/>
          <a:chOff x="5200648" y="904875"/>
          <a:chExt cx="7096127" cy="4524375"/>
        </a:xfrm>
      </xdr:grpSpPr>
      <xdr:sp macro="" textlink="">
        <xdr:nvSpPr>
          <xdr:cNvPr id="15" name="TextBox 14"/>
          <xdr:cNvSpPr txBox="1"/>
        </xdr:nvSpPr>
        <xdr:spPr>
          <a:xfrm>
            <a:off x="5200651" y="914401"/>
            <a:ext cx="1981200" cy="14996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EB012A"/>
                </a:solidFill>
                <a:latin typeface="Gotham"/>
              </a:rPr>
              <a:t>KPI</a:t>
            </a:r>
          </a:p>
          <a:p>
            <a:pPr algn="l"/>
            <a:endParaRPr lang="en-US" sz="500" b="0">
              <a:latin typeface="Gotham"/>
            </a:endParaRPr>
          </a:p>
          <a:p>
            <a:pPr algn="l"/>
            <a:r>
              <a:rPr lang="en-US" sz="1100" b="0" i="1">
                <a:solidFill>
                  <a:srgbClr val="717171"/>
                </a:solidFill>
                <a:latin typeface="Gotham"/>
              </a:rPr>
              <a:t>Overall</a:t>
            </a:r>
            <a:r>
              <a:rPr lang="en-US" sz="1100" b="0" i="1" baseline="0">
                <a:solidFill>
                  <a:srgbClr val="717171"/>
                </a:solidFill>
                <a:latin typeface="Gotham"/>
              </a:rPr>
              <a:t> Qty. Sold is 4269, Sales Total is $ 252 M, </a:t>
            </a:r>
          </a:p>
          <a:p>
            <a:pPr algn="l"/>
            <a:r>
              <a:rPr lang="en-US" sz="1100" b="0" i="1" baseline="0">
                <a:solidFill>
                  <a:srgbClr val="717171"/>
                </a:solidFill>
                <a:latin typeface="Gotham"/>
              </a:rPr>
              <a:t>Cost Total is $ 157 M, Other Expenses is $ 94.6 M and Net Loss is $ 667 K.</a:t>
            </a:r>
            <a:endParaRPr lang="en-US" sz="1100" b="0" i="1">
              <a:solidFill>
                <a:srgbClr val="717171"/>
              </a:solidFill>
              <a:latin typeface="Gotham"/>
            </a:endParaRPr>
          </a:p>
        </xdr:txBody>
      </xdr:sp>
      <xdr:sp macro="" textlink="">
        <xdr:nvSpPr>
          <xdr:cNvPr id="16" name="TextBox 15"/>
          <xdr:cNvSpPr txBox="1"/>
        </xdr:nvSpPr>
        <xdr:spPr>
          <a:xfrm>
            <a:off x="7486648" y="914400"/>
            <a:ext cx="1984248" cy="14996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EB012A"/>
                </a:solidFill>
                <a:latin typeface="Gotham"/>
              </a:rPr>
              <a:t>Property</a:t>
            </a:r>
            <a:r>
              <a:rPr lang="en-US" sz="1100" b="1" baseline="0">
                <a:solidFill>
                  <a:srgbClr val="EB012A"/>
                </a:solidFill>
                <a:latin typeface="Gotham"/>
              </a:rPr>
              <a:t> Type &amp; Location</a:t>
            </a:r>
          </a:p>
          <a:p>
            <a:pPr algn="l"/>
            <a:endParaRPr lang="en-US" sz="500" b="0">
              <a:latin typeface="+mn-lt"/>
            </a:endParaRPr>
          </a:p>
          <a:p>
            <a:pPr algn="l"/>
            <a:r>
              <a:rPr lang="en-US" sz="1100" b="0" i="1">
                <a:solidFill>
                  <a:srgbClr val="717171"/>
                </a:solidFill>
                <a:latin typeface="Gotham"/>
              </a:rPr>
              <a:t>Highest Selling Property is 3 Bedroom.</a:t>
            </a:r>
          </a:p>
          <a:p>
            <a:pPr algn="l"/>
            <a:r>
              <a:rPr lang="en-US" sz="1100" b="0" i="1">
                <a:solidFill>
                  <a:srgbClr val="717171"/>
                </a:solidFill>
                <a:latin typeface="Gotham"/>
              </a:rPr>
              <a:t>Highest</a:t>
            </a:r>
            <a:r>
              <a:rPr lang="en-US" sz="1100" b="0" i="1" baseline="0">
                <a:solidFill>
                  <a:srgbClr val="717171"/>
                </a:solidFill>
                <a:latin typeface="Gotham"/>
              </a:rPr>
              <a:t> Selling</a:t>
            </a:r>
            <a:r>
              <a:rPr lang="en-US" sz="1100" b="0" i="1">
                <a:solidFill>
                  <a:srgbClr val="717171"/>
                </a:solidFill>
                <a:latin typeface="Gotham"/>
              </a:rPr>
              <a:t> Location is Adeliade.</a:t>
            </a:r>
          </a:p>
        </xdr:txBody>
      </xdr:sp>
      <xdr:sp macro="" textlink="">
        <xdr:nvSpPr>
          <xdr:cNvPr id="17" name="TextBox 16"/>
          <xdr:cNvSpPr txBox="1"/>
        </xdr:nvSpPr>
        <xdr:spPr>
          <a:xfrm>
            <a:off x="7486648" y="2514598"/>
            <a:ext cx="1984248" cy="14996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EB012A"/>
                </a:solidFill>
                <a:latin typeface="Gotham"/>
              </a:rPr>
              <a:t>Property</a:t>
            </a:r>
            <a:r>
              <a:rPr lang="en-US" sz="1100" b="1" baseline="0">
                <a:solidFill>
                  <a:srgbClr val="EB012A"/>
                </a:solidFill>
                <a:latin typeface="Gotham"/>
              </a:rPr>
              <a:t> Type &amp; Location</a:t>
            </a:r>
          </a:p>
          <a:p>
            <a:pPr algn="l"/>
            <a:endParaRPr lang="en-US" sz="500" b="0">
              <a:latin typeface="+mn-lt"/>
            </a:endParaRPr>
          </a:p>
          <a:p>
            <a:pPr algn="l"/>
            <a:r>
              <a:rPr lang="en-US" sz="1100" b="0" i="1">
                <a:solidFill>
                  <a:srgbClr val="717171"/>
                </a:solidFill>
                <a:latin typeface="Gotham"/>
              </a:rPr>
              <a:t>Highest Sales</a:t>
            </a:r>
            <a:r>
              <a:rPr lang="en-US" sz="1100" b="0" i="1" baseline="0">
                <a:solidFill>
                  <a:srgbClr val="717171"/>
                </a:solidFill>
                <a:latin typeface="Gotham"/>
              </a:rPr>
              <a:t> generated by one of the Sales Person Jayson Candler and its sale is $ 94 M in FY and</a:t>
            </a:r>
          </a:p>
          <a:p>
            <a:pPr algn="l"/>
            <a:r>
              <a:rPr lang="en-US" sz="1100" b="0" i="1" baseline="0">
                <a:solidFill>
                  <a:srgbClr val="717171"/>
                </a:solidFill>
                <a:latin typeface="Gotham"/>
              </a:rPr>
              <a:t>Lowest Sales generated by Nia Gallegos and its sales is $ 25 M FY.</a:t>
            </a:r>
            <a:endParaRPr lang="en-US" sz="1100" b="0" i="1">
              <a:solidFill>
                <a:srgbClr val="717171"/>
              </a:solidFill>
              <a:latin typeface="Gotham"/>
            </a:endParaRPr>
          </a:p>
        </xdr:txBody>
      </xdr:sp>
      <xdr:sp macro="" textlink="">
        <xdr:nvSpPr>
          <xdr:cNvPr id="18" name="TextBox 17"/>
          <xdr:cNvSpPr txBox="1"/>
        </xdr:nvSpPr>
        <xdr:spPr>
          <a:xfrm>
            <a:off x="5200648" y="2514599"/>
            <a:ext cx="1984248" cy="14996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baseline="0">
                <a:solidFill>
                  <a:srgbClr val="EB012A"/>
                </a:solidFill>
                <a:latin typeface="Gotham"/>
              </a:rPr>
              <a:t>Sales Growth %</a:t>
            </a:r>
          </a:p>
          <a:p>
            <a:pPr algn="l"/>
            <a:endParaRPr lang="en-US" sz="500" b="0">
              <a:latin typeface="+mn-lt"/>
            </a:endParaRPr>
          </a:p>
          <a:p>
            <a:pPr algn="l"/>
            <a:r>
              <a:rPr lang="en-US" sz="1100" b="0" i="1">
                <a:solidFill>
                  <a:srgbClr val="717171"/>
                </a:solidFill>
                <a:latin typeface="Gotham"/>
              </a:rPr>
              <a:t>Highest Selling growth is 47% which is 3 Bedroom Property</a:t>
            </a:r>
            <a:r>
              <a:rPr lang="en-US" sz="1100" b="0" i="1" baseline="0">
                <a:solidFill>
                  <a:srgbClr val="717171"/>
                </a:solidFill>
                <a:latin typeface="Gotham"/>
              </a:rPr>
              <a:t> Type and Lowest growth is 20% which is </a:t>
            </a:r>
          </a:p>
          <a:p>
            <a:pPr algn="l"/>
            <a:r>
              <a:rPr lang="en-US" sz="1100" b="0" i="1" baseline="0">
                <a:solidFill>
                  <a:srgbClr val="717171"/>
                </a:solidFill>
                <a:latin typeface="Gotham"/>
              </a:rPr>
              <a:t>1 Bedroom Property.</a:t>
            </a:r>
            <a:endParaRPr lang="en-US" sz="1100" b="0" i="1">
              <a:solidFill>
                <a:srgbClr val="717171"/>
              </a:solidFill>
              <a:latin typeface="Gotham"/>
            </a:endParaRPr>
          </a:p>
        </xdr:txBody>
      </xdr:sp>
      <xdr:sp macro="" textlink="">
        <xdr:nvSpPr>
          <xdr:cNvPr id="19" name="TextBox 18"/>
          <xdr:cNvSpPr txBox="1"/>
        </xdr:nvSpPr>
        <xdr:spPr>
          <a:xfrm>
            <a:off x="9772648" y="904875"/>
            <a:ext cx="2514601" cy="31051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baseline="0">
                <a:solidFill>
                  <a:srgbClr val="EB012A"/>
                </a:solidFill>
                <a:latin typeface="Gotham"/>
              </a:rPr>
              <a:t>Sales Months</a:t>
            </a:r>
          </a:p>
          <a:p>
            <a:pPr algn="l"/>
            <a:endParaRPr lang="en-US" sz="500" b="0">
              <a:latin typeface="+mn-lt"/>
            </a:endParaRPr>
          </a:p>
          <a:p>
            <a:pPr algn="l"/>
            <a:r>
              <a:rPr lang="en-US" sz="1100" b="0" i="1">
                <a:solidFill>
                  <a:srgbClr val="717171"/>
                </a:solidFill>
                <a:latin typeface="Gotham"/>
              </a:rPr>
              <a:t>Highest Sales recorded in December Month which</a:t>
            </a:r>
            <a:r>
              <a:rPr lang="en-US" sz="1100" b="0" i="1" baseline="0">
                <a:solidFill>
                  <a:srgbClr val="717171"/>
                </a:solidFill>
                <a:latin typeface="Gotham"/>
              </a:rPr>
              <a:t> is $ 26 M</a:t>
            </a:r>
            <a:r>
              <a:rPr lang="en-US" sz="1100" b="0" i="1">
                <a:solidFill>
                  <a:srgbClr val="717171"/>
                </a:solidFill>
                <a:latin typeface="Gotham"/>
              </a:rPr>
              <a:t> and higest</a:t>
            </a:r>
            <a:r>
              <a:rPr lang="en-US" sz="1100" b="0" i="1" baseline="0">
                <a:solidFill>
                  <a:srgbClr val="717171"/>
                </a:solidFill>
                <a:latin typeface="Gotham"/>
              </a:rPr>
              <a:t> loss recorded in same month which is $ 68 K.</a:t>
            </a:r>
          </a:p>
          <a:p>
            <a:pPr algn="l"/>
            <a:endParaRPr lang="en-US" sz="1100" b="0" i="1" baseline="0">
              <a:solidFill>
                <a:srgbClr val="717171"/>
              </a:solidFill>
              <a:latin typeface="Gotham"/>
            </a:endParaRPr>
          </a:p>
          <a:p>
            <a:pPr algn="l"/>
            <a:r>
              <a:rPr lang="en-US" sz="1100" b="0" i="1" baseline="0">
                <a:solidFill>
                  <a:srgbClr val="717171"/>
                </a:solidFill>
                <a:latin typeface="Gotham"/>
              </a:rPr>
              <a:t>Lowest Sales recorded in January Month which is $ 11 M and lowest loss recorded in same month which is $ 32 K.</a:t>
            </a:r>
            <a:endParaRPr lang="en-US" sz="1100" b="0" i="1">
              <a:solidFill>
                <a:srgbClr val="717171"/>
              </a:solidFill>
              <a:latin typeface="Gotham"/>
            </a:endParaRPr>
          </a:p>
        </xdr:txBody>
      </xdr:sp>
      <xdr:sp macro="" textlink="">
        <xdr:nvSpPr>
          <xdr:cNvPr id="21" name="TextBox 20"/>
          <xdr:cNvSpPr txBox="1"/>
        </xdr:nvSpPr>
        <xdr:spPr>
          <a:xfrm>
            <a:off x="5200650" y="4114801"/>
            <a:ext cx="7096125" cy="13144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baseline="0">
                <a:solidFill>
                  <a:srgbClr val="EB012A"/>
                </a:solidFill>
                <a:latin typeface="Gotham"/>
              </a:rPr>
              <a:t>Summary Analysis</a:t>
            </a:r>
          </a:p>
          <a:p>
            <a:pPr algn="l"/>
            <a:endParaRPr lang="en-US" sz="500" b="0">
              <a:latin typeface="+mn-lt"/>
            </a:endParaRPr>
          </a:p>
          <a:p>
            <a:pPr algn="l"/>
            <a:r>
              <a:rPr lang="en-US" sz="1100" b="0" i="1">
                <a:solidFill>
                  <a:srgbClr val="717171"/>
                </a:solidFill>
                <a:latin typeface="Gotham"/>
              </a:rPr>
              <a:t>On the basis</a:t>
            </a:r>
            <a:r>
              <a:rPr lang="en-US" sz="1100" b="0" i="1" baseline="0">
                <a:solidFill>
                  <a:srgbClr val="717171"/>
                </a:solidFill>
                <a:latin typeface="Gotham"/>
              </a:rPr>
              <a:t> of report the cunclusion is 'Other Expenses are $ 94.6 M this Expense is Incurred in the FY Year. Other Exp. is high on every location, property type and all months. Other Exp. is the major reason of Loss, if we reduce the unnesecery exp. or reduce some cost that will we surely recover the loss or make the profit of next FY Year. </a:t>
            </a:r>
            <a:endParaRPr lang="en-US" sz="1100" b="0" i="1">
              <a:solidFill>
                <a:srgbClr val="717171"/>
              </a:solidFill>
              <a:latin typeface="Gotham"/>
            </a:endParaRPr>
          </a:p>
        </xdr:txBody>
      </xdr:sp>
    </xdr:grpSp>
    <xdr:clientData/>
  </xdr:twoCellAnchor>
  <xdr:twoCellAnchor editAs="oneCell">
    <xdr:from>
      <xdr:col>0</xdr:col>
      <xdr:colOff>142875</xdr:colOff>
      <xdr:row>0</xdr:row>
      <xdr:rowOff>9525</xdr:rowOff>
    </xdr:from>
    <xdr:to>
      <xdr:col>1</xdr:col>
      <xdr:colOff>219073</xdr:colOff>
      <xdr:row>3</xdr:row>
      <xdr:rowOff>123823</xdr:rowOff>
    </xdr:to>
    <xdr:pic>
      <xdr:nvPicPr>
        <xdr:cNvPr id="24" name="Picture 23"/>
        <xdr:cNvPicPr>
          <a:picLocks noChangeAspect="1"/>
        </xdr:cNvPicPr>
      </xdr:nvPicPr>
      <xdr:blipFill>
        <a:blip xmlns:r="http://schemas.openxmlformats.org/officeDocument/2006/relationships" r:embed="rId2" cstate="print">
          <a:clrChange>
            <a:clrFrom>
              <a:srgbClr val="EB012A"/>
            </a:clrFrom>
            <a:clrTo>
              <a:srgbClr val="EB012A">
                <a:alpha val="0"/>
              </a:srgbClr>
            </a:clrTo>
          </a:clrChange>
          <a:extLst>
            <a:ext uri="{28A0092B-C50C-407E-A947-70E740481C1C}">
              <a14:useLocalDpi xmlns:a14="http://schemas.microsoft.com/office/drawing/2010/main" val="0"/>
            </a:ext>
          </a:extLst>
        </a:blip>
        <a:stretch>
          <a:fillRect/>
        </a:stretch>
      </xdr:blipFill>
      <xdr:spPr>
        <a:xfrm>
          <a:off x="142875" y="9525"/>
          <a:ext cx="685798" cy="685798"/>
        </a:xfrm>
        <a:prstGeom prst="rect">
          <a:avLst/>
        </a:prstGeom>
      </xdr:spPr>
    </xdr:pic>
    <xdr:clientData/>
  </xdr:twoCellAnchor>
  <xdr:twoCellAnchor editAs="oneCell">
    <xdr:from>
      <xdr:col>2</xdr:col>
      <xdr:colOff>542925</xdr:colOff>
      <xdr:row>7</xdr:row>
      <xdr:rowOff>142875</xdr:rowOff>
    </xdr:from>
    <xdr:to>
      <xdr:col>4</xdr:col>
      <xdr:colOff>485775</xdr:colOff>
      <xdr:row>13</xdr:row>
      <xdr:rowOff>161925</xdr:rowOff>
    </xdr:to>
    <xdr:pic>
      <xdr:nvPicPr>
        <xdr:cNvPr id="26" name="Picture 25"/>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62125" y="1476375"/>
          <a:ext cx="1162050" cy="11620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yaan Sharma" refreshedDate="45498.771798958333" createdVersion="4" refreshedVersion="4" minRefreshableVersion="3" recordCount="3289">
  <cacheSource type="worksheet">
    <worksheetSource name="Table1"/>
  </cacheSource>
  <cacheFields count="15">
    <cacheField name="SaleDate" numFmtId="14">
      <sharedItems containsSemiMixedTypes="0" containsNonDate="0" containsDate="1" containsString="0" minDate="2023-01-01T00:00:00" maxDate="2024-01-01T00:00:00"/>
    </cacheField>
    <cacheField name="States" numFmtId="0">
      <sharedItems count="4">
        <s v="South Australia"/>
        <s v="Australian Capital Territory"/>
        <s v="Victoria"/>
        <s v="New South Wales"/>
      </sharedItems>
    </cacheField>
    <cacheField name="Location" numFmtId="0">
      <sharedItems count="4">
        <s v="Adelaide"/>
        <s v="Canberra"/>
        <s v="Melbourne"/>
        <s v="Sydney"/>
      </sharedItems>
    </cacheField>
    <cacheField name="Qty" numFmtId="0">
      <sharedItems containsSemiMixedTypes="0" containsString="0" containsNumber="1" containsInteger="1" minValue="1" maxValue="2"/>
    </cacheField>
    <cacheField name="PropertyType" numFmtId="0">
      <sharedItems count="3">
        <s v="1 Bedroom"/>
        <s v="2 Bedrooms"/>
        <s v="3 Bedrooms"/>
      </sharedItems>
    </cacheField>
    <cacheField name="SellingPrice" numFmtId="0">
      <sharedItems containsSemiMixedTypes="0" containsString="0" containsNumber="1" containsInteger="1" minValue="33000" maxValue="89000"/>
    </cacheField>
    <cacheField name="CostPrice" numFmtId="0">
      <sharedItems containsSemiMixedTypes="0" containsString="0" containsNumber="1" containsInteger="1" minValue="18000" maxValue="65000"/>
    </cacheField>
    <cacheField name="TotalSales" numFmtId="0">
      <sharedItems containsSemiMixedTypes="0" containsString="0" containsNumber="1" containsInteger="1" minValue="33000" maxValue="178000"/>
    </cacheField>
    <cacheField name="TotaCost" numFmtId="0">
      <sharedItems containsSemiMixedTypes="0" containsString="0" containsNumber="1" containsInteger="1" minValue="18000" maxValue="130000"/>
    </cacheField>
    <cacheField name="OtherExp." numFmtId="0">
      <sharedItems containsSemiMixedTypes="0" containsString="0" containsNumber="1" containsInteger="1" minValue="14895" maxValue="57594"/>
    </cacheField>
    <cacheField name="TotalLoss" numFmtId="0">
      <sharedItems containsSemiMixedTypes="0" containsString="0" containsNumber="1" minValue="104.99999999999999" maxValue="405.99999999999994"/>
    </cacheField>
    <cacheField name="Distance" numFmtId="0">
      <sharedItems/>
    </cacheField>
    <cacheField name="SalesPerson" numFmtId="0">
      <sharedItems count="4">
        <s v="Enid Maddox"/>
        <s v="Virginia Senior"/>
        <s v="Nia Gallegos"/>
        <s v="Jayson Chandler"/>
      </sharedItems>
    </cacheField>
    <cacheField name="MonthNo." numFmtId="0">
      <sharedItems containsSemiMixedTypes="0" containsString="0" containsNumber="1" containsInteger="1" minValue="1" maxValue="12"/>
    </cacheField>
    <cacheField name="MonthName" numFmtId="0">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289">
  <r>
    <d v="2023-01-01T00:00:00"/>
    <x v="0"/>
    <x v="0"/>
    <n v="1"/>
    <x v="0"/>
    <n v="33000"/>
    <n v="18000"/>
    <n v="33000"/>
    <n v="18000"/>
    <n v="14895"/>
    <n v="104.99999999999999"/>
    <s v="11 mns"/>
    <x v="0"/>
    <n v="1"/>
    <x v="0"/>
  </r>
  <r>
    <d v="2023-01-01T00:00:00"/>
    <x v="1"/>
    <x v="1"/>
    <n v="1"/>
    <x v="0"/>
    <n v="33000"/>
    <n v="18000"/>
    <n v="33000"/>
    <n v="18000"/>
    <n v="14895"/>
    <n v="104.99999999999999"/>
    <s v="58 mns"/>
    <x v="0"/>
    <n v="1"/>
    <x v="0"/>
  </r>
  <r>
    <d v="2023-01-01T00:00:00"/>
    <x v="2"/>
    <x v="2"/>
    <n v="1"/>
    <x v="0"/>
    <n v="33000"/>
    <n v="18000"/>
    <n v="33000"/>
    <n v="18000"/>
    <n v="14895"/>
    <n v="104.99999999999999"/>
    <s v="30 mns"/>
    <x v="1"/>
    <n v="1"/>
    <x v="0"/>
  </r>
  <r>
    <d v="2023-01-01T00:00:00"/>
    <x v="3"/>
    <x v="3"/>
    <n v="1"/>
    <x v="0"/>
    <n v="33000"/>
    <n v="18000"/>
    <n v="33000"/>
    <n v="18000"/>
    <n v="14895"/>
    <n v="104.99999999999999"/>
    <s v="35 mns"/>
    <x v="1"/>
    <n v="1"/>
    <x v="0"/>
  </r>
  <r>
    <d v="2023-01-02T00:00:00"/>
    <x v="0"/>
    <x v="0"/>
    <n v="1"/>
    <x v="0"/>
    <n v="33000"/>
    <n v="18000"/>
    <n v="33000"/>
    <n v="18000"/>
    <n v="14895"/>
    <n v="104.99999999999999"/>
    <s v="11 mns"/>
    <x v="2"/>
    <n v="1"/>
    <x v="0"/>
  </r>
  <r>
    <d v="2023-01-02T00:00:00"/>
    <x v="1"/>
    <x v="1"/>
    <n v="1"/>
    <x v="0"/>
    <n v="33000"/>
    <n v="18000"/>
    <n v="33000"/>
    <n v="18000"/>
    <n v="14895"/>
    <n v="104.99999999999999"/>
    <s v="58 mns"/>
    <x v="0"/>
    <n v="1"/>
    <x v="0"/>
  </r>
  <r>
    <d v="2023-01-02T00:00:00"/>
    <x v="2"/>
    <x v="2"/>
    <n v="1"/>
    <x v="0"/>
    <n v="33000"/>
    <n v="18000"/>
    <n v="33000"/>
    <n v="18000"/>
    <n v="14895"/>
    <n v="104.99999999999999"/>
    <s v="30 mns"/>
    <x v="0"/>
    <n v="1"/>
    <x v="0"/>
  </r>
  <r>
    <d v="2023-01-02T00:00:00"/>
    <x v="3"/>
    <x v="3"/>
    <n v="1"/>
    <x v="0"/>
    <n v="33000"/>
    <n v="18000"/>
    <n v="33000"/>
    <n v="18000"/>
    <n v="14895"/>
    <n v="104.99999999999999"/>
    <s v="35 mns"/>
    <x v="1"/>
    <n v="1"/>
    <x v="0"/>
  </r>
  <r>
    <d v="2023-01-03T00:00:00"/>
    <x v="0"/>
    <x v="0"/>
    <n v="2"/>
    <x v="0"/>
    <n v="33000"/>
    <n v="18000"/>
    <n v="66000"/>
    <n v="36000"/>
    <n v="29790"/>
    <n v="209.99999999999997"/>
    <s v="11 mns"/>
    <x v="0"/>
    <n v="1"/>
    <x v="0"/>
  </r>
  <r>
    <d v="2023-01-03T00:00:00"/>
    <x v="0"/>
    <x v="0"/>
    <n v="2"/>
    <x v="1"/>
    <n v="60000"/>
    <n v="31000"/>
    <n v="120000"/>
    <n v="62000"/>
    <n v="57594"/>
    <n v="405.99999999999994"/>
    <s v="11 mns"/>
    <x v="3"/>
    <n v="1"/>
    <x v="0"/>
  </r>
  <r>
    <d v="2023-01-03T00:00:00"/>
    <x v="1"/>
    <x v="1"/>
    <n v="2"/>
    <x v="0"/>
    <n v="33000"/>
    <n v="18000"/>
    <n v="66000"/>
    <n v="36000"/>
    <n v="29790"/>
    <n v="209.99999999999997"/>
    <s v="58 mns"/>
    <x v="1"/>
    <n v="1"/>
    <x v="0"/>
  </r>
  <r>
    <d v="2023-01-03T00:00:00"/>
    <x v="1"/>
    <x v="1"/>
    <n v="2"/>
    <x v="1"/>
    <n v="60000"/>
    <n v="31000"/>
    <n v="120000"/>
    <n v="62000"/>
    <n v="57594"/>
    <n v="405.99999999999994"/>
    <s v="58 mns"/>
    <x v="1"/>
    <n v="1"/>
    <x v="0"/>
  </r>
  <r>
    <d v="2023-01-03T00:00:00"/>
    <x v="2"/>
    <x v="2"/>
    <n v="2"/>
    <x v="0"/>
    <n v="33000"/>
    <n v="18000"/>
    <n v="66000"/>
    <n v="36000"/>
    <n v="29790"/>
    <n v="209.99999999999997"/>
    <s v="30 mns"/>
    <x v="2"/>
    <n v="1"/>
    <x v="0"/>
  </r>
  <r>
    <d v="2023-01-03T00:00:00"/>
    <x v="2"/>
    <x v="2"/>
    <n v="2"/>
    <x v="1"/>
    <n v="60000"/>
    <n v="31000"/>
    <n v="120000"/>
    <n v="62000"/>
    <n v="57594"/>
    <n v="405.99999999999994"/>
    <s v="30 mns"/>
    <x v="3"/>
    <n v="1"/>
    <x v="0"/>
  </r>
  <r>
    <d v="2023-01-03T00:00:00"/>
    <x v="3"/>
    <x v="3"/>
    <n v="2"/>
    <x v="0"/>
    <n v="33000"/>
    <n v="18000"/>
    <n v="66000"/>
    <n v="36000"/>
    <n v="29790"/>
    <n v="209.99999999999997"/>
    <s v="35 mns"/>
    <x v="3"/>
    <n v="1"/>
    <x v="0"/>
  </r>
  <r>
    <d v="2023-01-03T00:00:00"/>
    <x v="3"/>
    <x v="3"/>
    <n v="2"/>
    <x v="1"/>
    <n v="60000"/>
    <n v="31000"/>
    <n v="120000"/>
    <n v="62000"/>
    <n v="57594"/>
    <n v="405.99999999999994"/>
    <s v="35 mns"/>
    <x v="1"/>
    <n v="1"/>
    <x v="0"/>
  </r>
  <r>
    <d v="2023-01-04T00:00:00"/>
    <x v="0"/>
    <x v="0"/>
    <n v="2"/>
    <x v="0"/>
    <n v="33000"/>
    <n v="18000"/>
    <n v="66000"/>
    <n v="36000"/>
    <n v="29790"/>
    <n v="209.99999999999997"/>
    <s v="11 mns"/>
    <x v="2"/>
    <n v="1"/>
    <x v="0"/>
  </r>
  <r>
    <d v="2023-01-04T00:00:00"/>
    <x v="0"/>
    <x v="0"/>
    <n v="2"/>
    <x v="1"/>
    <n v="60000"/>
    <n v="31000"/>
    <n v="120000"/>
    <n v="62000"/>
    <n v="57594"/>
    <n v="405.99999999999994"/>
    <s v="11 mns"/>
    <x v="1"/>
    <n v="1"/>
    <x v="0"/>
  </r>
  <r>
    <d v="2023-01-04T00:00:00"/>
    <x v="1"/>
    <x v="1"/>
    <n v="2"/>
    <x v="0"/>
    <n v="33000"/>
    <n v="18000"/>
    <n v="66000"/>
    <n v="36000"/>
    <n v="29790"/>
    <n v="209.99999999999997"/>
    <s v="58 mns"/>
    <x v="3"/>
    <n v="1"/>
    <x v="0"/>
  </r>
  <r>
    <d v="2023-01-04T00:00:00"/>
    <x v="1"/>
    <x v="1"/>
    <n v="2"/>
    <x v="1"/>
    <n v="60000"/>
    <n v="31000"/>
    <n v="120000"/>
    <n v="62000"/>
    <n v="57594"/>
    <n v="405.99999999999994"/>
    <s v="58 mns"/>
    <x v="3"/>
    <n v="1"/>
    <x v="0"/>
  </r>
  <r>
    <d v="2023-01-04T00:00:00"/>
    <x v="2"/>
    <x v="2"/>
    <n v="2"/>
    <x v="0"/>
    <n v="33000"/>
    <n v="18000"/>
    <n v="66000"/>
    <n v="36000"/>
    <n v="29790"/>
    <n v="209.99999999999997"/>
    <s v="30 mns"/>
    <x v="2"/>
    <n v="1"/>
    <x v="0"/>
  </r>
  <r>
    <d v="2023-01-04T00:00:00"/>
    <x v="2"/>
    <x v="2"/>
    <n v="2"/>
    <x v="1"/>
    <n v="60000"/>
    <n v="31000"/>
    <n v="120000"/>
    <n v="62000"/>
    <n v="57594"/>
    <n v="405.99999999999994"/>
    <s v="30 mns"/>
    <x v="0"/>
    <n v="1"/>
    <x v="0"/>
  </r>
  <r>
    <d v="2023-01-04T00:00:00"/>
    <x v="3"/>
    <x v="3"/>
    <n v="2"/>
    <x v="0"/>
    <n v="33000"/>
    <n v="18000"/>
    <n v="66000"/>
    <n v="36000"/>
    <n v="29790"/>
    <n v="209.99999999999997"/>
    <s v="35 mns"/>
    <x v="3"/>
    <n v="1"/>
    <x v="0"/>
  </r>
  <r>
    <d v="2023-01-04T00:00:00"/>
    <x v="3"/>
    <x v="3"/>
    <n v="2"/>
    <x v="1"/>
    <n v="60000"/>
    <n v="31000"/>
    <n v="120000"/>
    <n v="62000"/>
    <n v="57594"/>
    <n v="405.99999999999994"/>
    <s v="35 mns"/>
    <x v="3"/>
    <n v="1"/>
    <x v="0"/>
  </r>
  <r>
    <d v="2023-01-05T00:00:00"/>
    <x v="0"/>
    <x v="0"/>
    <n v="1"/>
    <x v="0"/>
    <n v="33000"/>
    <n v="18000"/>
    <n v="33000"/>
    <n v="18000"/>
    <n v="14895"/>
    <n v="104.99999999999999"/>
    <s v="11 mns"/>
    <x v="3"/>
    <n v="1"/>
    <x v="0"/>
  </r>
  <r>
    <d v="2023-01-05T00:00:00"/>
    <x v="0"/>
    <x v="0"/>
    <n v="1"/>
    <x v="1"/>
    <n v="60000"/>
    <n v="31000"/>
    <n v="60000"/>
    <n v="31000"/>
    <n v="28797"/>
    <n v="202.99999999999997"/>
    <s v="11 mns"/>
    <x v="3"/>
    <n v="1"/>
    <x v="0"/>
  </r>
  <r>
    <d v="2023-01-05T00:00:00"/>
    <x v="0"/>
    <x v="0"/>
    <n v="1"/>
    <x v="2"/>
    <n v="89000"/>
    <n v="65000"/>
    <n v="89000"/>
    <n v="65000"/>
    <n v="23832"/>
    <n v="167.99999999999997"/>
    <s v="11 mns"/>
    <x v="3"/>
    <n v="1"/>
    <x v="0"/>
  </r>
  <r>
    <d v="2023-01-05T00:00:00"/>
    <x v="1"/>
    <x v="1"/>
    <n v="1"/>
    <x v="0"/>
    <n v="33000"/>
    <n v="18000"/>
    <n v="33000"/>
    <n v="18000"/>
    <n v="14895"/>
    <n v="104.99999999999999"/>
    <s v="58 mns"/>
    <x v="3"/>
    <n v="1"/>
    <x v="0"/>
  </r>
  <r>
    <d v="2023-01-05T00:00:00"/>
    <x v="1"/>
    <x v="1"/>
    <n v="1"/>
    <x v="1"/>
    <n v="60000"/>
    <n v="31000"/>
    <n v="60000"/>
    <n v="31000"/>
    <n v="28797"/>
    <n v="202.99999999999997"/>
    <s v="58 mns"/>
    <x v="2"/>
    <n v="1"/>
    <x v="0"/>
  </r>
  <r>
    <d v="2023-01-05T00:00:00"/>
    <x v="1"/>
    <x v="1"/>
    <n v="1"/>
    <x v="2"/>
    <n v="89000"/>
    <n v="65000"/>
    <n v="89000"/>
    <n v="65000"/>
    <n v="23832"/>
    <n v="167.99999999999997"/>
    <s v="58 mns"/>
    <x v="3"/>
    <n v="1"/>
    <x v="0"/>
  </r>
  <r>
    <d v="2023-01-05T00:00:00"/>
    <x v="2"/>
    <x v="2"/>
    <n v="1"/>
    <x v="1"/>
    <n v="60000"/>
    <n v="31000"/>
    <n v="60000"/>
    <n v="31000"/>
    <n v="28797"/>
    <n v="202.99999999999997"/>
    <s v="30 mns"/>
    <x v="1"/>
    <n v="1"/>
    <x v="0"/>
  </r>
  <r>
    <d v="2023-01-05T00:00:00"/>
    <x v="2"/>
    <x v="2"/>
    <n v="1"/>
    <x v="2"/>
    <n v="89000"/>
    <n v="65000"/>
    <n v="89000"/>
    <n v="65000"/>
    <n v="23832"/>
    <n v="167.99999999999997"/>
    <s v="30 mns"/>
    <x v="3"/>
    <n v="1"/>
    <x v="0"/>
  </r>
  <r>
    <d v="2023-01-05T00:00:00"/>
    <x v="3"/>
    <x v="3"/>
    <n v="1"/>
    <x v="0"/>
    <n v="33000"/>
    <n v="18000"/>
    <n v="33000"/>
    <n v="18000"/>
    <n v="14895"/>
    <n v="104.99999999999999"/>
    <s v="35 mns"/>
    <x v="0"/>
    <n v="1"/>
    <x v="0"/>
  </r>
  <r>
    <d v="2023-01-05T00:00:00"/>
    <x v="3"/>
    <x v="3"/>
    <n v="1"/>
    <x v="1"/>
    <n v="60000"/>
    <n v="31000"/>
    <n v="60000"/>
    <n v="31000"/>
    <n v="28797"/>
    <n v="202.99999999999997"/>
    <s v="35 mns"/>
    <x v="0"/>
    <n v="1"/>
    <x v="0"/>
  </r>
  <r>
    <d v="2023-01-05T00:00:00"/>
    <x v="3"/>
    <x v="3"/>
    <n v="1"/>
    <x v="2"/>
    <n v="89000"/>
    <n v="65000"/>
    <n v="89000"/>
    <n v="65000"/>
    <n v="23832"/>
    <n v="167.99999999999997"/>
    <s v="35 mns"/>
    <x v="3"/>
    <n v="1"/>
    <x v="0"/>
  </r>
  <r>
    <d v="2023-01-06T00:00:00"/>
    <x v="0"/>
    <x v="0"/>
    <n v="1"/>
    <x v="0"/>
    <n v="33000"/>
    <n v="18000"/>
    <n v="33000"/>
    <n v="18000"/>
    <n v="14895"/>
    <n v="104.99999999999999"/>
    <s v="11 mns"/>
    <x v="1"/>
    <n v="1"/>
    <x v="0"/>
  </r>
  <r>
    <d v="2023-01-06T00:00:00"/>
    <x v="0"/>
    <x v="0"/>
    <n v="1"/>
    <x v="1"/>
    <n v="60000"/>
    <n v="31000"/>
    <n v="60000"/>
    <n v="31000"/>
    <n v="28797"/>
    <n v="202.99999999999997"/>
    <s v="11 mns"/>
    <x v="2"/>
    <n v="1"/>
    <x v="0"/>
  </r>
  <r>
    <d v="2023-01-06T00:00:00"/>
    <x v="0"/>
    <x v="0"/>
    <n v="1"/>
    <x v="2"/>
    <n v="89000"/>
    <n v="65000"/>
    <n v="89000"/>
    <n v="65000"/>
    <n v="23832"/>
    <n v="167.99999999999997"/>
    <s v="11 mns"/>
    <x v="3"/>
    <n v="1"/>
    <x v="0"/>
  </r>
  <r>
    <d v="2023-01-06T00:00:00"/>
    <x v="1"/>
    <x v="1"/>
    <n v="1"/>
    <x v="0"/>
    <n v="33000"/>
    <n v="18000"/>
    <n v="33000"/>
    <n v="18000"/>
    <n v="14895"/>
    <n v="104.99999999999999"/>
    <s v="58 mns"/>
    <x v="0"/>
    <n v="1"/>
    <x v="0"/>
  </r>
  <r>
    <d v="2023-01-06T00:00:00"/>
    <x v="1"/>
    <x v="1"/>
    <n v="1"/>
    <x v="1"/>
    <n v="60000"/>
    <n v="31000"/>
    <n v="60000"/>
    <n v="31000"/>
    <n v="28797"/>
    <n v="202.99999999999997"/>
    <s v="58 mns"/>
    <x v="0"/>
    <n v="1"/>
    <x v="0"/>
  </r>
  <r>
    <d v="2023-01-06T00:00:00"/>
    <x v="1"/>
    <x v="1"/>
    <n v="1"/>
    <x v="2"/>
    <n v="89000"/>
    <n v="65000"/>
    <n v="89000"/>
    <n v="65000"/>
    <n v="23832"/>
    <n v="167.99999999999997"/>
    <s v="58 mns"/>
    <x v="1"/>
    <n v="1"/>
    <x v="0"/>
  </r>
  <r>
    <d v="2023-01-06T00:00:00"/>
    <x v="2"/>
    <x v="2"/>
    <n v="1"/>
    <x v="1"/>
    <n v="60000"/>
    <n v="31000"/>
    <n v="60000"/>
    <n v="31000"/>
    <n v="28797"/>
    <n v="202.99999999999997"/>
    <s v="30 mns"/>
    <x v="1"/>
    <n v="1"/>
    <x v="0"/>
  </r>
  <r>
    <d v="2023-01-06T00:00:00"/>
    <x v="2"/>
    <x v="2"/>
    <n v="1"/>
    <x v="2"/>
    <n v="89000"/>
    <n v="65000"/>
    <n v="89000"/>
    <n v="65000"/>
    <n v="23832"/>
    <n v="167.99999999999997"/>
    <s v="30 mns"/>
    <x v="3"/>
    <n v="1"/>
    <x v="0"/>
  </r>
  <r>
    <d v="2023-01-06T00:00:00"/>
    <x v="3"/>
    <x v="3"/>
    <n v="1"/>
    <x v="0"/>
    <n v="33000"/>
    <n v="18000"/>
    <n v="33000"/>
    <n v="18000"/>
    <n v="14895"/>
    <n v="104.99999999999999"/>
    <s v="35 mns"/>
    <x v="1"/>
    <n v="1"/>
    <x v="0"/>
  </r>
  <r>
    <d v="2023-01-06T00:00:00"/>
    <x v="3"/>
    <x v="3"/>
    <n v="1"/>
    <x v="1"/>
    <n v="60000"/>
    <n v="31000"/>
    <n v="60000"/>
    <n v="31000"/>
    <n v="28797"/>
    <n v="202.99999999999997"/>
    <s v="35 mns"/>
    <x v="0"/>
    <n v="1"/>
    <x v="0"/>
  </r>
  <r>
    <d v="2023-01-06T00:00:00"/>
    <x v="3"/>
    <x v="3"/>
    <n v="1"/>
    <x v="2"/>
    <n v="89000"/>
    <n v="65000"/>
    <n v="89000"/>
    <n v="65000"/>
    <n v="23832"/>
    <n v="167.99999999999997"/>
    <s v="35 mns"/>
    <x v="0"/>
    <n v="1"/>
    <x v="0"/>
  </r>
  <r>
    <d v="2023-01-07T00:00:00"/>
    <x v="0"/>
    <x v="0"/>
    <n v="1"/>
    <x v="0"/>
    <n v="33000"/>
    <n v="18000"/>
    <n v="33000"/>
    <n v="18000"/>
    <n v="14895"/>
    <n v="104.99999999999999"/>
    <s v="11 mns"/>
    <x v="2"/>
    <n v="1"/>
    <x v="0"/>
  </r>
  <r>
    <d v="2023-01-07T00:00:00"/>
    <x v="0"/>
    <x v="0"/>
    <n v="1"/>
    <x v="1"/>
    <n v="60000"/>
    <n v="31000"/>
    <n v="60000"/>
    <n v="31000"/>
    <n v="28797"/>
    <n v="202.99999999999997"/>
    <s v="11 mns"/>
    <x v="3"/>
    <n v="1"/>
    <x v="0"/>
  </r>
  <r>
    <d v="2023-01-07T00:00:00"/>
    <x v="0"/>
    <x v="0"/>
    <n v="1"/>
    <x v="2"/>
    <n v="89000"/>
    <n v="65000"/>
    <n v="89000"/>
    <n v="65000"/>
    <n v="23832"/>
    <n v="167.99999999999997"/>
    <s v="11 mns"/>
    <x v="1"/>
    <n v="1"/>
    <x v="0"/>
  </r>
  <r>
    <d v="2023-01-07T00:00:00"/>
    <x v="1"/>
    <x v="1"/>
    <n v="1"/>
    <x v="0"/>
    <n v="33000"/>
    <n v="18000"/>
    <n v="33000"/>
    <n v="18000"/>
    <n v="14895"/>
    <n v="104.99999999999999"/>
    <s v="58 mns"/>
    <x v="3"/>
    <n v="1"/>
    <x v="0"/>
  </r>
  <r>
    <d v="2023-01-07T00:00:00"/>
    <x v="1"/>
    <x v="1"/>
    <n v="1"/>
    <x v="1"/>
    <n v="60000"/>
    <n v="31000"/>
    <n v="60000"/>
    <n v="31000"/>
    <n v="28797"/>
    <n v="202.99999999999997"/>
    <s v="58 mns"/>
    <x v="1"/>
    <n v="1"/>
    <x v="0"/>
  </r>
  <r>
    <d v="2023-01-07T00:00:00"/>
    <x v="1"/>
    <x v="1"/>
    <n v="1"/>
    <x v="2"/>
    <n v="89000"/>
    <n v="65000"/>
    <n v="89000"/>
    <n v="65000"/>
    <n v="23832"/>
    <n v="167.99999999999997"/>
    <s v="58 mns"/>
    <x v="3"/>
    <n v="1"/>
    <x v="0"/>
  </r>
  <r>
    <d v="2023-01-07T00:00:00"/>
    <x v="2"/>
    <x v="2"/>
    <n v="1"/>
    <x v="1"/>
    <n v="60000"/>
    <n v="31000"/>
    <n v="60000"/>
    <n v="31000"/>
    <n v="28797"/>
    <n v="202.99999999999997"/>
    <s v="30 mns"/>
    <x v="3"/>
    <n v="1"/>
    <x v="0"/>
  </r>
  <r>
    <d v="2023-01-07T00:00:00"/>
    <x v="2"/>
    <x v="2"/>
    <n v="1"/>
    <x v="2"/>
    <n v="89000"/>
    <n v="65000"/>
    <n v="89000"/>
    <n v="65000"/>
    <n v="23832"/>
    <n v="167.99999999999997"/>
    <s v="30 mns"/>
    <x v="3"/>
    <n v="1"/>
    <x v="0"/>
  </r>
  <r>
    <d v="2023-01-07T00:00:00"/>
    <x v="3"/>
    <x v="3"/>
    <n v="1"/>
    <x v="0"/>
    <n v="33000"/>
    <n v="18000"/>
    <n v="33000"/>
    <n v="18000"/>
    <n v="14895"/>
    <n v="104.99999999999999"/>
    <s v="35 mns"/>
    <x v="3"/>
    <n v="1"/>
    <x v="0"/>
  </r>
  <r>
    <d v="2023-01-07T00:00:00"/>
    <x v="3"/>
    <x v="3"/>
    <n v="1"/>
    <x v="1"/>
    <n v="60000"/>
    <n v="31000"/>
    <n v="60000"/>
    <n v="31000"/>
    <n v="28797"/>
    <n v="202.99999999999997"/>
    <s v="35 mns"/>
    <x v="0"/>
    <n v="1"/>
    <x v="0"/>
  </r>
  <r>
    <d v="2023-01-07T00:00:00"/>
    <x v="3"/>
    <x v="3"/>
    <n v="1"/>
    <x v="2"/>
    <n v="89000"/>
    <n v="65000"/>
    <n v="89000"/>
    <n v="65000"/>
    <n v="23832"/>
    <n v="167.99999999999997"/>
    <s v="35 mns"/>
    <x v="3"/>
    <n v="1"/>
    <x v="0"/>
  </r>
  <r>
    <d v="2023-01-08T00:00:00"/>
    <x v="0"/>
    <x v="0"/>
    <n v="2"/>
    <x v="0"/>
    <n v="33000"/>
    <n v="18000"/>
    <n v="66000"/>
    <n v="36000"/>
    <n v="29790"/>
    <n v="209.99999999999997"/>
    <s v="11 mns"/>
    <x v="2"/>
    <n v="1"/>
    <x v="0"/>
  </r>
  <r>
    <d v="2023-01-08T00:00:00"/>
    <x v="1"/>
    <x v="1"/>
    <n v="2"/>
    <x v="0"/>
    <n v="33000"/>
    <n v="18000"/>
    <n v="66000"/>
    <n v="36000"/>
    <n v="29790"/>
    <n v="209.99999999999997"/>
    <s v="58 mns"/>
    <x v="1"/>
    <n v="1"/>
    <x v="0"/>
  </r>
  <r>
    <d v="2023-01-08T00:00:00"/>
    <x v="2"/>
    <x v="2"/>
    <n v="2"/>
    <x v="0"/>
    <n v="33000"/>
    <n v="18000"/>
    <n v="66000"/>
    <n v="36000"/>
    <n v="29790"/>
    <n v="209.99999999999997"/>
    <s v="30 mns"/>
    <x v="3"/>
    <n v="1"/>
    <x v="0"/>
  </r>
  <r>
    <d v="2023-01-08T00:00:00"/>
    <x v="3"/>
    <x v="3"/>
    <n v="2"/>
    <x v="0"/>
    <n v="33000"/>
    <n v="18000"/>
    <n v="66000"/>
    <n v="36000"/>
    <n v="29790"/>
    <n v="209.99999999999997"/>
    <s v="35 mns"/>
    <x v="3"/>
    <n v="1"/>
    <x v="0"/>
  </r>
  <r>
    <d v="2023-01-09T00:00:00"/>
    <x v="0"/>
    <x v="0"/>
    <n v="1"/>
    <x v="0"/>
    <n v="33000"/>
    <n v="18000"/>
    <n v="33000"/>
    <n v="18000"/>
    <n v="14895"/>
    <n v="104.99999999999999"/>
    <s v="11 mns"/>
    <x v="0"/>
    <n v="1"/>
    <x v="0"/>
  </r>
  <r>
    <d v="2023-01-09T00:00:00"/>
    <x v="0"/>
    <x v="0"/>
    <n v="1"/>
    <x v="1"/>
    <n v="60000"/>
    <n v="31000"/>
    <n v="60000"/>
    <n v="31000"/>
    <n v="28797"/>
    <n v="202.99999999999997"/>
    <s v="11 mns"/>
    <x v="2"/>
    <n v="1"/>
    <x v="0"/>
  </r>
  <r>
    <d v="2023-01-09T00:00:00"/>
    <x v="0"/>
    <x v="0"/>
    <n v="1"/>
    <x v="2"/>
    <n v="89000"/>
    <n v="65000"/>
    <n v="89000"/>
    <n v="65000"/>
    <n v="23832"/>
    <n v="167.99999999999997"/>
    <s v="11 mns"/>
    <x v="3"/>
    <n v="1"/>
    <x v="0"/>
  </r>
  <r>
    <d v="2023-01-09T00:00:00"/>
    <x v="1"/>
    <x v="1"/>
    <n v="1"/>
    <x v="0"/>
    <n v="33000"/>
    <n v="18000"/>
    <n v="33000"/>
    <n v="18000"/>
    <n v="14895"/>
    <n v="104.99999999999999"/>
    <s v="58 mns"/>
    <x v="1"/>
    <n v="1"/>
    <x v="0"/>
  </r>
  <r>
    <d v="2023-01-09T00:00:00"/>
    <x v="2"/>
    <x v="2"/>
    <n v="1"/>
    <x v="0"/>
    <n v="33000"/>
    <n v="18000"/>
    <n v="33000"/>
    <n v="18000"/>
    <n v="14895"/>
    <n v="104.99999999999999"/>
    <s v="30 mns"/>
    <x v="2"/>
    <n v="1"/>
    <x v="0"/>
  </r>
  <r>
    <d v="2023-01-09T00:00:00"/>
    <x v="2"/>
    <x v="2"/>
    <n v="1"/>
    <x v="1"/>
    <n v="60000"/>
    <n v="31000"/>
    <n v="60000"/>
    <n v="31000"/>
    <n v="28797"/>
    <n v="202.99999999999997"/>
    <s v="30 mns"/>
    <x v="3"/>
    <n v="1"/>
    <x v="0"/>
  </r>
  <r>
    <d v="2023-01-09T00:00:00"/>
    <x v="2"/>
    <x v="2"/>
    <n v="1"/>
    <x v="2"/>
    <n v="89000"/>
    <n v="65000"/>
    <n v="89000"/>
    <n v="65000"/>
    <n v="23832"/>
    <n v="167.99999999999997"/>
    <s v="30 mns"/>
    <x v="0"/>
    <n v="1"/>
    <x v="0"/>
  </r>
  <r>
    <d v="2023-01-09T00:00:00"/>
    <x v="3"/>
    <x v="3"/>
    <n v="1"/>
    <x v="0"/>
    <n v="33000"/>
    <n v="18000"/>
    <n v="33000"/>
    <n v="18000"/>
    <n v="14895"/>
    <n v="104.99999999999999"/>
    <s v="35 mns"/>
    <x v="0"/>
    <n v="1"/>
    <x v="0"/>
  </r>
  <r>
    <d v="2023-01-09T00:00:00"/>
    <x v="3"/>
    <x v="3"/>
    <n v="1"/>
    <x v="1"/>
    <n v="60000"/>
    <n v="31000"/>
    <n v="60000"/>
    <n v="31000"/>
    <n v="28797"/>
    <n v="202.99999999999997"/>
    <s v="35 mns"/>
    <x v="3"/>
    <n v="1"/>
    <x v="0"/>
  </r>
  <r>
    <d v="2023-01-09T00:00:00"/>
    <x v="3"/>
    <x v="3"/>
    <n v="1"/>
    <x v="2"/>
    <n v="89000"/>
    <n v="65000"/>
    <n v="89000"/>
    <n v="65000"/>
    <n v="23832"/>
    <n v="167.99999999999997"/>
    <s v="35 mns"/>
    <x v="3"/>
    <n v="1"/>
    <x v="0"/>
  </r>
  <r>
    <d v="2023-01-10T00:00:00"/>
    <x v="0"/>
    <x v="0"/>
    <n v="1"/>
    <x v="0"/>
    <n v="33000"/>
    <n v="18000"/>
    <n v="33000"/>
    <n v="18000"/>
    <n v="14895"/>
    <n v="104.99999999999999"/>
    <s v="11 mns"/>
    <x v="3"/>
    <n v="1"/>
    <x v="0"/>
  </r>
  <r>
    <d v="2023-01-10T00:00:00"/>
    <x v="0"/>
    <x v="0"/>
    <n v="1"/>
    <x v="1"/>
    <n v="60000"/>
    <n v="31000"/>
    <n v="60000"/>
    <n v="31000"/>
    <n v="28797"/>
    <n v="202.99999999999997"/>
    <s v="11 mns"/>
    <x v="1"/>
    <n v="1"/>
    <x v="0"/>
  </r>
  <r>
    <d v="2023-01-10T00:00:00"/>
    <x v="0"/>
    <x v="0"/>
    <n v="1"/>
    <x v="2"/>
    <n v="89000"/>
    <n v="65000"/>
    <n v="89000"/>
    <n v="65000"/>
    <n v="23832"/>
    <n v="167.99999999999997"/>
    <s v="11 mns"/>
    <x v="0"/>
    <n v="1"/>
    <x v="0"/>
  </r>
  <r>
    <d v="2023-01-10T00:00:00"/>
    <x v="2"/>
    <x v="2"/>
    <n v="1"/>
    <x v="0"/>
    <n v="33000"/>
    <n v="18000"/>
    <n v="33000"/>
    <n v="18000"/>
    <n v="14895"/>
    <n v="104.99999999999999"/>
    <s v="30 mns"/>
    <x v="3"/>
    <n v="1"/>
    <x v="0"/>
  </r>
  <r>
    <d v="2023-01-10T00:00:00"/>
    <x v="2"/>
    <x v="2"/>
    <n v="1"/>
    <x v="1"/>
    <n v="60000"/>
    <n v="31000"/>
    <n v="60000"/>
    <n v="31000"/>
    <n v="28797"/>
    <n v="202.99999999999997"/>
    <s v="30 mns"/>
    <x v="0"/>
    <n v="1"/>
    <x v="0"/>
  </r>
  <r>
    <d v="2023-01-10T00:00:00"/>
    <x v="2"/>
    <x v="2"/>
    <n v="1"/>
    <x v="2"/>
    <n v="89000"/>
    <n v="65000"/>
    <n v="89000"/>
    <n v="65000"/>
    <n v="23832"/>
    <n v="167.99999999999997"/>
    <s v="30 mns"/>
    <x v="1"/>
    <n v="1"/>
    <x v="0"/>
  </r>
  <r>
    <d v="2023-01-10T00:00:00"/>
    <x v="3"/>
    <x v="3"/>
    <n v="1"/>
    <x v="0"/>
    <n v="33000"/>
    <n v="18000"/>
    <n v="33000"/>
    <n v="18000"/>
    <n v="14895"/>
    <n v="104.99999999999999"/>
    <s v="35 mns"/>
    <x v="3"/>
    <n v="1"/>
    <x v="0"/>
  </r>
  <r>
    <d v="2023-01-10T00:00:00"/>
    <x v="3"/>
    <x v="3"/>
    <n v="1"/>
    <x v="1"/>
    <n v="60000"/>
    <n v="31000"/>
    <n v="60000"/>
    <n v="31000"/>
    <n v="28797"/>
    <n v="202.99999999999997"/>
    <s v="35 mns"/>
    <x v="2"/>
    <n v="1"/>
    <x v="0"/>
  </r>
  <r>
    <d v="2023-01-10T00:00:00"/>
    <x v="3"/>
    <x v="3"/>
    <n v="1"/>
    <x v="2"/>
    <n v="89000"/>
    <n v="65000"/>
    <n v="89000"/>
    <n v="65000"/>
    <n v="23832"/>
    <n v="167.99999999999997"/>
    <s v="35 mns"/>
    <x v="2"/>
    <n v="1"/>
    <x v="0"/>
  </r>
  <r>
    <d v="2023-01-11T00:00:00"/>
    <x v="0"/>
    <x v="0"/>
    <n v="1"/>
    <x v="0"/>
    <n v="33000"/>
    <n v="18000"/>
    <n v="33000"/>
    <n v="18000"/>
    <n v="14895"/>
    <n v="104.99999999999999"/>
    <s v="11 mns"/>
    <x v="3"/>
    <n v="1"/>
    <x v="0"/>
  </r>
  <r>
    <d v="2023-01-11T00:00:00"/>
    <x v="0"/>
    <x v="0"/>
    <n v="1"/>
    <x v="1"/>
    <n v="60000"/>
    <n v="31000"/>
    <n v="60000"/>
    <n v="31000"/>
    <n v="28797"/>
    <n v="202.99999999999997"/>
    <s v="11 mns"/>
    <x v="1"/>
    <n v="1"/>
    <x v="0"/>
  </r>
  <r>
    <d v="2023-01-11T00:00:00"/>
    <x v="0"/>
    <x v="0"/>
    <n v="1"/>
    <x v="2"/>
    <n v="89000"/>
    <n v="65000"/>
    <n v="89000"/>
    <n v="65000"/>
    <n v="23832"/>
    <n v="167.99999999999997"/>
    <s v="11 mns"/>
    <x v="2"/>
    <n v="1"/>
    <x v="0"/>
  </r>
  <r>
    <d v="2023-01-11T00:00:00"/>
    <x v="2"/>
    <x v="2"/>
    <n v="1"/>
    <x v="0"/>
    <n v="33000"/>
    <n v="18000"/>
    <n v="33000"/>
    <n v="18000"/>
    <n v="14895"/>
    <n v="104.99999999999999"/>
    <s v="30 mns"/>
    <x v="3"/>
    <n v="1"/>
    <x v="0"/>
  </r>
  <r>
    <d v="2023-01-11T00:00:00"/>
    <x v="2"/>
    <x v="2"/>
    <n v="1"/>
    <x v="1"/>
    <n v="60000"/>
    <n v="31000"/>
    <n v="60000"/>
    <n v="31000"/>
    <n v="28797"/>
    <n v="202.99999999999997"/>
    <s v="30 mns"/>
    <x v="1"/>
    <n v="1"/>
    <x v="0"/>
  </r>
  <r>
    <d v="2023-01-11T00:00:00"/>
    <x v="2"/>
    <x v="2"/>
    <n v="1"/>
    <x v="2"/>
    <n v="89000"/>
    <n v="65000"/>
    <n v="89000"/>
    <n v="65000"/>
    <n v="23832"/>
    <n v="167.99999999999997"/>
    <s v="30 mns"/>
    <x v="3"/>
    <n v="1"/>
    <x v="0"/>
  </r>
  <r>
    <d v="2023-01-11T00:00:00"/>
    <x v="3"/>
    <x v="3"/>
    <n v="1"/>
    <x v="0"/>
    <n v="33000"/>
    <n v="18000"/>
    <n v="33000"/>
    <n v="18000"/>
    <n v="14895"/>
    <n v="104.99999999999999"/>
    <s v="35 mns"/>
    <x v="1"/>
    <n v="1"/>
    <x v="0"/>
  </r>
  <r>
    <d v="2023-01-11T00:00:00"/>
    <x v="3"/>
    <x v="3"/>
    <n v="1"/>
    <x v="1"/>
    <n v="60000"/>
    <n v="31000"/>
    <n v="60000"/>
    <n v="31000"/>
    <n v="28797"/>
    <n v="202.99999999999997"/>
    <s v="35 mns"/>
    <x v="1"/>
    <n v="1"/>
    <x v="0"/>
  </r>
  <r>
    <d v="2023-01-12T00:00:00"/>
    <x v="0"/>
    <x v="0"/>
    <n v="1"/>
    <x v="0"/>
    <n v="33000"/>
    <n v="18000"/>
    <n v="33000"/>
    <n v="18000"/>
    <n v="14895"/>
    <n v="104.99999999999999"/>
    <s v="11 mns"/>
    <x v="0"/>
    <n v="1"/>
    <x v="0"/>
  </r>
  <r>
    <d v="2023-01-12T00:00:00"/>
    <x v="0"/>
    <x v="0"/>
    <n v="1"/>
    <x v="1"/>
    <n v="60000"/>
    <n v="31000"/>
    <n v="60000"/>
    <n v="31000"/>
    <n v="28797"/>
    <n v="202.99999999999997"/>
    <s v="11 mns"/>
    <x v="3"/>
    <n v="1"/>
    <x v="0"/>
  </r>
  <r>
    <d v="2023-01-12T00:00:00"/>
    <x v="0"/>
    <x v="0"/>
    <n v="1"/>
    <x v="2"/>
    <n v="89000"/>
    <n v="65000"/>
    <n v="89000"/>
    <n v="65000"/>
    <n v="23832"/>
    <n v="167.99999999999997"/>
    <s v="11 mns"/>
    <x v="3"/>
    <n v="1"/>
    <x v="0"/>
  </r>
  <r>
    <d v="2023-01-12T00:00:00"/>
    <x v="2"/>
    <x v="2"/>
    <n v="1"/>
    <x v="0"/>
    <n v="33000"/>
    <n v="18000"/>
    <n v="33000"/>
    <n v="18000"/>
    <n v="14895"/>
    <n v="104.99999999999999"/>
    <s v="30 mns"/>
    <x v="0"/>
    <n v="1"/>
    <x v="0"/>
  </r>
  <r>
    <d v="2023-01-12T00:00:00"/>
    <x v="2"/>
    <x v="2"/>
    <n v="1"/>
    <x v="1"/>
    <n v="60000"/>
    <n v="31000"/>
    <n v="60000"/>
    <n v="31000"/>
    <n v="28797"/>
    <n v="202.99999999999997"/>
    <s v="30 mns"/>
    <x v="0"/>
    <n v="1"/>
    <x v="0"/>
  </r>
  <r>
    <d v="2023-01-12T00:00:00"/>
    <x v="2"/>
    <x v="2"/>
    <n v="1"/>
    <x v="2"/>
    <n v="89000"/>
    <n v="65000"/>
    <n v="89000"/>
    <n v="65000"/>
    <n v="23832"/>
    <n v="167.99999999999997"/>
    <s v="30 mns"/>
    <x v="3"/>
    <n v="1"/>
    <x v="0"/>
  </r>
  <r>
    <d v="2023-01-12T00:00:00"/>
    <x v="3"/>
    <x v="3"/>
    <n v="1"/>
    <x v="0"/>
    <n v="33000"/>
    <n v="18000"/>
    <n v="33000"/>
    <n v="18000"/>
    <n v="14895"/>
    <n v="104.99999999999999"/>
    <s v="35 mns"/>
    <x v="2"/>
    <n v="1"/>
    <x v="0"/>
  </r>
  <r>
    <d v="2023-01-12T00:00:00"/>
    <x v="3"/>
    <x v="3"/>
    <n v="1"/>
    <x v="1"/>
    <n v="60000"/>
    <n v="31000"/>
    <n v="60000"/>
    <n v="31000"/>
    <n v="28797"/>
    <n v="202.99999999999997"/>
    <s v="35 mns"/>
    <x v="1"/>
    <n v="1"/>
    <x v="0"/>
  </r>
  <r>
    <d v="2023-01-13T00:00:00"/>
    <x v="0"/>
    <x v="0"/>
    <n v="2"/>
    <x v="0"/>
    <n v="33000"/>
    <n v="18000"/>
    <n v="66000"/>
    <n v="36000"/>
    <n v="29790"/>
    <n v="209.99999999999997"/>
    <s v="11 mns"/>
    <x v="1"/>
    <n v="1"/>
    <x v="0"/>
  </r>
  <r>
    <d v="2023-01-13T00:00:00"/>
    <x v="0"/>
    <x v="0"/>
    <n v="2"/>
    <x v="1"/>
    <n v="60000"/>
    <n v="31000"/>
    <n v="120000"/>
    <n v="62000"/>
    <n v="57594"/>
    <n v="405.99999999999994"/>
    <s v="11 mns"/>
    <x v="2"/>
    <n v="1"/>
    <x v="0"/>
  </r>
  <r>
    <d v="2023-01-13T00:00:00"/>
    <x v="2"/>
    <x v="2"/>
    <n v="2"/>
    <x v="1"/>
    <n v="60000"/>
    <n v="31000"/>
    <n v="120000"/>
    <n v="62000"/>
    <n v="57594"/>
    <n v="405.99999999999994"/>
    <s v="30 mns"/>
    <x v="0"/>
    <n v="1"/>
    <x v="0"/>
  </r>
  <r>
    <d v="2023-01-13T00:00:00"/>
    <x v="3"/>
    <x v="3"/>
    <n v="2"/>
    <x v="1"/>
    <n v="60000"/>
    <n v="31000"/>
    <n v="120000"/>
    <n v="62000"/>
    <n v="57594"/>
    <n v="405.99999999999994"/>
    <s v="35 mns"/>
    <x v="1"/>
    <n v="1"/>
    <x v="0"/>
  </r>
  <r>
    <d v="2023-01-14T00:00:00"/>
    <x v="0"/>
    <x v="0"/>
    <n v="1"/>
    <x v="0"/>
    <n v="33000"/>
    <n v="18000"/>
    <n v="33000"/>
    <n v="18000"/>
    <n v="14895"/>
    <n v="104.99999999999999"/>
    <s v="11 mns"/>
    <x v="0"/>
    <n v="1"/>
    <x v="0"/>
  </r>
  <r>
    <d v="2023-01-14T00:00:00"/>
    <x v="0"/>
    <x v="0"/>
    <n v="1"/>
    <x v="1"/>
    <n v="60000"/>
    <n v="31000"/>
    <n v="60000"/>
    <n v="31000"/>
    <n v="28797"/>
    <n v="202.99999999999997"/>
    <s v="11 mns"/>
    <x v="1"/>
    <n v="1"/>
    <x v="0"/>
  </r>
  <r>
    <d v="2023-01-14T00:00:00"/>
    <x v="2"/>
    <x v="2"/>
    <n v="1"/>
    <x v="0"/>
    <n v="33000"/>
    <n v="18000"/>
    <n v="33000"/>
    <n v="18000"/>
    <n v="14895"/>
    <n v="104.99999999999999"/>
    <s v="30 mns"/>
    <x v="3"/>
    <n v="1"/>
    <x v="0"/>
  </r>
  <r>
    <d v="2023-01-14T00:00:00"/>
    <x v="2"/>
    <x v="2"/>
    <n v="1"/>
    <x v="1"/>
    <n v="60000"/>
    <n v="31000"/>
    <n v="60000"/>
    <n v="31000"/>
    <n v="28797"/>
    <n v="202.99999999999997"/>
    <s v="30 mns"/>
    <x v="0"/>
    <n v="1"/>
    <x v="0"/>
  </r>
  <r>
    <d v="2023-01-14T00:00:00"/>
    <x v="3"/>
    <x v="3"/>
    <n v="1"/>
    <x v="1"/>
    <n v="60000"/>
    <n v="31000"/>
    <n v="60000"/>
    <n v="31000"/>
    <n v="28797"/>
    <n v="202.99999999999997"/>
    <s v="35 mns"/>
    <x v="0"/>
    <n v="1"/>
    <x v="0"/>
  </r>
  <r>
    <d v="2023-01-15T00:00:00"/>
    <x v="0"/>
    <x v="0"/>
    <n v="1"/>
    <x v="0"/>
    <n v="33000"/>
    <n v="18000"/>
    <n v="33000"/>
    <n v="18000"/>
    <n v="14895"/>
    <n v="104.99999999999999"/>
    <s v="11 mns"/>
    <x v="1"/>
    <n v="1"/>
    <x v="0"/>
  </r>
  <r>
    <d v="2023-01-15T00:00:00"/>
    <x v="2"/>
    <x v="2"/>
    <n v="1"/>
    <x v="0"/>
    <n v="33000"/>
    <n v="18000"/>
    <n v="33000"/>
    <n v="18000"/>
    <n v="14895"/>
    <n v="104.99999999999999"/>
    <s v="30 mns"/>
    <x v="0"/>
    <n v="1"/>
    <x v="0"/>
  </r>
  <r>
    <d v="2023-01-16T00:00:00"/>
    <x v="0"/>
    <x v="0"/>
    <n v="1"/>
    <x v="0"/>
    <n v="33000"/>
    <n v="18000"/>
    <n v="33000"/>
    <n v="18000"/>
    <n v="14895"/>
    <n v="104.99999999999999"/>
    <s v="11 mns"/>
    <x v="1"/>
    <n v="1"/>
    <x v="0"/>
  </r>
  <r>
    <d v="2023-01-16T00:00:00"/>
    <x v="0"/>
    <x v="0"/>
    <n v="1"/>
    <x v="1"/>
    <n v="60000"/>
    <n v="31000"/>
    <n v="60000"/>
    <n v="31000"/>
    <n v="28797"/>
    <n v="202.99999999999997"/>
    <s v="11 mns"/>
    <x v="1"/>
    <n v="1"/>
    <x v="0"/>
  </r>
  <r>
    <d v="2023-01-16T00:00:00"/>
    <x v="2"/>
    <x v="2"/>
    <n v="1"/>
    <x v="0"/>
    <n v="33000"/>
    <n v="18000"/>
    <n v="33000"/>
    <n v="18000"/>
    <n v="14895"/>
    <n v="104.99999999999999"/>
    <s v="30 mns"/>
    <x v="3"/>
    <n v="1"/>
    <x v="0"/>
  </r>
  <r>
    <d v="2023-01-16T00:00:00"/>
    <x v="2"/>
    <x v="2"/>
    <n v="1"/>
    <x v="1"/>
    <n v="60000"/>
    <n v="31000"/>
    <n v="60000"/>
    <n v="31000"/>
    <n v="28797"/>
    <n v="202.99999999999997"/>
    <s v="30 mns"/>
    <x v="2"/>
    <n v="1"/>
    <x v="0"/>
  </r>
  <r>
    <d v="2023-01-16T00:00:00"/>
    <x v="3"/>
    <x v="3"/>
    <n v="1"/>
    <x v="1"/>
    <n v="60000"/>
    <n v="31000"/>
    <n v="60000"/>
    <n v="31000"/>
    <n v="28797"/>
    <n v="202.99999999999997"/>
    <s v="35 mns"/>
    <x v="1"/>
    <n v="1"/>
    <x v="0"/>
  </r>
  <r>
    <d v="2023-01-17T00:00:00"/>
    <x v="0"/>
    <x v="0"/>
    <n v="1"/>
    <x v="0"/>
    <n v="33000"/>
    <n v="18000"/>
    <n v="33000"/>
    <n v="18000"/>
    <n v="14895"/>
    <n v="104.99999999999999"/>
    <s v="11 mns"/>
    <x v="1"/>
    <n v="1"/>
    <x v="0"/>
  </r>
  <r>
    <d v="2023-01-17T00:00:00"/>
    <x v="2"/>
    <x v="2"/>
    <n v="1"/>
    <x v="0"/>
    <n v="33000"/>
    <n v="18000"/>
    <n v="33000"/>
    <n v="18000"/>
    <n v="14895"/>
    <n v="104.99999999999999"/>
    <s v="30 mns"/>
    <x v="2"/>
    <n v="1"/>
    <x v="0"/>
  </r>
  <r>
    <d v="2023-01-18T00:00:00"/>
    <x v="0"/>
    <x v="0"/>
    <n v="1"/>
    <x v="0"/>
    <n v="33000"/>
    <n v="18000"/>
    <n v="33000"/>
    <n v="18000"/>
    <n v="14895"/>
    <n v="104.99999999999999"/>
    <s v="11 mns"/>
    <x v="1"/>
    <n v="1"/>
    <x v="0"/>
  </r>
  <r>
    <d v="2023-01-18T00:00:00"/>
    <x v="0"/>
    <x v="0"/>
    <n v="1"/>
    <x v="1"/>
    <n v="60000"/>
    <n v="31000"/>
    <n v="60000"/>
    <n v="31000"/>
    <n v="28797"/>
    <n v="202.99999999999997"/>
    <s v="11 mns"/>
    <x v="1"/>
    <n v="1"/>
    <x v="0"/>
  </r>
  <r>
    <d v="2023-01-18T00:00:00"/>
    <x v="2"/>
    <x v="2"/>
    <n v="1"/>
    <x v="0"/>
    <n v="33000"/>
    <n v="18000"/>
    <n v="33000"/>
    <n v="18000"/>
    <n v="14895"/>
    <n v="104.99999999999999"/>
    <s v="30 mns"/>
    <x v="0"/>
    <n v="1"/>
    <x v="0"/>
  </r>
  <r>
    <d v="2023-01-18T00:00:00"/>
    <x v="2"/>
    <x v="2"/>
    <n v="1"/>
    <x v="1"/>
    <n v="60000"/>
    <n v="31000"/>
    <n v="60000"/>
    <n v="31000"/>
    <n v="28797"/>
    <n v="202.99999999999997"/>
    <s v="30 mns"/>
    <x v="1"/>
    <n v="1"/>
    <x v="0"/>
  </r>
  <r>
    <d v="2023-01-18T00:00:00"/>
    <x v="3"/>
    <x v="3"/>
    <n v="1"/>
    <x v="1"/>
    <n v="60000"/>
    <n v="31000"/>
    <n v="60000"/>
    <n v="31000"/>
    <n v="28797"/>
    <n v="202.99999999999997"/>
    <s v="35 mns"/>
    <x v="1"/>
    <n v="1"/>
    <x v="0"/>
  </r>
  <r>
    <d v="2023-01-19T00:00:00"/>
    <x v="0"/>
    <x v="0"/>
    <n v="1"/>
    <x v="0"/>
    <n v="33000"/>
    <n v="18000"/>
    <n v="33000"/>
    <n v="18000"/>
    <n v="14895"/>
    <n v="104.99999999999999"/>
    <s v="11 mns"/>
    <x v="0"/>
    <n v="1"/>
    <x v="0"/>
  </r>
  <r>
    <d v="2023-01-19T00:00:00"/>
    <x v="2"/>
    <x v="2"/>
    <n v="1"/>
    <x v="0"/>
    <n v="33000"/>
    <n v="18000"/>
    <n v="33000"/>
    <n v="18000"/>
    <n v="14895"/>
    <n v="104.99999999999999"/>
    <s v="30 mns"/>
    <x v="1"/>
    <n v="1"/>
    <x v="0"/>
  </r>
  <r>
    <d v="2023-01-20T00:00:00"/>
    <x v="0"/>
    <x v="0"/>
    <n v="1"/>
    <x v="0"/>
    <n v="33000"/>
    <n v="18000"/>
    <n v="33000"/>
    <n v="18000"/>
    <n v="14895"/>
    <n v="104.99999999999999"/>
    <s v="11 mns"/>
    <x v="3"/>
    <n v="1"/>
    <x v="0"/>
  </r>
  <r>
    <d v="2023-01-20T00:00:00"/>
    <x v="0"/>
    <x v="0"/>
    <n v="1"/>
    <x v="1"/>
    <n v="60000"/>
    <n v="31000"/>
    <n v="60000"/>
    <n v="31000"/>
    <n v="28797"/>
    <n v="202.99999999999997"/>
    <s v="11 mns"/>
    <x v="0"/>
    <n v="1"/>
    <x v="0"/>
  </r>
  <r>
    <d v="2023-01-20T00:00:00"/>
    <x v="2"/>
    <x v="2"/>
    <n v="1"/>
    <x v="0"/>
    <n v="33000"/>
    <n v="18000"/>
    <n v="33000"/>
    <n v="18000"/>
    <n v="14895"/>
    <n v="104.99999999999999"/>
    <s v="30 mns"/>
    <x v="3"/>
    <n v="1"/>
    <x v="0"/>
  </r>
  <r>
    <d v="2023-01-20T00:00:00"/>
    <x v="2"/>
    <x v="2"/>
    <n v="1"/>
    <x v="1"/>
    <n v="60000"/>
    <n v="31000"/>
    <n v="60000"/>
    <n v="31000"/>
    <n v="28797"/>
    <n v="202.99999999999997"/>
    <s v="30 mns"/>
    <x v="3"/>
    <n v="1"/>
    <x v="0"/>
  </r>
  <r>
    <d v="2023-01-20T00:00:00"/>
    <x v="3"/>
    <x v="3"/>
    <n v="1"/>
    <x v="1"/>
    <n v="60000"/>
    <n v="31000"/>
    <n v="60000"/>
    <n v="31000"/>
    <n v="28797"/>
    <n v="202.99999999999997"/>
    <s v="35 mns"/>
    <x v="1"/>
    <n v="1"/>
    <x v="0"/>
  </r>
  <r>
    <d v="2023-01-21T00:00:00"/>
    <x v="0"/>
    <x v="0"/>
    <n v="1"/>
    <x v="0"/>
    <n v="33000"/>
    <n v="18000"/>
    <n v="33000"/>
    <n v="18000"/>
    <n v="14895"/>
    <n v="104.99999999999999"/>
    <s v="11 mns"/>
    <x v="1"/>
    <n v="1"/>
    <x v="0"/>
  </r>
  <r>
    <d v="2023-01-21T00:00:00"/>
    <x v="2"/>
    <x v="2"/>
    <n v="1"/>
    <x v="0"/>
    <n v="33000"/>
    <n v="18000"/>
    <n v="33000"/>
    <n v="18000"/>
    <n v="14895"/>
    <n v="104.99999999999999"/>
    <s v="30 mns"/>
    <x v="3"/>
    <n v="1"/>
    <x v="0"/>
  </r>
  <r>
    <d v="2023-01-22T00:00:00"/>
    <x v="0"/>
    <x v="0"/>
    <n v="1"/>
    <x v="0"/>
    <n v="33000"/>
    <n v="18000"/>
    <n v="33000"/>
    <n v="18000"/>
    <n v="14895"/>
    <n v="104.99999999999999"/>
    <s v="11 mns"/>
    <x v="1"/>
    <n v="1"/>
    <x v="0"/>
  </r>
  <r>
    <d v="2023-01-22T00:00:00"/>
    <x v="2"/>
    <x v="2"/>
    <n v="1"/>
    <x v="0"/>
    <n v="33000"/>
    <n v="18000"/>
    <n v="33000"/>
    <n v="18000"/>
    <n v="14895"/>
    <n v="104.99999999999999"/>
    <s v="30 mns"/>
    <x v="3"/>
    <n v="1"/>
    <x v="0"/>
  </r>
  <r>
    <d v="2023-01-23T00:00:00"/>
    <x v="0"/>
    <x v="0"/>
    <n v="1"/>
    <x v="0"/>
    <n v="33000"/>
    <n v="18000"/>
    <n v="33000"/>
    <n v="18000"/>
    <n v="14895"/>
    <n v="104.99999999999999"/>
    <s v="11 mns"/>
    <x v="0"/>
    <n v="1"/>
    <x v="0"/>
  </r>
  <r>
    <d v="2023-01-23T00:00:00"/>
    <x v="2"/>
    <x v="2"/>
    <n v="1"/>
    <x v="0"/>
    <n v="33000"/>
    <n v="18000"/>
    <n v="33000"/>
    <n v="18000"/>
    <n v="14895"/>
    <n v="104.99999999999999"/>
    <s v="30 mns"/>
    <x v="3"/>
    <n v="1"/>
    <x v="0"/>
  </r>
  <r>
    <d v="2023-01-24T00:00:00"/>
    <x v="0"/>
    <x v="0"/>
    <n v="1"/>
    <x v="0"/>
    <n v="33000"/>
    <n v="18000"/>
    <n v="33000"/>
    <n v="18000"/>
    <n v="14895"/>
    <n v="104.99999999999999"/>
    <s v="11 mns"/>
    <x v="3"/>
    <n v="1"/>
    <x v="0"/>
  </r>
  <r>
    <d v="2023-01-24T00:00:00"/>
    <x v="0"/>
    <x v="0"/>
    <n v="1"/>
    <x v="1"/>
    <n v="60000"/>
    <n v="31000"/>
    <n v="60000"/>
    <n v="31000"/>
    <n v="28797"/>
    <n v="202.99999999999997"/>
    <s v="11 mns"/>
    <x v="0"/>
    <n v="1"/>
    <x v="0"/>
  </r>
  <r>
    <d v="2023-01-24T00:00:00"/>
    <x v="2"/>
    <x v="2"/>
    <n v="1"/>
    <x v="0"/>
    <n v="33000"/>
    <n v="18000"/>
    <n v="33000"/>
    <n v="18000"/>
    <n v="14895"/>
    <n v="104.99999999999999"/>
    <s v="30 mns"/>
    <x v="0"/>
    <n v="1"/>
    <x v="0"/>
  </r>
  <r>
    <d v="2023-01-24T00:00:00"/>
    <x v="2"/>
    <x v="2"/>
    <n v="1"/>
    <x v="1"/>
    <n v="60000"/>
    <n v="31000"/>
    <n v="60000"/>
    <n v="31000"/>
    <n v="28797"/>
    <n v="202.99999999999997"/>
    <s v="30 mns"/>
    <x v="0"/>
    <n v="1"/>
    <x v="0"/>
  </r>
  <r>
    <d v="2023-01-24T00:00:00"/>
    <x v="3"/>
    <x v="3"/>
    <n v="1"/>
    <x v="1"/>
    <n v="60000"/>
    <n v="31000"/>
    <n v="60000"/>
    <n v="31000"/>
    <n v="28797"/>
    <n v="202.99999999999997"/>
    <s v="35 mns"/>
    <x v="3"/>
    <n v="1"/>
    <x v="0"/>
  </r>
  <r>
    <d v="2023-01-25T00:00:00"/>
    <x v="0"/>
    <x v="0"/>
    <n v="1"/>
    <x v="0"/>
    <n v="33000"/>
    <n v="18000"/>
    <n v="33000"/>
    <n v="18000"/>
    <n v="14895"/>
    <n v="104.99999999999999"/>
    <s v="11 mns"/>
    <x v="3"/>
    <n v="1"/>
    <x v="0"/>
  </r>
  <r>
    <d v="2023-01-25T00:00:00"/>
    <x v="0"/>
    <x v="0"/>
    <n v="1"/>
    <x v="1"/>
    <n v="60000"/>
    <n v="31000"/>
    <n v="60000"/>
    <n v="31000"/>
    <n v="28797"/>
    <n v="202.99999999999997"/>
    <s v="11 mns"/>
    <x v="2"/>
    <n v="1"/>
    <x v="0"/>
  </r>
  <r>
    <d v="2023-01-25T00:00:00"/>
    <x v="2"/>
    <x v="2"/>
    <n v="1"/>
    <x v="0"/>
    <n v="33000"/>
    <n v="18000"/>
    <n v="33000"/>
    <n v="18000"/>
    <n v="14895"/>
    <n v="104.99999999999999"/>
    <s v="30 mns"/>
    <x v="3"/>
    <n v="1"/>
    <x v="0"/>
  </r>
  <r>
    <d v="2023-01-25T00:00:00"/>
    <x v="2"/>
    <x v="2"/>
    <n v="1"/>
    <x v="1"/>
    <n v="60000"/>
    <n v="31000"/>
    <n v="60000"/>
    <n v="31000"/>
    <n v="28797"/>
    <n v="202.99999999999997"/>
    <s v="30 mns"/>
    <x v="0"/>
    <n v="1"/>
    <x v="0"/>
  </r>
  <r>
    <d v="2023-01-25T00:00:00"/>
    <x v="3"/>
    <x v="3"/>
    <n v="1"/>
    <x v="1"/>
    <n v="60000"/>
    <n v="31000"/>
    <n v="60000"/>
    <n v="31000"/>
    <n v="28797"/>
    <n v="202.99999999999997"/>
    <s v="35 mns"/>
    <x v="1"/>
    <n v="1"/>
    <x v="0"/>
  </r>
  <r>
    <d v="2023-01-26T00:00:00"/>
    <x v="0"/>
    <x v="0"/>
    <n v="2"/>
    <x v="0"/>
    <n v="33000"/>
    <n v="18000"/>
    <n v="66000"/>
    <n v="36000"/>
    <n v="29790"/>
    <n v="209.99999999999997"/>
    <s v="11 mns"/>
    <x v="1"/>
    <n v="1"/>
    <x v="0"/>
  </r>
  <r>
    <d v="2023-01-26T00:00:00"/>
    <x v="1"/>
    <x v="1"/>
    <n v="2"/>
    <x v="0"/>
    <n v="33000"/>
    <n v="18000"/>
    <n v="66000"/>
    <n v="36000"/>
    <n v="29790"/>
    <n v="209.99999999999997"/>
    <s v="58 mns"/>
    <x v="0"/>
    <n v="1"/>
    <x v="0"/>
  </r>
  <r>
    <d v="2023-01-26T00:00:00"/>
    <x v="2"/>
    <x v="2"/>
    <n v="2"/>
    <x v="0"/>
    <n v="33000"/>
    <n v="18000"/>
    <n v="66000"/>
    <n v="36000"/>
    <n v="29790"/>
    <n v="209.99999999999997"/>
    <s v="30 mns"/>
    <x v="1"/>
    <n v="1"/>
    <x v="0"/>
  </r>
  <r>
    <d v="2023-01-27T00:00:00"/>
    <x v="0"/>
    <x v="0"/>
    <n v="1"/>
    <x v="0"/>
    <n v="33000"/>
    <n v="18000"/>
    <n v="33000"/>
    <n v="18000"/>
    <n v="14895"/>
    <n v="104.99999999999999"/>
    <s v="11 mns"/>
    <x v="1"/>
    <n v="1"/>
    <x v="0"/>
  </r>
  <r>
    <d v="2023-01-27T00:00:00"/>
    <x v="0"/>
    <x v="0"/>
    <n v="1"/>
    <x v="1"/>
    <n v="60000"/>
    <n v="31000"/>
    <n v="60000"/>
    <n v="31000"/>
    <n v="28797"/>
    <n v="202.99999999999997"/>
    <s v="11 mns"/>
    <x v="3"/>
    <n v="1"/>
    <x v="0"/>
  </r>
  <r>
    <d v="2023-01-27T00:00:00"/>
    <x v="1"/>
    <x v="1"/>
    <n v="1"/>
    <x v="0"/>
    <n v="33000"/>
    <n v="18000"/>
    <n v="33000"/>
    <n v="18000"/>
    <n v="14895"/>
    <n v="104.99999999999999"/>
    <s v="58 mns"/>
    <x v="3"/>
    <n v="1"/>
    <x v="0"/>
  </r>
  <r>
    <d v="2023-01-27T00:00:00"/>
    <x v="2"/>
    <x v="2"/>
    <n v="1"/>
    <x v="0"/>
    <n v="33000"/>
    <n v="18000"/>
    <n v="33000"/>
    <n v="18000"/>
    <n v="14895"/>
    <n v="104.99999999999999"/>
    <s v="30 mns"/>
    <x v="3"/>
    <n v="1"/>
    <x v="0"/>
  </r>
  <r>
    <d v="2023-01-27T00:00:00"/>
    <x v="2"/>
    <x v="2"/>
    <n v="1"/>
    <x v="1"/>
    <n v="60000"/>
    <n v="31000"/>
    <n v="60000"/>
    <n v="31000"/>
    <n v="28797"/>
    <n v="202.99999999999997"/>
    <s v="30 mns"/>
    <x v="2"/>
    <n v="1"/>
    <x v="0"/>
  </r>
  <r>
    <d v="2023-01-27T00:00:00"/>
    <x v="3"/>
    <x v="3"/>
    <n v="1"/>
    <x v="1"/>
    <n v="60000"/>
    <n v="31000"/>
    <n v="60000"/>
    <n v="31000"/>
    <n v="28797"/>
    <n v="202.99999999999997"/>
    <s v="35 mns"/>
    <x v="3"/>
    <n v="1"/>
    <x v="0"/>
  </r>
  <r>
    <d v="2023-01-28T00:00:00"/>
    <x v="0"/>
    <x v="0"/>
    <n v="2"/>
    <x v="0"/>
    <n v="33000"/>
    <n v="18000"/>
    <n v="66000"/>
    <n v="36000"/>
    <n v="29790"/>
    <n v="209.99999999999997"/>
    <s v="11 mns"/>
    <x v="2"/>
    <n v="1"/>
    <x v="0"/>
  </r>
  <r>
    <d v="2023-01-28T00:00:00"/>
    <x v="1"/>
    <x v="1"/>
    <n v="2"/>
    <x v="0"/>
    <n v="33000"/>
    <n v="18000"/>
    <n v="66000"/>
    <n v="36000"/>
    <n v="29790"/>
    <n v="209.99999999999997"/>
    <s v="58 mns"/>
    <x v="3"/>
    <n v="1"/>
    <x v="0"/>
  </r>
  <r>
    <d v="2023-01-28T00:00:00"/>
    <x v="2"/>
    <x v="2"/>
    <n v="2"/>
    <x v="0"/>
    <n v="33000"/>
    <n v="18000"/>
    <n v="66000"/>
    <n v="36000"/>
    <n v="29790"/>
    <n v="209.99999999999997"/>
    <s v="30 mns"/>
    <x v="1"/>
    <n v="1"/>
    <x v="0"/>
  </r>
  <r>
    <d v="2023-01-29T00:00:00"/>
    <x v="0"/>
    <x v="0"/>
    <n v="1"/>
    <x v="0"/>
    <n v="33000"/>
    <n v="18000"/>
    <n v="33000"/>
    <n v="18000"/>
    <n v="14895"/>
    <n v="104.99999999999999"/>
    <s v="11 mns"/>
    <x v="1"/>
    <n v="1"/>
    <x v="0"/>
  </r>
  <r>
    <d v="2023-01-29T00:00:00"/>
    <x v="0"/>
    <x v="0"/>
    <n v="1"/>
    <x v="1"/>
    <n v="60000"/>
    <n v="31000"/>
    <n v="60000"/>
    <n v="31000"/>
    <n v="28797"/>
    <n v="202.99999999999997"/>
    <s v="11 mns"/>
    <x v="1"/>
    <n v="1"/>
    <x v="0"/>
  </r>
  <r>
    <d v="2023-01-29T00:00:00"/>
    <x v="0"/>
    <x v="0"/>
    <n v="1"/>
    <x v="2"/>
    <n v="89000"/>
    <n v="65000"/>
    <n v="89000"/>
    <n v="65000"/>
    <n v="23832"/>
    <n v="167.99999999999997"/>
    <s v="11 mns"/>
    <x v="3"/>
    <n v="1"/>
    <x v="0"/>
  </r>
  <r>
    <d v="2023-01-29T00:00:00"/>
    <x v="1"/>
    <x v="1"/>
    <n v="1"/>
    <x v="0"/>
    <n v="33000"/>
    <n v="18000"/>
    <n v="33000"/>
    <n v="18000"/>
    <n v="14895"/>
    <n v="104.99999999999999"/>
    <s v="58 mns"/>
    <x v="1"/>
    <n v="1"/>
    <x v="0"/>
  </r>
  <r>
    <d v="2023-01-29T00:00:00"/>
    <x v="2"/>
    <x v="2"/>
    <n v="1"/>
    <x v="0"/>
    <n v="33000"/>
    <n v="18000"/>
    <n v="33000"/>
    <n v="18000"/>
    <n v="14895"/>
    <n v="104.99999999999999"/>
    <s v="30 mns"/>
    <x v="0"/>
    <n v="1"/>
    <x v="0"/>
  </r>
  <r>
    <d v="2023-01-29T00:00:00"/>
    <x v="2"/>
    <x v="2"/>
    <n v="1"/>
    <x v="1"/>
    <n v="60000"/>
    <n v="31000"/>
    <n v="60000"/>
    <n v="31000"/>
    <n v="28797"/>
    <n v="202.99999999999997"/>
    <s v="30 mns"/>
    <x v="0"/>
    <n v="1"/>
    <x v="0"/>
  </r>
  <r>
    <d v="2023-01-29T00:00:00"/>
    <x v="2"/>
    <x v="2"/>
    <n v="1"/>
    <x v="2"/>
    <n v="89000"/>
    <n v="65000"/>
    <n v="89000"/>
    <n v="65000"/>
    <n v="23832"/>
    <n v="167.99999999999997"/>
    <s v="30 mns"/>
    <x v="3"/>
    <n v="1"/>
    <x v="0"/>
  </r>
  <r>
    <d v="2023-01-29T00:00:00"/>
    <x v="3"/>
    <x v="3"/>
    <n v="1"/>
    <x v="1"/>
    <n v="60000"/>
    <n v="31000"/>
    <n v="60000"/>
    <n v="31000"/>
    <n v="28797"/>
    <n v="202.99999999999997"/>
    <s v="35 mns"/>
    <x v="1"/>
    <n v="1"/>
    <x v="0"/>
  </r>
  <r>
    <d v="2023-01-30T00:00:00"/>
    <x v="0"/>
    <x v="0"/>
    <n v="2"/>
    <x v="0"/>
    <n v="33000"/>
    <n v="18000"/>
    <n v="66000"/>
    <n v="36000"/>
    <n v="29790"/>
    <n v="209.99999999999997"/>
    <s v="11 mns"/>
    <x v="1"/>
    <n v="1"/>
    <x v="0"/>
  </r>
  <r>
    <d v="2023-01-30T00:00:00"/>
    <x v="0"/>
    <x v="0"/>
    <n v="2"/>
    <x v="1"/>
    <n v="60000"/>
    <n v="31000"/>
    <n v="120000"/>
    <n v="62000"/>
    <n v="57594"/>
    <n v="405.99999999999994"/>
    <s v="11 mns"/>
    <x v="3"/>
    <n v="1"/>
    <x v="0"/>
  </r>
  <r>
    <d v="2023-01-30T00:00:00"/>
    <x v="0"/>
    <x v="0"/>
    <n v="2"/>
    <x v="2"/>
    <n v="89000"/>
    <n v="65000"/>
    <n v="178000"/>
    <n v="130000"/>
    <n v="47664"/>
    <n v="335.99999999999994"/>
    <s v="11 mns"/>
    <x v="1"/>
    <n v="1"/>
    <x v="0"/>
  </r>
  <r>
    <d v="2023-01-30T00:00:00"/>
    <x v="1"/>
    <x v="1"/>
    <n v="2"/>
    <x v="0"/>
    <n v="33000"/>
    <n v="18000"/>
    <n v="66000"/>
    <n v="36000"/>
    <n v="29790"/>
    <n v="209.99999999999997"/>
    <s v="58 mns"/>
    <x v="1"/>
    <n v="1"/>
    <x v="0"/>
  </r>
  <r>
    <d v="2023-01-30T00:00:00"/>
    <x v="2"/>
    <x v="2"/>
    <n v="2"/>
    <x v="0"/>
    <n v="33000"/>
    <n v="18000"/>
    <n v="66000"/>
    <n v="36000"/>
    <n v="29790"/>
    <n v="209.99999999999997"/>
    <s v="30 mns"/>
    <x v="1"/>
    <n v="1"/>
    <x v="0"/>
  </r>
  <r>
    <d v="2023-01-30T00:00:00"/>
    <x v="2"/>
    <x v="2"/>
    <n v="2"/>
    <x v="1"/>
    <n v="60000"/>
    <n v="31000"/>
    <n v="120000"/>
    <n v="62000"/>
    <n v="57594"/>
    <n v="405.99999999999994"/>
    <s v="30 mns"/>
    <x v="3"/>
    <n v="1"/>
    <x v="0"/>
  </r>
  <r>
    <d v="2023-01-30T00:00:00"/>
    <x v="2"/>
    <x v="2"/>
    <n v="2"/>
    <x v="2"/>
    <n v="89000"/>
    <n v="65000"/>
    <n v="178000"/>
    <n v="130000"/>
    <n v="47664"/>
    <n v="335.99999999999994"/>
    <s v="30 mns"/>
    <x v="1"/>
    <n v="1"/>
    <x v="0"/>
  </r>
  <r>
    <d v="2023-01-30T00:00:00"/>
    <x v="3"/>
    <x v="3"/>
    <n v="2"/>
    <x v="0"/>
    <n v="33000"/>
    <n v="18000"/>
    <n v="66000"/>
    <n v="36000"/>
    <n v="29790"/>
    <n v="209.99999999999997"/>
    <s v="35 mns"/>
    <x v="0"/>
    <n v="1"/>
    <x v="0"/>
  </r>
  <r>
    <d v="2023-01-30T00:00:00"/>
    <x v="3"/>
    <x v="3"/>
    <n v="2"/>
    <x v="1"/>
    <n v="60000"/>
    <n v="31000"/>
    <n v="120000"/>
    <n v="62000"/>
    <n v="57594"/>
    <n v="405.99999999999994"/>
    <s v="35 mns"/>
    <x v="2"/>
    <n v="1"/>
    <x v="0"/>
  </r>
  <r>
    <d v="2023-01-31T00:00:00"/>
    <x v="0"/>
    <x v="0"/>
    <n v="1"/>
    <x v="0"/>
    <n v="33000"/>
    <n v="18000"/>
    <n v="33000"/>
    <n v="18000"/>
    <n v="14895"/>
    <n v="104.99999999999999"/>
    <s v="11 mns"/>
    <x v="1"/>
    <n v="1"/>
    <x v="0"/>
  </r>
  <r>
    <d v="2023-01-31T00:00:00"/>
    <x v="0"/>
    <x v="0"/>
    <n v="1"/>
    <x v="1"/>
    <n v="60000"/>
    <n v="31000"/>
    <n v="60000"/>
    <n v="31000"/>
    <n v="28797"/>
    <n v="202.99999999999997"/>
    <s v="11 mns"/>
    <x v="1"/>
    <n v="1"/>
    <x v="0"/>
  </r>
  <r>
    <d v="2023-01-31T00:00:00"/>
    <x v="0"/>
    <x v="0"/>
    <n v="1"/>
    <x v="2"/>
    <n v="89000"/>
    <n v="65000"/>
    <n v="89000"/>
    <n v="65000"/>
    <n v="23832"/>
    <n v="167.99999999999997"/>
    <s v="11 mns"/>
    <x v="0"/>
    <n v="1"/>
    <x v="0"/>
  </r>
  <r>
    <d v="2023-01-31T00:00:00"/>
    <x v="1"/>
    <x v="1"/>
    <n v="1"/>
    <x v="0"/>
    <n v="33000"/>
    <n v="18000"/>
    <n v="33000"/>
    <n v="18000"/>
    <n v="14895"/>
    <n v="104.99999999999999"/>
    <s v="58 mns"/>
    <x v="3"/>
    <n v="1"/>
    <x v="0"/>
  </r>
  <r>
    <d v="2023-01-31T00:00:00"/>
    <x v="2"/>
    <x v="2"/>
    <n v="1"/>
    <x v="0"/>
    <n v="33000"/>
    <n v="18000"/>
    <n v="33000"/>
    <n v="18000"/>
    <n v="14895"/>
    <n v="104.99999999999999"/>
    <s v="30 mns"/>
    <x v="3"/>
    <n v="1"/>
    <x v="0"/>
  </r>
  <r>
    <d v="2023-01-31T00:00:00"/>
    <x v="2"/>
    <x v="2"/>
    <n v="1"/>
    <x v="1"/>
    <n v="60000"/>
    <n v="31000"/>
    <n v="60000"/>
    <n v="31000"/>
    <n v="28797"/>
    <n v="202.99999999999997"/>
    <s v="30 mns"/>
    <x v="3"/>
    <n v="1"/>
    <x v="0"/>
  </r>
  <r>
    <d v="2023-01-31T00:00:00"/>
    <x v="2"/>
    <x v="2"/>
    <n v="1"/>
    <x v="2"/>
    <n v="89000"/>
    <n v="65000"/>
    <n v="89000"/>
    <n v="65000"/>
    <n v="23832"/>
    <n v="167.99999999999997"/>
    <s v="30 mns"/>
    <x v="1"/>
    <n v="1"/>
    <x v="0"/>
  </r>
  <r>
    <d v="2023-01-31T00:00:00"/>
    <x v="3"/>
    <x v="3"/>
    <n v="1"/>
    <x v="0"/>
    <n v="33000"/>
    <n v="18000"/>
    <n v="33000"/>
    <n v="18000"/>
    <n v="14895"/>
    <n v="104.99999999999999"/>
    <s v="35 mns"/>
    <x v="0"/>
    <n v="1"/>
    <x v="0"/>
  </r>
  <r>
    <d v="2023-01-31T00:00:00"/>
    <x v="3"/>
    <x v="3"/>
    <n v="1"/>
    <x v="1"/>
    <n v="60000"/>
    <n v="31000"/>
    <n v="60000"/>
    <n v="31000"/>
    <n v="28797"/>
    <n v="202.99999999999997"/>
    <s v="35 mns"/>
    <x v="3"/>
    <n v="1"/>
    <x v="0"/>
  </r>
  <r>
    <d v="2023-01-31T00:00:00"/>
    <x v="3"/>
    <x v="3"/>
    <n v="1"/>
    <x v="2"/>
    <n v="89000"/>
    <n v="65000"/>
    <n v="89000"/>
    <n v="65000"/>
    <n v="23832"/>
    <n v="167.99999999999997"/>
    <s v="35 mns"/>
    <x v="1"/>
    <n v="1"/>
    <x v="0"/>
  </r>
  <r>
    <d v="2023-02-01T00:00:00"/>
    <x v="0"/>
    <x v="0"/>
    <n v="1"/>
    <x v="0"/>
    <n v="33000"/>
    <n v="18000"/>
    <n v="33000"/>
    <n v="18000"/>
    <n v="14895"/>
    <n v="104.99999999999999"/>
    <s v="11 mns"/>
    <x v="3"/>
    <n v="2"/>
    <x v="1"/>
  </r>
  <r>
    <d v="2023-02-01T00:00:00"/>
    <x v="0"/>
    <x v="0"/>
    <n v="1"/>
    <x v="1"/>
    <n v="60000"/>
    <n v="31000"/>
    <n v="60000"/>
    <n v="31000"/>
    <n v="28797"/>
    <n v="202.99999999999997"/>
    <s v="11 mns"/>
    <x v="1"/>
    <n v="2"/>
    <x v="1"/>
  </r>
  <r>
    <d v="2023-02-01T00:00:00"/>
    <x v="0"/>
    <x v="0"/>
    <n v="1"/>
    <x v="2"/>
    <n v="89000"/>
    <n v="65000"/>
    <n v="89000"/>
    <n v="65000"/>
    <n v="23832"/>
    <n v="167.99999999999997"/>
    <s v="11 mns"/>
    <x v="1"/>
    <n v="2"/>
    <x v="1"/>
  </r>
  <r>
    <d v="2023-02-01T00:00:00"/>
    <x v="1"/>
    <x v="1"/>
    <n v="1"/>
    <x v="0"/>
    <n v="33000"/>
    <n v="18000"/>
    <n v="33000"/>
    <n v="18000"/>
    <n v="14895"/>
    <n v="104.99999999999999"/>
    <s v="58 mns"/>
    <x v="0"/>
    <n v="2"/>
    <x v="1"/>
  </r>
  <r>
    <d v="2023-02-01T00:00:00"/>
    <x v="2"/>
    <x v="2"/>
    <n v="1"/>
    <x v="0"/>
    <n v="33000"/>
    <n v="18000"/>
    <n v="33000"/>
    <n v="18000"/>
    <n v="14895"/>
    <n v="104.99999999999999"/>
    <s v="30 mns"/>
    <x v="2"/>
    <n v="2"/>
    <x v="1"/>
  </r>
  <r>
    <d v="2023-02-01T00:00:00"/>
    <x v="2"/>
    <x v="2"/>
    <n v="1"/>
    <x v="1"/>
    <n v="60000"/>
    <n v="31000"/>
    <n v="60000"/>
    <n v="31000"/>
    <n v="28797"/>
    <n v="202.99999999999997"/>
    <s v="30 mns"/>
    <x v="0"/>
    <n v="2"/>
    <x v="1"/>
  </r>
  <r>
    <d v="2023-02-01T00:00:00"/>
    <x v="2"/>
    <x v="2"/>
    <n v="1"/>
    <x v="2"/>
    <n v="89000"/>
    <n v="65000"/>
    <n v="89000"/>
    <n v="65000"/>
    <n v="23832"/>
    <n v="167.99999999999997"/>
    <s v="30 mns"/>
    <x v="1"/>
    <n v="2"/>
    <x v="1"/>
  </r>
  <r>
    <d v="2023-02-01T00:00:00"/>
    <x v="3"/>
    <x v="3"/>
    <n v="1"/>
    <x v="0"/>
    <n v="33000"/>
    <n v="18000"/>
    <n v="33000"/>
    <n v="18000"/>
    <n v="14895"/>
    <n v="104.99999999999999"/>
    <s v="35 mns"/>
    <x v="0"/>
    <n v="2"/>
    <x v="1"/>
  </r>
  <r>
    <d v="2023-02-01T00:00:00"/>
    <x v="3"/>
    <x v="3"/>
    <n v="1"/>
    <x v="1"/>
    <n v="60000"/>
    <n v="31000"/>
    <n v="60000"/>
    <n v="31000"/>
    <n v="28797"/>
    <n v="202.99999999999997"/>
    <s v="35 mns"/>
    <x v="1"/>
    <n v="2"/>
    <x v="1"/>
  </r>
  <r>
    <d v="2023-02-01T00:00:00"/>
    <x v="3"/>
    <x v="3"/>
    <n v="1"/>
    <x v="2"/>
    <n v="89000"/>
    <n v="65000"/>
    <n v="89000"/>
    <n v="65000"/>
    <n v="23832"/>
    <n v="167.99999999999997"/>
    <s v="35 mns"/>
    <x v="1"/>
    <n v="2"/>
    <x v="1"/>
  </r>
  <r>
    <d v="2023-02-02T00:00:00"/>
    <x v="0"/>
    <x v="0"/>
    <n v="1"/>
    <x v="0"/>
    <n v="33000"/>
    <n v="18000"/>
    <n v="33000"/>
    <n v="18000"/>
    <n v="14895"/>
    <n v="104.99999999999999"/>
    <s v="11 mns"/>
    <x v="3"/>
    <n v="2"/>
    <x v="1"/>
  </r>
  <r>
    <d v="2023-02-02T00:00:00"/>
    <x v="0"/>
    <x v="0"/>
    <n v="1"/>
    <x v="1"/>
    <n v="60000"/>
    <n v="31000"/>
    <n v="60000"/>
    <n v="31000"/>
    <n v="28797"/>
    <n v="202.99999999999997"/>
    <s v="11 mns"/>
    <x v="1"/>
    <n v="2"/>
    <x v="1"/>
  </r>
  <r>
    <d v="2023-02-02T00:00:00"/>
    <x v="0"/>
    <x v="0"/>
    <n v="1"/>
    <x v="2"/>
    <n v="89000"/>
    <n v="65000"/>
    <n v="89000"/>
    <n v="65000"/>
    <n v="23832"/>
    <n v="167.99999999999997"/>
    <s v="11 mns"/>
    <x v="2"/>
    <n v="2"/>
    <x v="1"/>
  </r>
  <r>
    <d v="2023-02-02T00:00:00"/>
    <x v="1"/>
    <x v="1"/>
    <n v="1"/>
    <x v="0"/>
    <n v="33000"/>
    <n v="18000"/>
    <n v="33000"/>
    <n v="18000"/>
    <n v="14895"/>
    <n v="104.99999999999999"/>
    <s v="58 mns"/>
    <x v="0"/>
    <n v="2"/>
    <x v="1"/>
  </r>
  <r>
    <d v="2023-02-02T00:00:00"/>
    <x v="2"/>
    <x v="2"/>
    <n v="1"/>
    <x v="0"/>
    <n v="33000"/>
    <n v="18000"/>
    <n v="33000"/>
    <n v="18000"/>
    <n v="14895"/>
    <n v="104.99999999999999"/>
    <s v="30 mns"/>
    <x v="1"/>
    <n v="2"/>
    <x v="1"/>
  </r>
  <r>
    <d v="2023-02-02T00:00:00"/>
    <x v="2"/>
    <x v="2"/>
    <n v="1"/>
    <x v="1"/>
    <n v="60000"/>
    <n v="31000"/>
    <n v="60000"/>
    <n v="31000"/>
    <n v="28797"/>
    <n v="202.99999999999997"/>
    <s v="30 mns"/>
    <x v="2"/>
    <n v="2"/>
    <x v="1"/>
  </r>
  <r>
    <d v="2023-02-02T00:00:00"/>
    <x v="2"/>
    <x v="2"/>
    <n v="1"/>
    <x v="2"/>
    <n v="89000"/>
    <n v="65000"/>
    <n v="89000"/>
    <n v="65000"/>
    <n v="23832"/>
    <n v="167.99999999999997"/>
    <s v="30 mns"/>
    <x v="3"/>
    <n v="2"/>
    <x v="1"/>
  </r>
  <r>
    <d v="2023-02-02T00:00:00"/>
    <x v="3"/>
    <x v="3"/>
    <n v="1"/>
    <x v="0"/>
    <n v="33000"/>
    <n v="18000"/>
    <n v="33000"/>
    <n v="18000"/>
    <n v="14895"/>
    <n v="104.99999999999999"/>
    <s v="35 mns"/>
    <x v="3"/>
    <n v="2"/>
    <x v="1"/>
  </r>
  <r>
    <d v="2023-02-02T00:00:00"/>
    <x v="3"/>
    <x v="3"/>
    <n v="1"/>
    <x v="1"/>
    <n v="60000"/>
    <n v="31000"/>
    <n v="60000"/>
    <n v="31000"/>
    <n v="28797"/>
    <n v="202.99999999999997"/>
    <s v="35 mns"/>
    <x v="1"/>
    <n v="2"/>
    <x v="1"/>
  </r>
  <r>
    <d v="2023-02-02T00:00:00"/>
    <x v="3"/>
    <x v="3"/>
    <n v="1"/>
    <x v="2"/>
    <n v="89000"/>
    <n v="65000"/>
    <n v="89000"/>
    <n v="65000"/>
    <n v="23832"/>
    <n v="167.99999999999997"/>
    <s v="35 mns"/>
    <x v="1"/>
    <n v="2"/>
    <x v="1"/>
  </r>
  <r>
    <d v="2023-02-03T00:00:00"/>
    <x v="0"/>
    <x v="0"/>
    <n v="2"/>
    <x v="0"/>
    <n v="33000"/>
    <n v="18000"/>
    <n v="66000"/>
    <n v="36000"/>
    <n v="29790"/>
    <n v="209.99999999999997"/>
    <s v="11 mns"/>
    <x v="1"/>
    <n v="2"/>
    <x v="1"/>
  </r>
  <r>
    <d v="2023-02-03T00:00:00"/>
    <x v="0"/>
    <x v="0"/>
    <n v="2"/>
    <x v="1"/>
    <n v="60000"/>
    <n v="31000"/>
    <n v="120000"/>
    <n v="62000"/>
    <n v="57594"/>
    <n v="405.99999999999994"/>
    <s v="11 mns"/>
    <x v="1"/>
    <n v="2"/>
    <x v="1"/>
  </r>
  <r>
    <d v="2023-02-03T00:00:00"/>
    <x v="0"/>
    <x v="0"/>
    <n v="2"/>
    <x v="2"/>
    <n v="89000"/>
    <n v="65000"/>
    <n v="178000"/>
    <n v="130000"/>
    <n v="47664"/>
    <n v="335.99999999999994"/>
    <s v="11 mns"/>
    <x v="0"/>
    <n v="2"/>
    <x v="1"/>
  </r>
  <r>
    <d v="2023-02-03T00:00:00"/>
    <x v="1"/>
    <x v="1"/>
    <n v="2"/>
    <x v="0"/>
    <n v="33000"/>
    <n v="18000"/>
    <n v="66000"/>
    <n v="36000"/>
    <n v="29790"/>
    <n v="209.99999999999997"/>
    <s v="58 mns"/>
    <x v="1"/>
    <n v="2"/>
    <x v="1"/>
  </r>
  <r>
    <d v="2023-02-03T00:00:00"/>
    <x v="2"/>
    <x v="2"/>
    <n v="2"/>
    <x v="0"/>
    <n v="33000"/>
    <n v="18000"/>
    <n v="66000"/>
    <n v="36000"/>
    <n v="29790"/>
    <n v="209.99999999999997"/>
    <s v="30 mns"/>
    <x v="0"/>
    <n v="2"/>
    <x v="1"/>
  </r>
  <r>
    <d v="2023-02-03T00:00:00"/>
    <x v="2"/>
    <x v="2"/>
    <n v="2"/>
    <x v="1"/>
    <n v="60000"/>
    <n v="31000"/>
    <n v="120000"/>
    <n v="62000"/>
    <n v="57594"/>
    <n v="405.99999999999994"/>
    <s v="30 mns"/>
    <x v="2"/>
    <n v="2"/>
    <x v="1"/>
  </r>
  <r>
    <d v="2023-02-03T00:00:00"/>
    <x v="2"/>
    <x v="2"/>
    <n v="2"/>
    <x v="2"/>
    <n v="89000"/>
    <n v="65000"/>
    <n v="178000"/>
    <n v="130000"/>
    <n v="47664"/>
    <n v="335.99999999999994"/>
    <s v="30 mns"/>
    <x v="1"/>
    <n v="2"/>
    <x v="1"/>
  </r>
  <r>
    <d v="2023-02-03T00:00:00"/>
    <x v="3"/>
    <x v="3"/>
    <n v="2"/>
    <x v="0"/>
    <n v="33000"/>
    <n v="18000"/>
    <n v="66000"/>
    <n v="36000"/>
    <n v="29790"/>
    <n v="209.99999999999997"/>
    <s v="35 mns"/>
    <x v="3"/>
    <n v="2"/>
    <x v="1"/>
  </r>
  <r>
    <d v="2023-02-03T00:00:00"/>
    <x v="3"/>
    <x v="3"/>
    <n v="2"/>
    <x v="1"/>
    <n v="60000"/>
    <n v="31000"/>
    <n v="120000"/>
    <n v="62000"/>
    <n v="57594"/>
    <n v="405.99999999999994"/>
    <s v="35 mns"/>
    <x v="3"/>
    <n v="2"/>
    <x v="1"/>
  </r>
  <r>
    <d v="2023-02-03T00:00:00"/>
    <x v="3"/>
    <x v="3"/>
    <n v="2"/>
    <x v="2"/>
    <n v="89000"/>
    <n v="65000"/>
    <n v="178000"/>
    <n v="130000"/>
    <n v="47664"/>
    <n v="335.99999999999994"/>
    <s v="35 mns"/>
    <x v="0"/>
    <n v="2"/>
    <x v="1"/>
  </r>
  <r>
    <d v="2023-02-04T00:00:00"/>
    <x v="0"/>
    <x v="0"/>
    <n v="2"/>
    <x v="0"/>
    <n v="33000"/>
    <n v="18000"/>
    <n v="66000"/>
    <n v="36000"/>
    <n v="29790"/>
    <n v="209.99999999999997"/>
    <s v="11 mns"/>
    <x v="3"/>
    <n v="2"/>
    <x v="1"/>
  </r>
  <r>
    <d v="2023-02-04T00:00:00"/>
    <x v="0"/>
    <x v="0"/>
    <n v="2"/>
    <x v="1"/>
    <n v="60000"/>
    <n v="31000"/>
    <n v="120000"/>
    <n v="62000"/>
    <n v="57594"/>
    <n v="405.99999999999994"/>
    <s v="11 mns"/>
    <x v="3"/>
    <n v="2"/>
    <x v="1"/>
  </r>
  <r>
    <d v="2023-02-04T00:00:00"/>
    <x v="0"/>
    <x v="0"/>
    <n v="2"/>
    <x v="2"/>
    <n v="89000"/>
    <n v="65000"/>
    <n v="178000"/>
    <n v="130000"/>
    <n v="47664"/>
    <n v="335.99999999999994"/>
    <s v="11 mns"/>
    <x v="3"/>
    <n v="2"/>
    <x v="1"/>
  </r>
  <r>
    <d v="2023-02-04T00:00:00"/>
    <x v="1"/>
    <x v="1"/>
    <n v="2"/>
    <x v="0"/>
    <n v="33000"/>
    <n v="18000"/>
    <n v="66000"/>
    <n v="36000"/>
    <n v="29790"/>
    <n v="209.99999999999997"/>
    <s v="58 mns"/>
    <x v="0"/>
    <n v="2"/>
    <x v="1"/>
  </r>
  <r>
    <d v="2023-02-04T00:00:00"/>
    <x v="2"/>
    <x v="2"/>
    <n v="2"/>
    <x v="0"/>
    <n v="33000"/>
    <n v="18000"/>
    <n v="66000"/>
    <n v="36000"/>
    <n v="29790"/>
    <n v="209.99999999999997"/>
    <s v="30 mns"/>
    <x v="3"/>
    <n v="2"/>
    <x v="1"/>
  </r>
  <r>
    <d v="2023-02-04T00:00:00"/>
    <x v="2"/>
    <x v="2"/>
    <n v="2"/>
    <x v="1"/>
    <n v="60000"/>
    <n v="31000"/>
    <n v="120000"/>
    <n v="62000"/>
    <n v="57594"/>
    <n v="405.99999999999994"/>
    <s v="30 mns"/>
    <x v="0"/>
    <n v="2"/>
    <x v="1"/>
  </r>
  <r>
    <d v="2023-02-04T00:00:00"/>
    <x v="2"/>
    <x v="2"/>
    <n v="2"/>
    <x v="2"/>
    <n v="89000"/>
    <n v="65000"/>
    <n v="178000"/>
    <n v="130000"/>
    <n v="47664"/>
    <n v="335.99999999999994"/>
    <s v="30 mns"/>
    <x v="3"/>
    <n v="2"/>
    <x v="1"/>
  </r>
  <r>
    <d v="2023-02-04T00:00:00"/>
    <x v="3"/>
    <x v="3"/>
    <n v="2"/>
    <x v="0"/>
    <n v="33000"/>
    <n v="18000"/>
    <n v="66000"/>
    <n v="36000"/>
    <n v="29790"/>
    <n v="209.99999999999997"/>
    <s v="35 mns"/>
    <x v="0"/>
    <n v="2"/>
    <x v="1"/>
  </r>
  <r>
    <d v="2023-02-04T00:00:00"/>
    <x v="3"/>
    <x v="3"/>
    <n v="2"/>
    <x v="1"/>
    <n v="60000"/>
    <n v="31000"/>
    <n v="120000"/>
    <n v="62000"/>
    <n v="57594"/>
    <n v="405.99999999999994"/>
    <s v="35 mns"/>
    <x v="3"/>
    <n v="2"/>
    <x v="1"/>
  </r>
  <r>
    <d v="2023-02-04T00:00:00"/>
    <x v="3"/>
    <x v="3"/>
    <n v="2"/>
    <x v="2"/>
    <n v="89000"/>
    <n v="65000"/>
    <n v="178000"/>
    <n v="130000"/>
    <n v="47664"/>
    <n v="335.99999999999994"/>
    <s v="35 mns"/>
    <x v="3"/>
    <n v="2"/>
    <x v="1"/>
  </r>
  <r>
    <d v="2023-02-05T00:00:00"/>
    <x v="0"/>
    <x v="0"/>
    <n v="1"/>
    <x v="0"/>
    <n v="33000"/>
    <n v="18000"/>
    <n v="33000"/>
    <n v="18000"/>
    <n v="14895"/>
    <n v="104.99999999999999"/>
    <s v="11 mns"/>
    <x v="0"/>
    <n v="2"/>
    <x v="1"/>
  </r>
  <r>
    <d v="2023-02-05T00:00:00"/>
    <x v="0"/>
    <x v="0"/>
    <n v="1"/>
    <x v="1"/>
    <n v="60000"/>
    <n v="31000"/>
    <n v="60000"/>
    <n v="31000"/>
    <n v="28797"/>
    <n v="202.99999999999997"/>
    <s v="11 mns"/>
    <x v="1"/>
    <n v="2"/>
    <x v="1"/>
  </r>
  <r>
    <d v="2023-02-05T00:00:00"/>
    <x v="0"/>
    <x v="0"/>
    <n v="1"/>
    <x v="2"/>
    <n v="89000"/>
    <n v="65000"/>
    <n v="89000"/>
    <n v="65000"/>
    <n v="23832"/>
    <n v="167.99999999999997"/>
    <s v="11 mns"/>
    <x v="1"/>
    <n v="2"/>
    <x v="1"/>
  </r>
  <r>
    <d v="2023-02-05T00:00:00"/>
    <x v="1"/>
    <x v="1"/>
    <n v="1"/>
    <x v="0"/>
    <n v="33000"/>
    <n v="18000"/>
    <n v="33000"/>
    <n v="18000"/>
    <n v="14895"/>
    <n v="104.99999999999999"/>
    <s v="58 mns"/>
    <x v="3"/>
    <n v="2"/>
    <x v="1"/>
  </r>
  <r>
    <d v="2023-02-05T00:00:00"/>
    <x v="2"/>
    <x v="2"/>
    <n v="1"/>
    <x v="0"/>
    <n v="33000"/>
    <n v="18000"/>
    <n v="33000"/>
    <n v="18000"/>
    <n v="14895"/>
    <n v="104.99999999999999"/>
    <s v="30 mns"/>
    <x v="1"/>
    <n v="2"/>
    <x v="1"/>
  </r>
  <r>
    <d v="2023-02-05T00:00:00"/>
    <x v="2"/>
    <x v="2"/>
    <n v="1"/>
    <x v="1"/>
    <n v="60000"/>
    <n v="31000"/>
    <n v="60000"/>
    <n v="31000"/>
    <n v="28797"/>
    <n v="202.99999999999997"/>
    <s v="30 mns"/>
    <x v="3"/>
    <n v="2"/>
    <x v="1"/>
  </r>
  <r>
    <d v="2023-02-05T00:00:00"/>
    <x v="2"/>
    <x v="2"/>
    <n v="1"/>
    <x v="2"/>
    <n v="89000"/>
    <n v="65000"/>
    <n v="89000"/>
    <n v="65000"/>
    <n v="23832"/>
    <n v="167.99999999999997"/>
    <s v="30 mns"/>
    <x v="0"/>
    <n v="2"/>
    <x v="1"/>
  </r>
  <r>
    <d v="2023-02-05T00:00:00"/>
    <x v="3"/>
    <x v="3"/>
    <n v="1"/>
    <x v="0"/>
    <n v="33000"/>
    <n v="18000"/>
    <n v="33000"/>
    <n v="18000"/>
    <n v="14895"/>
    <n v="104.99999999999999"/>
    <s v="35 mns"/>
    <x v="0"/>
    <n v="2"/>
    <x v="1"/>
  </r>
  <r>
    <d v="2023-02-05T00:00:00"/>
    <x v="3"/>
    <x v="3"/>
    <n v="1"/>
    <x v="1"/>
    <n v="60000"/>
    <n v="31000"/>
    <n v="60000"/>
    <n v="31000"/>
    <n v="28797"/>
    <n v="202.99999999999997"/>
    <s v="35 mns"/>
    <x v="3"/>
    <n v="2"/>
    <x v="1"/>
  </r>
  <r>
    <d v="2023-02-05T00:00:00"/>
    <x v="3"/>
    <x v="3"/>
    <n v="1"/>
    <x v="2"/>
    <n v="89000"/>
    <n v="65000"/>
    <n v="89000"/>
    <n v="65000"/>
    <n v="23832"/>
    <n v="167.99999999999997"/>
    <s v="35 mns"/>
    <x v="2"/>
    <n v="2"/>
    <x v="1"/>
  </r>
  <r>
    <d v="2023-02-06T00:00:00"/>
    <x v="0"/>
    <x v="0"/>
    <n v="1"/>
    <x v="0"/>
    <n v="33000"/>
    <n v="18000"/>
    <n v="33000"/>
    <n v="18000"/>
    <n v="14895"/>
    <n v="104.99999999999999"/>
    <s v="11 mns"/>
    <x v="3"/>
    <n v="2"/>
    <x v="1"/>
  </r>
  <r>
    <d v="2023-02-06T00:00:00"/>
    <x v="0"/>
    <x v="0"/>
    <n v="1"/>
    <x v="1"/>
    <n v="60000"/>
    <n v="31000"/>
    <n v="60000"/>
    <n v="31000"/>
    <n v="28797"/>
    <n v="202.99999999999997"/>
    <s v="11 mns"/>
    <x v="1"/>
    <n v="2"/>
    <x v="1"/>
  </r>
  <r>
    <d v="2023-02-06T00:00:00"/>
    <x v="0"/>
    <x v="0"/>
    <n v="1"/>
    <x v="2"/>
    <n v="89000"/>
    <n v="65000"/>
    <n v="89000"/>
    <n v="65000"/>
    <n v="23832"/>
    <n v="167.99999999999997"/>
    <s v="11 mns"/>
    <x v="0"/>
    <n v="2"/>
    <x v="1"/>
  </r>
  <r>
    <d v="2023-02-06T00:00:00"/>
    <x v="1"/>
    <x v="1"/>
    <n v="1"/>
    <x v="0"/>
    <n v="33000"/>
    <n v="18000"/>
    <n v="33000"/>
    <n v="18000"/>
    <n v="14895"/>
    <n v="104.99999999999999"/>
    <s v="58 mns"/>
    <x v="3"/>
    <n v="2"/>
    <x v="1"/>
  </r>
  <r>
    <d v="2023-02-06T00:00:00"/>
    <x v="2"/>
    <x v="2"/>
    <n v="1"/>
    <x v="0"/>
    <n v="33000"/>
    <n v="18000"/>
    <n v="33000"/>
    <n v="18000"/>
    <n v="14895"/>
    <n v="104.99999999999999"/>
    <s v="30 mns"/>
    <x v="1"/>
    <n v="2"/>
    <x v="1"/>
  </r>
  <r>
    <d v="2023-02-06T00:00:00"/>
    <x v="2"/>
    <x v="2"/>
    <n v="1"/>
    <x v="1"/>
    <n v="60000"/>
    <n v="31000"/>
    <n v="60000"/>
    <n v="31000"/>
    <n v="28797"/>
    <n v="202.99999999999997"/>
    <s v="30 mns"/>
    <x v="0"/>
    <n v="2"/>
    <x v="1"/>
  </r>
  <r>
    <d v="2023-02-06T00:00:00"/>
    <x v="2"/>
    <x v="2"/>
    <n v="1"/>
    <x v="2"/>
    <n v="89000"/>
    <n v="65000"/>
    <n v="89000"/>
    <n v="65000"/>
    <n v="23832"/>
    <n v="167.99999999999997"/>
    <s v="30 mns"/>
    <x v="1"/>
    <n v="2"/>
    <x v="1"/>
  </r>
  <r>
    <d v="2023-02-06T00:00:00"/>
    <x v="3"/>
    <x v="3"/>
    <n v="1"/>
    <x v="0"/>
    <n v="33000"/>
    <n v="18000"/>
    <n v="33000"/>
    <n v="18000"/>
    <n v="14895"/>
    <n v="104.99999999999999"/>
    <s v="35 mns"/>
    <x v="3"/>
    <n v="2"/>
    <x v="1"/>
  </r>
  <r>
    <d v="2023-02-06T00:00:00"/>
    <x v="3"/>
    <x v="3"/>
    <n v="1"/>
    <x v="1"/>
    <n v="60000"/>
    <n v="31000"/>
    <n v="60000"/>
    <n v="31000"/>
    <n v="28797"/>
    <n v="202.99999999999997"/>
    <s v="35 mns"/>
    <x v="3"/>
    <n v="2"/>
    <x v="1"/>
  </r>
  <r>
    <d v="2023-02-06T00:00:00"/>
    <x v="3"/>
    <x v="3"/>
    <n v="1"/>
    <x v="2"/>
    <n v="89000"/>
    <n v="65000"/>
    <n v="89000"/>
    <n v="65000"/>
    <n v="23832"/>
    <n v="167.99999999999997"/>
    <s v="35 mns"/>
    <x v="3"/>
    <n v="2"/>
    <x v="1"/>
  </r>
  <r>
    <d v="2023-02-07T00:00:00"/>
    <x v="0"/>
    <x v="0"/>
    <n v="2"/>
    <x v="0"/>
    <n v="33000"/>
    <n v="18000"/>
    <n v="66000"/>
    <n v="36000"/>
    <n v="29790"/>
    <n v="209.99999999999997"/>
    <s v="11 mns"/>
    <x v="3"/>
    <n v="2"/>
    <x v="1"/>
  </r>
  <r>
    <d v="2023-02-07T00:00:00"/>
    <x v="0"/>
    <x v="0"/>
    <n v="2"/>
    <x v="1"/>
    <n v="60000"/>
    <n v="31000"/>
    <n v="120000"/>
    <n v="62000"/>
    <n v="57594"/>
    <n v="405.99999999999994"/>
    <s v="11 mns"/>
    <x v="0"/>
    <n v="2"/>
    <x v="1"/>
  </r>
  <r>
    <d v="2023-02-07T00:00:00"/>
    <x v="0"/>
    <x v="0"/>
    <n v="2"/>
    <x v="2"/>
    <n v="89000"/>
    <n v="65000"/>
    <n v="178000"/>
    <n v="130000"/>
    <n v="47664"/>
    <n v="335.99999999999994"/>
    <s v="11 mns"/>
    <x v="3"/>
    <n v="2"/>
    <x v="1"/>
  </r>
  <r>
    <d v="2023-02-07T00:00:00"/>
    <x v="1"/>
    <x v="1"/>
    <n v="2"/>
    <x v="0"/>
    <n v="33000"/>
    <n v="18000"/>
    <n v="66000"/>
    <n v="36000"/>
    <n v="29790"/>
    <n v="209.99999999999997"/>
    <s v="58 mns"/>
    <x v="0"/>
    <n v="2"/>
    <x v="1"/>
  </r>
  <r>
    <d v="2023-02-07T00:00:00"/>
    <x v="2"/>
    <x v="2"/>
    <n v="2"/>
    <x v="0"/>
    <n v="33000"/>
    <n v="18000"/>
    <n v="66000"/>
    <n v="36000"/>
    <n v="29790"/>
    <n v="209.99999999999997"/>
    <s v="30 mns"/>
    <x v="2"/>
    <n v="2"/>
    <x v="1"/>
  </r>
  <r>
    <d v="2023-02-07T00:00:00"/>
    <x v="2"/>
    <x v="2"/>
    <n v="2"/>
    <x v="1"/>
    <n v="60000"/>
    <n v="31000"/>
    <n v="120000"/>
    <n v="62000"/>
    <n v="57594"/>
    <n v="405.99999999999994"/>
    <s v="30 mns"/>
    <x v="0"/>
    <n v="2"/>
    <x v="1"/>
  </r>
  <r>
    <d v="2023-02-07T00:00:00"/>
    <x v="2"/>
    <x v="2"/>
    <n v="2"/>
    <x v="2"/>
    <n v="89000"/>
    <n v="65000"/>
    <n v="178000"/>
    <n v="130000"/>
    <n v="47664"/>
    <n v="335.99999999999994"/>
    <s v="30 mns"/>
    <x v="3"/>
    <n v="2"/>
    <x v="1"/>
  </r>
  <r>
    <d v="2023-02-07T00:00:00"/>
    <x v="3"/>
    <x v="3"/>
    <n v="2"/>
    <x v="0"/>
    <n v="33000"/>
    <n v="18000"/>
    <n v="66000"/>
    <n v="36000"/>
    <n v="29790"/>
    <n v="209.99999999999997"/>
    <s v="35 mns"/>
    <x v="1"/>
    <n v="2"/>
    <x v="1"/>
  </r>
  <r>
    <d v="2023-02-07T00:00:00"/>
    <x v="3"/>
    <x v="3"/>
    <n v="2"/>
    <x v="1"/>
    <n v="60000"/>
    <n v="31000"/>
    <n v="120000"/>
    <n v="62000"/>
    <n v="57594"/>
    <n v="405.99999999999994"/>
    <s v="35 mns"/>
    <x v="1"/>
    <n v="2"/>
    <x v="1"/>
  </r>
  <r>
    <d v="2023-02-07T00:00:00"/>
    <x v="3"/>
    <x v="3"/>
    <n v="2"/>
    <x v="2"/>
    <n v="89000"/>
    <n v="65000"/>
    <n v="178000"/>
    <n v="130000"/>
    <n v="47664"/>
    <n v="335.99999999999994"/>
    <s v="35 mns"/>
    <x v="3"/>
    <n v="2"/>
    <x v="1"/>
  </r>
  <r>
    <d v="2023-02-08T00:00:00"/>
    <x v="0"/>
    <x v="0"/>
    <n v="1"/>
    <x v="0"/>
    <n v="33000"/>
    <n v="18000"/>
    <n v="33000"/>
    <n v="18000"/>
    <n v="14895"/>
    <n v="104.99999999999999"/>
    <s v="11 mns"/>
    <x v="1"/>
    <n v="2"/>
    <x v="1"/>
  </r>
  <r>
    <d v="2023-02-08T00:00:00"/>
    <x v="0"/>
    <x v="0"/>
    <n v="1"/>
    <x v="1"/>
    <n v="60000"/>
    <n v="31000"/>
    <n v="60000"/>
    <n v="31000"/>
    <n v="28797"/>
    <n v="202.99999999999997"/>
    <s v="11 mns"/>
    <x v="3"/>
    <n v="2"/>
    <x v="1"/>
  </r>
  <r>
    <d v="2023-02-08T00:00:00"/>
    <x v="0"/>
    <x v="0"/>
    <n v="1"/>
    <x v="2"/>
    <n v="89000"/>
    <n v="65000"/>
    <n v="89000"/>
    <n v="65000"/>
    <n v="23832"/>
    <n v="167.99999999999997"/>
    <s v="11 mns"/>
    <x v="0"/>
    <n v="2"/>
    <x v="1"/>
  </r>
  <r>
    <d v="2023-02-08T00:00:00"/>
    <x v="1"/>
    <x v="1"/>
    <n v="1"/>
    <x v="0"/>
    <n v="33000"/>
    <n v="18000"/>
    <n v="33000"/>
    <n v="18000"/>
    <n v="14895"/>
    <n v="104.99999999999999"/>
    <s v="58 mns"/>
    <x v="3"/>
    <n v="2"/>
    <x v="1"/>
  </r>
  <r>
    <d v="2023-02-08T00:00:00"/>
    <x v="2"/>
    <x v="2"/>
    <n v="1"/>
    <x v="0"/>
    <n v="33000"/>
    <n v="18000"/>
    <n v="33000"/>
    <n v="18000"/>
    <n v="14895"/>
    <n v="104.99999999999999"/>
    <s v="30 mns"/>
    <x v="3"/>
    <n v="2"/>
    <x v="1"/>
  </r>
  <r>
    <d v="2023-02-08T00:00:00"/>
    <x v="2"/>
    <x v="2"/>
    <n v="1"/>
    <x v="1"/>
    <n v="60000"/>
    <n v="31000"/>
    <n v="60000"/>
    <n v="31000"/>
    <n v="28797"/>
    <n v="202.99999999999997"/>
    <s v="30 mns"/>
    <x v="0"/>
    <n v="2"/>
    <x v="1"/>
  </r>
  <r>
    <d v="2023-02-08T00:00:00"/>
    <x v="2"/>
    <x v="2"/>
    <n v="1"/>
    <x v="2"/>
    <n v="89000"/>
    <n v="65000"/>
    <n v="89000"/>
    <n v="65000"/>
    <n v="23832"/>
    <n v="167.99999999999997"/>
    <s v="30 mns"/>
    <x v="1"/>
    <n v="2"/>
    <x v="1"/>
  </r>
  <r>
    <d v="2023-02-08T00:00:00"/>
    <x v="3"/>
    <x v="3"/>
    <n v="1"/>
    <x v="0"/>
    <n v="33000"/>
    <n v="18000"/>
    <n v="33000"/>
    <n v="18000"/>
    <n v="14895"/>
    <n v="104.99999999999999"/>
    <s v="35 mns"/>
    <x v="3"/>
    <n v="2"/>
    <x v="1"/>
  </r>
  <r>
    <d v="2023-02-08T00:00:00"/>
    <x v="3"/>
    <x v="3"/>
    <n v="1"/>
    <x v="1"/>
    <n v="60000"/>
    <n v="31000"/>
    <n v="60000"/>
    <n v="31000"/>
    <n v="28797"/>
    <n v="202.99999999999997"/>
    <s v="35 mns"/>
    <x v="0"/>
    <n v="2"/>
    <x v="1"/>
  </r>
  <r>
    <d v="2023-02-08T00:00:00"/>
    <x v="3"/>
    <x v="3"/>
    <n v="1"/>
    <x v="2"/>
    <n v="89000"/>
    <n v="65000"/>
    <n v="89000"/>
    <n v="65000"/>
    <n v="23832"/>
    <n v="167.99999999999997"/>
    <s v="35 mns"/>
    <x v="3"/>
    <n v="2"/>
    <x v="1"/>
  </r>
  <r>
    <d v="2023-02-09T00:00:00"/>
    <x v="0"/>
    <x v="0"/>
    <n v="1"/>
    <x v="0"/>
    <n v="33000"/>
    <n v="18000"/>
    <n v="33000"/>
    <n v="18000"/>
    <n v="14895"/>
    <n v="104.99999999999999"/>
    <s v="11 mns"/>
    <x v="3"/>
    <n v="2"/>
    <x v="1"/>
  </r>
  <r>
    <d v="2023-02-09T00:00:00"/>
    <x v="0"/>
    <x v="0"/>
    <n v="1"/>
    <x v="1"/>
    <n v="60000"/>
    <n v="31000"/>
    <n v="60000"/>
    <n v="31000"/>
    <n v="28797"/>
    <n v="202.99999999999997"/>
    <s v="11 mns"/>
    <x v="0"/>
    <n v="2"/>
    <x v="1"/>
  </r>
  <r>
    <d v="2023-02-09T00:00:00"/>
    <x v="0"/>
    <x v="0"/>
    <n v="1"/>
    <x v="2"/>
    <n v="89000"/>
    <n v="65000"/>
    <n v="89000"/>
    <n v="65000"/>
    <n v="23832"/>
    <n v="167.99999999999997"/>
    <s v="11 mns"/>
    <x v="1"/>
    <n v="2"/>
    <x v="1"/>
  </r>
  <r>
    <d v="2023-02-09T00:00:00"/>
    <x v="1"/>
    <x v="1"/>
    <n v="1"/>
    <x v="0"/>
    <n v="33000"/>
    <n v="18000"/>
    <n v="33000"/>
    <n v="18000"/>
    <n v="14895"/>
    <n v="104.99999999999999"/>
    <s v="58 mns"/>
    <x v="3"/>
    <n v="2"/>
    <x v="1"/>
  </r>
  <r>
    <d v="2023-02-09T00:00:00"/>
    <x v="2"/>
    <x v="2"/>
    <n v="1"/>
    <x v="0"/>
    <n v="33000"/>
    <n v="18000"/>
    <n v="33000"/>
    <n v="18000"/>
    <n v="14895"/>
    <n v="104.99999999999999"/>
    <s v="30 mns"/>
    <x v="3"/>
    <n v="2"/>
    <x v="1"/>
  </r>
  <r>
    <d v="2023-02-09T00:00:00"/>
    <x v="2"/>
    <x v="2"/>
    <n v="1"/>
    <x v="1"/>
    <n v="60000"/>
    <n v="31000"/>
    <n v="60000"/>
    <n v="31000"/>
    <n v="28797"/>
    <n v="202.99999999999997"/>
    <s v="30 mns"/>
    <x v="1"/>
    <n v="2"/>
    <x v="1"/>
  </r>
  <r>
    <d v="2023-02-09T00:00:00"/>
    <x v="2"/>
    <x v="2"/>
    <n v="1"/>
    <x v="2"/>
    <n v="89000"/>
    <n v="65000"/>
    <n v="89000"/>
    <n v="65000"/>
    <n v="23832"/>
    <n v="167.99999999999997"/>
    <s v="30 mns"/>
    <x v="1"/>
    <n v="2"/>
    <x v="1"/>
  </r>
  <r>
    <d v="2023-02-09T00:00:00"/>
    <x v="3"/>
    <x v="3"/>
    <n v="1"/>
    <x v="0"/>
    <n v="33000"/>
    <n v="18000"/>
    <n v="33000"/>
    <n v="18000"/>
    <n v="14895"/>
    <n v="104.99999999999999"/>
    <s v="35 mns"/>
    <x v="0"/>
    <n v="2"/>
    <x v="1"/>
  </r>
  <r>
    <d v="2023-02-09T00:00:00"/>
    <x v="3"/>
    <x v="3"/>
    <n v="1"/>
    <x v="1"/>
    <n v="60000"/>
    <n v="31000"/>
    <n v="60000"/>
    <n v="31000"/>
    <n v="28797"/>
    <n v="202.99999999999997"/>
    <s v="35 mns"/>
    <x v="0"/>
    <n v="2"/>
    <x v="1"/>
  </r>
  <r>
    <d v="2023-02-09T00:00:00"/>
    <x v="3"/>
    <x v="3"/>
    <n v="1"/>
    <x v="2"/>
    <n v="89000"/>
    <n v="65000"/>
    <n v="89000"/>
    <n v="65000"/>
    <n v="23832"/>
    <n v="167.99999999999997"/>
    <s v="35 mns"/>
    <x v="3"/>
    <n v="2"/>
    <x v="1"/>
  </r>
  <r>
    <d v="2023-02-10T00:00:00"/>
    <x v="0"/>
    <x v="0"/>
    <n v="1"/>
    <x v="0"/>
    <n v="33000"/>
    <n v="18000"/>
    <n v="33000"/>
    <n v="18000"/>
    <n v="14895"/>
    <n v="104.99999999999999"/>
    <s v="11 mns"/>
    <x v="0"/>
    <n v="2"/>
    <x v="1"/>
  </r>
  <r>
    <d v="2023-02-10T00:00:00"/>
    <x v="0"/>
    <x v="0"/>
    <n v="1"/>
    <x v="1"/>
    <n v="60000"/>
    <n v="31000"/>
    <n v="60000"/>
    <n v="31000"/>
    <n v="28797"/>
    <n v="202.99999999999997"/>
    <s v="11 mns"/>
    <x v="1"/>
    <n v="2"/>
    <x v="1"/>
  </r>
  <r>
    <d v="2023-02-10T00:00:00"/>
    <x v="0"/>
    <x v="0"/>
    <n v="1"/>
    <x v="2"/>
    <n v="89000"/>
    <n v="65000"/>
    <n v="89000"/>
    <n v="65000"/>
    <n v="23832"/>
    <n v="167.99999999999997"/>
    <s v="11 mns"/>
    <x v="3"/>
    <n v="2"/>
    <x v="1"/>
  </r>
  <r>
    <d v="2023-02-10T00:00:00"/>
    <x v="1"/>
    <x v="1"/>
    <n v="1"/>
    <x v="0"/>
    <n v="33000"/>
    <n v="18000"/>
    <n v="33000"/>
    <n v="18000"/>
    <n v="14895"/>
    <n v="104.99999999999999"/>
    <s v="58 mns"/>
    <x v="3"/>
    <n v="2"/>
    <x v="1"/>
  </r>
  <r>
    <d v="2023-02-10T00:00:00"/>
    <x v="2"/>
    <x v="2"/>
    <n v="1"/>
    <x v="0"/>
    <n v="33000"/>
    <n v="18000"/>
    <n v="33000"/>
    <n v="18000"/>
    <n v="14895"/>
    <n v="104.99999999999999"/>
    <s v="30 mns"/>
    <x v="3"/>
    <n v="2"/>
    <x v="1"/>
  </r>
  <r>
    <d v="2023-02-10T00:00:00"/>
    <x v="2"/>
    <x v="2"/>
    <n v="1"/>
    <x v="1"/>
    <n v="60000"/>
    <n v="31000"/>
    <n v="60000"/>
    <n v="31000"/>
    <n v="28797"/>
    <n v="202.99999999999997"/>
    <s v="30 mns"/>
    <x v="0"/>
    <n v="2"/>
    <x v="1"/>
  </r>
  <r>
    <d v="2023-02-10T00:00:00"/>
    <x v="2"/>
    <x v="2"/>
    <n v="1"/>
    <x v="2"/>
    <n v="89000"/>
    <n v="65000"/>
    <n v="89000"/>
    <n v="65000"/>
    <n v="23832"/>
    <n v="167.99999999999997"/>
    <s v="30 mns"/>
    <x v="3"/>
    <n v="2"/>
    <x v="1"/>
  </r>
  <r>
    <d v="2023-02-10T00:00:00"/>
    <x v="3"/>
    <x v="3"/>
    <n v="1"/>
    <x v="0"/>
    <n v="33000"/>
    <n v="18000"/>
    <n v="33000"/>
    <n v="18000"/>
    <n v="14895"/>
    <n v="104.99999999999999"/>
    <s v="35 mns"/>
    <x v="3"/>
    <n v="2"/>
    <x v="1"/>
  </r>
  <r>
    <d v="2023-02-10T00:00:00"/>
    <x v="3"/>
    <x v="3"/>
    <n v="1"/>
    <x v="1"/>
    <n v="60000"/>
    <n v="31000"/>
    <n v="60000"/>
    <n v="31000"/>
    <n v="28797"/>
    <n v="202.99999999999997"/>
    <s v="35 mns"/>
    <x v="0"/>
    <n v="2"/>
    <x v="1"/>
  </r>
  <r>
    <d v="2023-02-10T00:00:00"/>
    <x v="3"/>
    <x v="3"/>
    <n v="1"/>
    <x v="2"/>
    <n v="89000"/>
    <n v="65000"/>
    <n v="89000"/>
    <n v="65000"/>
    <n v="23832"/>
    <n v="167.99999999999997"/>
    <s v="35 mns"/>
    <x v="0"/>
    <n v="2"/>
    <x v="1"/>
  </r>
  <r>
    <d v="2023-02-11T00:00:00"/>
    <x v="0"/>
    <x v="0"/>
    <n v="1"/>
    <x v="0"/>
    <n v="33000"/>
    <n v="18000"/>
    <n v="33000"/>
    <n v="18000"/>
    <n v="14895"/>
    <n v="104.99999999999999"/>
    <s v="11 mns"/>
    <x v="3"/>
    <n v="2"/>
    <x v="1"/>
  </r>
  <r>
    <d v="2023-02-11T00:00:00"/>
    <x v="0"/>
    <x v="0"/>
    <n v="1"/>
    <x v="1"/>
    <n v="60000"/>
    <n v="31000"/>
    <n v="60000"/>
    <n v="31000"/>
    <n v="28797"/>
    <n v="202.99999999999997"/>
    <s v="11 mns"/>
    <x v="2"/>
    <n v="2"/>
    <x v="1"/>
  </r>
  <r>
    <d v="2023-02-11T00:00:00"/>
    <x v="0"/>
    <x v="0"/>
    <n v="1"/>
    <x v="2"/>
    <n v="89000"/>
    <n v="65000"/>
    <n v="89000"/>
    <n v="65000"/>
    <n v="23832"/>
    <n v="167.99999999999997"/>
    <s v="11 mns"/>
    <x v="1"/>
    <n v="2"/>
    <x v="1"/>
  </r>
  <r>
    <d v="2023-02-11T00:00:00"/>
    <x v="1"/>
    <x v="1"/>
    <n v="1"/>
    <x v="0"/>
    <n v="33000"/>
    <n v="18000"/>
    <n v="33000"/>
    <n v="18000"/>
    <n v="14895"/>
    <n v="104.99999999999999"/>
    <s v="58 mns"/>
    <x v="3"/>
    <n v="2"/>
    <x v="1"/>
  </r>
  <r>
    <d v="2023-02-11T00:00:00"/>
    <x v="2"/>
    <x v="2"/>
    <n v="1"/>
    <x v="0"/>
    <n v="33000"/>
    <n v="18000"/>
    <n v="33000"/>
    <n v="18000"/>
    <n v="14895"/>
    <n v="104.99999999999999"/>
    <s v="30 mns"/>
    <x v="1"/>
    <n v="2"/>
    <x v="1"/>
  </r>
  <r>
    <d v="2023-02-11T00:00:00"/>
    <x v="2"/>
    <x v="2"/>
    <n v="1"/>
    <x v="1"/>
    <n v="60000"/>
    <n v="31000"/>
    <n v="60000"/>
    <n v="31000"/>
    <n v="28797"/>
    <n v="202.99999999999997"/>
    <s v="30 mns"/>
    <x v="3"/>
    <n v="2"/>
    <x v="1"/>
  </r>
  <r>
    <d v="2023-02-11T00:00:00"/>
    <x v="2"/>
    <x v="2"/>
    <n v="1"/>
    <x v="2"/>
    <n v="89000"/>
    <n v="65000"/>
    <n v="89000"/>
    <n v="65000"/>
    <n v="23832"/>
    <n v="167.99999999999997"/>
    <s v="30 mns"/>
    <x v="1"/>
    <n v="2"/>
    <x v="1"/>
  </r>
  <r>
    <d v="2023-02-11T00:00:00"/>
    <x v="3"/>
    <x v="3"/>
    <n v="1"/>
    <x v="0"/>
    <n v="33000"/>
    <n v="18000"/>
    <n v="33000"/>
    <n v="18000"/>
    <n v="14895"/>
    <n v="104.99999999999999"/>
    <s v="35 mns"/>
    <x v="3"/>
    <n v="2"/>
    <x v="1"/>
  </r>
  <r>
    <d v="2023-02-11T00:00:00"/>
    <x v="3"/>
    <x v="3"/>
    <n v="1"/>
    <x v="1"/>
    <n v="60000"/>
    <n v="31000"/>
    <n v="60000"/>
    <n v="31000"/>
    <n v="28797"/>
    <n v="202.99999999999997"/>
    <s v="35 mns"/>
    <x v="1"/>
    <n v="2"/>
    <x v="1"/>
  </r>
  <r>
    <d v="2023-02-11T00:00:00"/>
    <x v="3"/>
    <x v="3"/>
    <n v="1"/>
    <x v="2"/>
    <n v="89000"/>
    <n v="65000"/>
    <n v="89000"/>
    <n v="65000"/>
    <n v="23832"/>
    <n v="167.99999999999997"/>
    <s v="35 mns"/>
    <x v="0"/>
    <n v="2"/>
    <x v="1"/>
  </r>
  <r>
    <d v="2023-02-12T00:00:00"/>
    <x v="0"/>
    <x v="0"/>
    <n v="1"/>
    <x v="0"/>
    <n v="33000"/>
    <n v="18000"/>
    <n v="33000"/>
    <n v="18000"/>
    <n v="14895"/>
    <n v="104.99999999999999"/>
    <s v="11 mns"/>
    <x v="0"/>
    <n v="2"/>
    <x v="1"/>
  </r>
  <r>
    <d v="2023-02-12T00:00:00"/>
    <x v="0"/>
    <x v="0"/>
    <n v="1"/>
    <x v="1"/>
    <n v="60000"/>
    <n v="31000"/>
    <n v="60000"/>
    <n v="31000"/>
    <n v="28797"/>
    <n v="202.99999999999997"/>
    <s v="11 mns"/>
    <x v="1"/>
    <n v="2"/>
    <x v="1"/>
  </r>
  <r>
    <d v="2023-02-12T00:00:00"/>
    <x v="0"/>
    <x v="0"/>
    <n v="1"/>
    <x v="2"/>
    <n v="89000"/>
    <n v="65000"/>
    <n v="89000"/>
    <n v="65000"/>
    <n v="23832"/>
    <n v="167.99999999999997"/>
    <s v="11 mns"/>
    <x v="1"/>
    <n v="2"/>
    <x v="1"/>
  </r>
  <r>
    <d v="2023-02-12T00:00:00"/>
    <x v="1"/>
    <x v="1"/>
    <n v="1"/>
    <x v="0"/>
    <n v="33000"/>
    <n v="18000"/>
    <n v="33000"/>
    <n v="18000"/>
    <n v="14895"/>
    <n v="104.99999999999999"/>
    <s v="58 mns"/>
    <x v="0"/>
    <n v="2"/>
    <x v="1"/>
  </r>
  <r>
    <d v="2023-02-12T00:00:00"/>
    <x v="2"/>
    <x v="2"/>
    <n v="1"/>
    <x v="0"/>
    <n v="33000"/>
    <n v="18000"/>
    <n v="33000"/>
    <n v="18000"/>
    <n v="14895"/>
    <n v="104.99999999999999"/>
    <s v="30 mns"/>
    <x v="1"/>
    <n v="2"/>
    <x v="1"/>
  </r>
  <r>
    <d v="2023-02-12T00:00:00"/>
    <x v="2"/>
    <x v="2"/>
    <n v="1"/>
    <x v="1"/>
    <n v="60000"/>
    <n v="31000"/>
    <n v="60000"/>
    <n v="31000"/>
    <n v="28797"/>
    <n v="202.99999999999997"/>
    <s v="30 mns"/>
    <x v="2"/>
    <n v="2"/>
    <x v="1"/>
  </r>
  <r>
    <d v="2023-02-12T00:00:00"/>
    <x v="2"/>
    <x v="2"/>
    <n v="1"/>
    <x v="2"/>
    <n v="89000"/>
    <n v="65000"/>
    <n v="89000"/>
    <n v="65000"/>
    <n v="23832"/>
    <n v="167.99999999999997"/>
    <s v="30 mns"/>
    <x v="0"/>
    <n v="2"/>
    <x v="1"/>
  </r>
  <r>
    <d v="2023-02-12T00:00:00"/>
    <x v="3"/>
    <x v="3"/>
    <n v="1"/>
    <x v="0"/>
    <n v="33000"/>
    <n v="18000"/>
    <n v="33000"/>
    <n v="18000"/>
    <n v="14895"/>
    <n v="104.99999999999999"/>
    <s v="35 mns"/>
    <x v="3"/>
    <n v="2"/>
    <x v="1"/>
  </r>
  <r>
    <d v="2023-02-12T00:00:00"/>
    <x v="3"/>
    <x v="3"/>
    <n v="1"/>
    <x v="1"/>
    <n v="60000"/>
    <n v="31000"/>
    <n v="60000"/>
    <n v="31000"/>
    <n v="28797"/>
    <n v="202.99999999999997"/>
    <s v="35 mns"/>
    <x v="0"/>
    <n v="2"/>
    <x v="1"/>
  </r>
  <r>
    <d v="2023-02-12T00:00:00"/>
    <x v="3"/>
    <x v="3"/>
    <n v="1"/>
    <x v="2"/>
    <n v="89000"/>
    <n v="65000"/>
    <n v="89000"/>
    <n v="65000"/>
    <n v="23832"/>
    <n v="167.99999999999997"/>
    <s v="35 mns"/>
    <x v="2"/>
    <n v="2"/>
    <x v="1"/>
  </r>
  <r>
    <d v="2023-02-13T00:00:00"/>
    <x v="0"/>
    <x v="0"/>
    <n v="1"/>
    <x v="0"/>
    <n v="33000"/>
    <n v="18000"/>
    <n v="33000"/>
    <n v="18000"/>
    <n v="14895"/>
    <n v="104.99999999999999"/>
    <s v="11 mns"/>
    <x v="0"/>
    <n v="2"/>
    <x v="1"/>
  </r>
  <r>
    <d v="2023-02-13T00:00:00"/>
    <x v="0"/>
    <x v="0"/>
    <n v="1"/>
    <x v="1"/>
    <n v="60000"/>
    <n v="31000"/>
    <n v="60000"/>
    <n v="31000"/>
    <n v="28797"/>
    <n v="202.99999999999997"/>
    <s v="11 mns"/>
    <x v="0"/>
    <n v="2"/>
    <x v="1"/>
  </r>
  <r>
    <d v="2023-02-13T00:00:00"/>
    <x v="0"/>
    <x v="0"/>
    <n v="1"/>
    <x v="2"/>
    <n v="89000"/>
    <n v="65000"/>
    <n v="89000"/>
    <n v="65000"/>
    <n v="23832"/>
    <n v="167.99999999999997"/>
    <s v="11 mns"/>
    <x v="3"/>
    <n v="2"/>
    <x v="1"/>
  </r>
  <r>
    <d v="2023-02-13T00:00:00"/>
    <x v="1"/>
    <x v="1"/>
    <n v="1"/>
    <x v="0"/>
    <n v="33000"/>
    <n v="18000"/>
    <n v="33000"/>
    <n v="18000"/>
    <n v="14895"/>
    <n v="104.99999999999999"/>
    <s v="58 mns"/>
    <x v="2"/>
    <n v="2"/>
    <x v="1"/>
  </r>
  <r>
    <d v="2023-02-13T00:00:00"/>
    <x v="2"/>
    <x v="2"/>
    <n v="1"/>
    <x v="0"/>
    <n v="33000"/>
    <n v="18000"/>
    <n v="33000"/>
    <n v="18000"/>
    <n v="14895"/>
    <n v="104.99999999999999"/>
    <s v="30 mns"/>
    <x v="3"/>
    <n v="2"/>
    <x v="1"/>
  </r>
  <r>
    <d v="2023-02-13T00:00:00"/>
    <x v="2"/>
    <x v="2"/>
    <n v="1"/>
    <x v="1"/>
    <n v="60000"/>
    <n v="31000"/>
    <n v="60000"/>
    <n v="31000"/>
    <n v="28797"/>
    <n v="202.99999999999997"/>
    <s v="30 mns"/>
    <x v="1"/>
    <n v="2"/>
    <x v="1"/>
  </r>
  <r>
    <d v="2023-02-13T00:00:00"/>
    <x v="2"/>
    <x v="2"/>
    <n v="1"/>
    <x v="2"/>
    <n v="89000"/>
    <n v="65000"/>
    <n v="89000"/>
    <n v="65000"/>
    <n v="23832"/>
    <n v="167.99999999999997"/>
    <s v="30 mns"/>
    <x v="0"/>
    <n v="2"/>
    <x v="1"/>
  </r>
  <r>
    <d v="2023-02-13T00:00:00"/>
    <x v="3"/>
    <x v="3"/>
    <n v="1"/>
    <x v="0"/>
    <n v="33000"/>
    <n v="18000"/>
    <n v="33000"/>
    <n v="18000"/>
    <n v="14895"/>
    <n v="104.99999999999999"/>
    <s v="35 mns"/>
    <x v="1"/>
    <n v="2"/>
    <x v="1"/>
  </r>
  <r>
    <d v="2023-02-13T00:00:00"/>
    <x v="3"/>
    <x v="3"/>
    <n v="1"/>
    <x v="1"/>
    <n v="60000"/>
    <n v="31000"/>
    <n v="60000"/>
    <n v="31000"/>
    <n v="28797"/>
    <n v="202.99999999999997"/>
    <s v="35 mns"/>
    <x v="0"/>
    <n v="2"/>
    <x v="1"/>
  </r>
  <r>
    <d v="2023-02-13T00:00:00"/>
    <x v="3"/>
    <x v="3"/>
    <n v="1"/>
    <x v="2"/>
    <n v="89000"/>
    <n v="65000"/>
    <n v="89000"/>
    <n v="65000"/>
    <n v="23832"/>
    <n v="167.99999999999997"/>
    <s v="35 mns"/>
    <x v="1"/>
    <n v="2"/>
    <x v="1"/>
  </r>
  <r>
    <d v="2023-02-14T00:00:00"/>
    <x v="0"/>
    <x v="0"/>
    <n v="1"/>
    <x v="0"/>
    <n v="33000"/>
    <n v="18000"/>
    <n v="33000"/>
    <n v="18000"/>
    <n v="14895"/>
    <n v="104.99999999999999"/>
    <s v="11 mns"/>
    <x v="1"/>
    <n v="2"/>
    <x v="1"/>
  </r>
  <r>
    <d v="2023-02-14T00:00:00"/>
    <x v="0"/>
    <x v="0"/>
    <n v="1"/>
    <x v="1"/>
    <n v="60000"/>
    <n v="31000"/>
    <n v="60000"/>
    <n v="31000"/>
    <n v="28797"/>
    <n v="202.99999999999997"/>
    <s v="11 mns"/>
    <x v="0"/>
    <n v="2"/>
    <x v="1"/>
  </r>
  <r>
    <d v="2023-02-14T00:00:00"/>
    <x v="0"/>
    <x v="0"/>
    <n v="1"/>
    <x v="2"/>
    <n v="89000"/>
    <n v="65000"/>
    <n v="89000"/>
    <n v="65000"/>
    <n v="23832"/>
    <n v="167.99999999999997"/>
    <s v="11 mns"/>
    <x v="3"/>
    <n v="2"/>
    <x v="1"/>
  </r>
  <r>
    <d v="2023-02-14T00:00:00"/>
    <x v="1"/>
    <x v="1"/>
    <n v="1"/>
    <x v="0"/>
    <n v="33000"/>
    <n v="18000"/>
    <n v="33000"/>
    <n v="18000"/>
    <n v="14895"/>
    <n v="104.99999999999999"/>
    <s v="58 mns"/>
    <x v="1"/>
    <n v="2"/>
    <x v="1"/>
  </r>
  <r>
    <d v="2023-02-14T00:00:00"/>
    <x v="2"/>
    <x v="2"/>
    <n v="1"/>
    <x v="0"/>
    <n v="33000"/>
    <n v="18000"/>
    <n v="33000"/>
    <n v="18000"/>
    <n v="14895"/>
    <n v="104.99999999999999"/>
    <s v="30 mns"/>
    <x v="3"/>
    <n v="2"/>
    <x v="1"/>
  </r>
  <r>
    <d v="2023-02-14T00:00:00"/>
    <x v="2"/>
    <x v="2"/>
    <n v="1"/>
    <x v="1"/>
    <n v="60000"/>
    <n v="31000"/>
    <n v="60000"/>
    <n v="31000"/>
    <n v="28797"/>
    <n v="202.99999999999997"/>
    <s v="30 mns"/>
    <x v="3"/>
    <n v="2"/>
    <x v="1"/>
  </r>
  <r>
    <d v="2023-02-14T00:00:00"/>
    <x v="2"/>
    <x v="2"/>
    <n v="1"/>
    <x v="2"/>
    <n v="89000"/>
    <n v="65000"/>
    <n v="89000"/>
    <n v="65000"/>
    <n v="23832"/>
    <n v="167.99999999999997"/>
    <s v="30 mns"/>
    <x v="3"/>
    <n v="2"/>
    <x v="1"/>
  </r>
  <r>
    <d v="2023-02-14T00:00:00"/>
    <x v="3"/>
    <x v="3"/>
    <n v="1"/>
    <x v="0"/>
    <n v="33000"/>
    <n v="18000"/>
    <n v="33000"/>
    <n v="18000"/>
    <n v="14895"/>
    <n v="104.99999999999999"/>
    <s v="35 mns"/>
    <x v="2"/>
    <n v="2"/>
    <x v="1"/>
  </r>
  <r>
    <d v="2023-02-14T00:00:00"/>
    <x v="3"/>
    <x v="3"/>
    <n v="1"/>
    <x v="1"/>
    <n v="60000"/>
    <n v="31000"/>
    <n v="60000"/>
    <n v="31000"/>
    <n v="28797"/>
    <n v="202.99999999999997"/>
    <s v="35 mns"/>
    <x v="1"/>
    <n v="2"/>
    <x v="1"/>
  </r>
  <r>
    <d v="2023-02-14T00:00:00"/>
    <x v="3"/>
    <x v="3"/>
    <n v="1"/>
    <x v="2"/>
    <n v="89000"/>
    <n v="65000"/>
    <n v="89000"/>
    <n v="65000"/>
    <n v="23832"/>
    <n v="167.99999999999997"/>
    <s v="35 mns"/>
    <x v="0"/>
    <n v="2"/>
    <x v="1"/>
  </r>
  <r>
    <d v="2023-02-15T00:00:00"/>
    <x v="0"/>
    <x v="0"/>
    <n v="2"/>
    <x v="0"/>
    <n v="33000"/>
    <n v="18000"/>
    <n v="66000"/>
    <n v="36000"/>
    <n v="29790"/>
    <n v="209.99999999999997"/>
    <s v="11 mns"/>
    <x v="2"/>
    <n v="2"/>
    <x v="1"/>
  </r>
  <r>
    <d v="2023-02-15T00:00:00"/>
    <x v="0"/>
    <x v="0"/>
    <n v="2"/>
    <x v="1"/>
    <n v="60000"/>
    <n v="31000"/>
    <n v="120000"/>
    <n v="62000"/>
    <n v="57594"/>
    <n v="405.99999999999994"/>
    <s v="11 mns"/>
    <x v="3"/>
    <n v="2"/>
    <x v="1"/>
  </r>
  <r>
    <d v="2023-02-15T00:00:00"/>
    <x v="0"/>
    <x v="0"/>
    <n v="2"/>
    <x v="2"/>
    <n v="89000"/>
    <n v="65000"/>
    <n v="178000"/>
    <n v="130000"/>
    <n v="47664"/>
    <n v="335.99999999999994"/>
    <s v="11 mns"/>
    <x v="1"/>
    <n v="2"/>
    <x v="1"/>
  </r>
  <r>
    <d v="2023-02-15T00:00:00"/>
    <x v="1"/>
    <x v="1"/>
    <n v="2"/>
    <x v="0"/>
    <n v="33000"/>
    <n v="18000"/>
    <n v="66000"/>
    <n v="36000"/>
    <n v="29790"/>
    <n v="209.99999999999997"/>
    <s v="58 mns"/>
    <x v="2"/>
    <n v="2"/>
    <x v="1"/>
  </r>
  <r>
    <d v="2023-02-15T00:00:00"/>
    <x v="2"/>
    <x v="2"/>
    <n v="2"/>
    <x v="0"/>
    <n v="33000"/>
    <n v="18000"/>
    <n v="66000"/>
    <n v="36000"/>
    <n v="29790"/>
    <n v="209.99999999999997"/>
    <s v="30 mns"/>
    <x v="1"/>
    <n v="2"/>
    <x v="1"/>
  </r>
  <r>
    <d v="2023-02-15T00:00:00"/>
    <x v="2"/>
    <x v="2"/>
    <n v="2"/>
    <x v="1"/>
    <n v="60000"/>
    <n v="31000"/>
    <n v="120000"/>
    <n v="62000"/>
    <n v="57594"/>
    <n v="405.99999999999994"/>
    <s v="30 mns"/>
    <x v="1"/>
    <n v="2"/>
    <x v="1"/>
  </r>
  <r>
    <d v="2023-02-15T00:00:00"/>
    <x v="2"/>
    <x v="2"/>
    <n v="2"/>
    <x v="2"/>
    <n v="89000"/>
    <n v="65000"/>
    <n v="178000"/>
    <n v="130000"/>
    <n v="47664"/>
    <n v="335.99999999999994"/>
    <s v="30 mns"/>
    <x v="0"/>
    <n v="2"/>
    <x v="1"/>
  </r>
  <r>
    <d v="2023-02-15T00:00:00"/>
    <x v="3"/>
    <x v="3"/>
    <n v="2"/>
    <x v="0"/>
    <n v="33000"/>
    <n v="18000"/>
    <n v="66000"/>
    <n v="36000"/>
    <n v="29790"/>
    <n v="209.99999999999997"/>
    <s v="35 mns"/>
    <x v="3"/>
    <n v="2"/>
    <x v="1"/>
  </r>
  <r>
    <d v="2023-02-15T00:00:00"/>
    <x v="3"/>
    <x v="3"/>
    <n v="2"/>
    <x v="1"/>
    <n v="60000"/>
    <n v="31000"/>
    <n v="120000"/>
    <n v="62000"/>
    <n v="57594"/>
    <n v="405.99999999999994"/>
    <s v="35 mns"/>
    <x v="3"/>
    <n v="2"/>
    <x v="1"/>
  </r>
  <r>
    <d v="2023-02-15T00:00:00"/>
    <x v="3"/>
    <x v="3"/>
    <n v="2"/>
    <x v="2"/>
    <n v="89000"/>
    <n v="65000"/>
    <n v="178000"/>
    <n v="130000"/>
    <n v="47664"/>
    <n v="335.99999999999994"/>
    <s v="35 mns"/>
    <x v="0"/>
    <n v="2"/>
    <x v="1"/>
  </r>
  <r>
    <d v="2023-02-16T00:00:00"/>
    <x v="0"/>
    <x v="0"/>
    <n v="1"/>
    <x v="0"/>
    <n v="33000"/>
    <n v="18000"/>
    <n v="33000"/>
    <n v="18000"/>
    <n v="14895"/>
    <n v="104.99999999999999"/>
    <s v="11 mns"/>
    <x v="0"/>
    <n v="2"/>
    <x v="1"/>
  </r>
  <r>
    <d v="2023-02-16T00:00:00"/>
    <x v="0"/>
    <x v="0"/>
    <n v="1"/>
    <x v="1"/>
    <n v="60000"/>
    <n v="31000"/>
    <n v="60000"/>
    <n v="31000"/>
    <n v="28797"/>
    <n v="202.99999999999997"/>
    <s v="11 mns"/>
    <x v="2"/>
    <n v="2"/>
    <x v="1"/>
  </r>
  <r>
    <d v="2023-02-16T00:00:00"/>
    <x v="0"/>
    <x v="0"/>
    <n v="1"/>
    <x v="2"/>
    <n v="89000"/>
    <n v="65000"/>
    <n v="89000"/>
    <n v="65000"/>
    <n v="23832"/>
    <n v="167.99999999999997"/>
    <s v="11 mns"/>
    <x v="2"/>
    <n v="2"/>
    <x v="1"/>
  </r>
  <r>
    <d v="2023-02-16T00:00:00"/>
    <x v="1"/>
    <x v="1"/>
    <n v="1"/>
    <x v="0"/>
    <n v="33000"/>
    <n v="18000"/>
    <n v="33000"/>
    <n v="18000"/>
    <n v="14895"/>
    <n v="104.99999999999999"/>
    <s v="58 mns"/>
    <x v="1"/>
    <n v="2"/>
    <x v="1"/>
  </r>
  <r>
    <d v="2023-02-16T00:00:00"/>
    <x v="2"/>
    <x v="2"/>
    <n v="1"/>
    <x v="0"/>
    <n v="33000"/>
    <n v="18000"/>
    <n v="33000"/>
    <n v="18000"/>
    <n v="14895"/>
    <n v="104.99999999999999"/>
    <s v="30 mns"/>
    <x v="3"/>
    <n v="2"/>
    <x v="1"/>
  </r>
  <r>
    <d v="2023-02-16T00:00:00"/>
    <x v="2"/>
    <x v="2"/>
    <n v="1"/>
    <x v="1"/>
    <n v="60000"/>
    <n v="31000"/>
    <n v="60000"/>
    <n v="31000"/>
    <n v="28797"/>
    <n v="202.99999999999997"/>
    <s v="30 mns"/>
    <x v="3"/>
    <n v="2"/>
    <x v="1"/>
  </r>
  <r>
    <d v="2023-02-16T00:00:00"/>
    <x v="2"/>
    <x v="2"/>
    <n v="1"/>
    <x v="2"/>
    <n v="89000"/>
    <n v="65000"/>
    <n v="89000"/>
    <n v="65000"/>
    <n v="23832"/>
    <n v="167.99999999999997"/>
    <s v="30 mns"/>
    <x v="0"/>
    <n v="2"/>
    <x v="1"/>
  </r>
  <r>
    <d v="2023-02-16T00:00:00"/>
    <x v="3"/>
    <x v="3"/>
    <n v="1"/>
    <x v="0"/>
    <n v="33000"/>
    <n v="18000"/>
    <n v="33000"/>
    <n v="18000"/>
    <n v="14895"/>
    <n v="104.99999999999999"/>
    <s v="35 mns"/>
    <x v="1"/>
    <n v="2"/>
    <x v="1"/>
  </r>
  <r>
    <d v="2023-02-16T00:00:00"/>
    <x v="3"/>
    <x v="3"/>
    <n v="1"/>
    <x v="1"/>
    <n v="60000"/>
    <n v="31000"/>
    <n v="60000"/>
    <n v="31000"/>
    <n v="28797"/>
    <n v="202.99999999999997"/>
    <s v="35 mns"/>
    <x v="1"/>
    <n v="2"/>
    <x v="1"/>
  </r>
  <r>
    <d v="2023-02-16T00:00:00"/>
    <x v="3"/>
    <x v="3"/>
    <n v="1"/>
    <x v="2"/>
    <n v="89000"/>
    <n v="65000"/>
    <n v="89000"/>
    <n v="65000"/>
    <n v="23832"/>
    <n v="167.99999999999997"/>
    <s v="35 mns"/>
    <x v="1"/>
    <n v="2"/>
    <x v="1"/>
  </r>
  <r>
    <d v="2023-02-17T00:00:00"/>
    <x v="0"/>
    <x v="0"/>
    <n v="2"/>
    <x v="0"/>
    <n v="33000"/>
    <n v="18000"/>
    <n v="66000"/>
    <n v="36000"/>
    <n v="29790"/>
    <n v="209.99999999999997"/>
    <s v="11 mns"/>
    <x v="1"/>
    <n v="2"/>
    <x v="1"/>
  </r>
  <r>
    <d v="2023-02-17T00:00:00"/>
    <x v="0"/>
    <x v="0"/>
    <n v="2"/>
    <x v="1"/>
    <n v="60000"/>
    <n v="31000"/>
    <n v="120000"/>
    <n v="62000"/>
    <n v="57594"/>
    <n v="405.99999999999994"/>
    <s v="11 mns"/>
    <x v="1"/>
    <n v="2"/>
    <x v="1"/>
  </r>
  <r>
    <d v="2023-02-17T00:00:00"/>
    <x v="0"/>
    <x v="0"/>
    <n v="2"/>
    <x v="2"/>
    <n v="89000"/>
    <n v="65000"/>
    <n v="178000"/>
    <n v="130000"/>
    <n v="47664"/>
    <n v="335.99999999999994"/>
    <s v="11 mns"/>
    <x v="3"/>
    <n v="2"/>
    <x v="1"/>
  </r>
  <r>
    <d v="2023-02-17T00:00:00"/>
    <x v="1"/>
    <x v="1"/>
    <n v="2"/>
    <x v="0"/>
    <n v="33000"/>
    <n v="18000"/>
    <n v="66000"/>
    <n v="36000"/>
    <n v="29790"/>
    <n v="209.99999999999997"/>
    <s v="58 mns"/>
    <x v="1"/>
    <n v="2"/>
    <x v="1"/>
  </r>
  <r>
    <d v="2023-02-17T00:00:00"/>
    <x v="2"/>
    <x v="2"/>
    <n v="2"/>
    <x v="0"/>
    <n v="33000"/>
    <n v="18000"/>
    <n v="66000"/>
    <n v="36000"/>
    <n v="29790"/>
    <n v="209.99999999999997"/>
    <s v="30 mns"/>
    <x v="3"/>
    <n v="2"/>
    <x v="1"/>
  </r>
  <r>
    <d v="2023-02-17T00:00:00"/>
    <x v="2"/>
    <x v="2"/>
    <n v="2"/>
    <x v="1"/>
    <n v="60000"/>
    <n v="31000"/>
    <n v="120000"/>
    <n v="62000"/>
    <n v="57594"/>
    <n v="405.99999999999994"/>
    <s v="30 mns"/>
    <x v="3"/>
    <n v="2"/>
    <x v="1"/>
  </r>
  <r>
    <d v="2023-02-17T00:00:00"/>
    <x v="2"/>
    <x v="2"/>
    <n v="2"/>
    <x v="2"/>
    <n v="89000"/>
    <n v="65000"/>
    <n v="178000"/>
    <n v="130000"/>
    <n v="47664"/>
    <n v="335.99999999999994"/>
    <s v="30 mns"/>
    <x v="1"/>
    <n v="2"/>
    <x v="1"/>
  </r>
  <r>
    <d v="2023-02-17T00:00:00"/>
    <x v="3"/>
    <x v="3"/>
    <n v="2"/>
    <x v="0"/>
    <n v="33000"/>
    <n v="18000"/>
    <n v="66000"/>
    <n v="36000"/>
    <n v="29790"/>
    <n v="209.99999999999997"/>
    <s v="35 mns"/>
    <x v="1"/>
    <n v="2"/>
    <x v="1"/>
  </r>
  <r>
    <d v="2023-02-17T00:00:00"/>
    <x v="3"/>
    <x v="3"/>
    <n v="2"/>
    <x v="1"/>
    <n v="60000"/>
    <n v="31000"/>
    <n v="120000"/>
    <n v="62000"/>
    <n v="57594"/>
    <n v="405.99999999999994"/>
    <s v="35 mns"/>
    <x v="1"/>
    <n v="2"/>
    <x v="1"/>
  </r>
  <r>
    <d v="2023-02-17T00:00:00"/>
    <x v="3"/>
    <x v="3"/>
    <n v="2"/>
    <x v="2"/>
    <n v="89000"/>
    <n v="65000"/>
    <n v="178000"/>
    <n v="130000"/>
    <n v="47664"/>
    <n v="335.99999999999994"/>
    <s v="35 mns"/>
    <x v="3"/>
    <n v="2"/>
    <x v="1"/>
  </r>
  <r>
    <d v="2023-02-18T00:00:00"/>
    <x v="0"/>
    <x v="0"/>
    <n v="1"/>
    <x v="0"/>
    <n v="33000"/>
    <n v="18000"/>
    <n v="33000"/>
    <n v="18000"/>
    <n v="14895"/>
    <n v="104.99999999999999"/>
    <s v="11 mns"/>
    <x v="2"/>
    <n v="2"/>
    <x v="1"/>
  </r>
  <r>
    <d v="2023-02-18T00:00:00"/>
    <x v="0"/>
    <x v="0"/>
    <n v="1"/>
    <x v="1"/>
    <n v="60000"/>
    <n v="31000"/>
    <n v="60000"/>
    <n v="31000"/>
    <n v="28797"/>
    <n v="202.99999999999997"/>
    <s v="11 mns"/>
    <x v="3"/>
    <n v="2"/>
    <x v="1"/>
  </r>
  <r>
    <d v="2023-02-18T00:00:00"/>
    <x v="0"/>
    <x v="0"/>
    <n v="1"/>
    <x v="2"/>
    <n v="89000"/>
    <n v="65000"/>
    <n v="89000"/>
    <n v="65000"/>
    <n v="23832"/>
    <n v="167.99999999999997"/>
    <s v="11 mns"/>
    <x v="2"/>
    <n v="2"/>
    <x v="1"/>
  </r>
  <r>
    <d v="2023-02-18T00:00:00"/>
    <x v="1"/>
    <x v="1"/>
    <n v="1"/>
    <x v="0"/>
    <n v="33000"/>
    <n v="18000"/>
    <n v="33000"/>
    <n v="18000"/>
    <n v="14895"/>
    <n v="104.99999999999999"/>
    <s v="58 mns"/>
    <x v="3"/>
    <n v="2"/>
    <x v="1"/>
  </r>
  <r>
    <d v="2023-02-18T00:00:00"/>
    <x v="2"/>
    <x v="2"/>
    <n v="1"/>
    <x v="0"/>
    <n v="33000"/>
    <n v="18000"/>
    <n v="33000"/>
    <n v="18000"/>
    <n v="14895"/>
    <n v="104.99999999999999"/>
    <s v="30 mns"/>
    <x v="1"/>
    <n v="2"/>
    <x v="1"/>
  </r>
  <r>
    <d v="2023-02-18T00:00:00"/>
    <x v="2"/>
    <x v="2"/>
    <n v="1"/>
    <x v="1"/>
    <n v="60000"/>
    <n v="31000"/>
    <n v="60000"/>
    <n v="31000"/>
    <n v="28797"/>
    <n v="202.99999999999997"/>
    <s v="30 mns"/>
    <x v="1"/>
    <n v="2"/>
    <x v="1"/>
  </r>
  <r>
    <d v="2023-02-18T00:00:00"/>
    <x v="2"/>
    <x v="2"/>
    <n v="1"/>
    <x v="2"/>
    <n v="89000"/>
    <n v="65000"/>
    <n v="89000"/>
    <n v="65000"/>
    <n v="23832"/>
    <n v="167.99999999999997"/>
    <s v="30 mns"/>
    <x v="3"/>
    <n v="2"/>
    <x v="1"/>
  </r>
  <r>
    <d v="2023-02-18T00:00:00"/>
    <x v="3"/>
    <x v="3"/>
    <n v="1"/>
    <x v="0"/>
    <n v="33000"/>
    <n v="18000"/>
    <n v="33000"/>
    <n v="18000"/>
    <n v="14895"/>
    <n v="104.99999999999999"/>
    <s v="35 mns"/>
    <x v="1"/>
    <n v="2"/>
    <x v="1"/>
  </r>
  <r>
    <d v="2023-02-18T00:00:00"/>
    <x v="3"/>
    <x v="3"/>
    <n v="1"/>
    <x v="1"/>
    <n v="60000"/>
    <n v="31000"/>
    <n v="60000"/>
    <n v="31000"/>
    <n v="28797"/>
    <n v="202.99999999999997"/>
    <s v="35 mns"/>
    <x v="3"/>
    <n v="2"/>
    <x v="1"/>
  </r>
  <r>
    <d v="2023-02-18T00:00:00"/>
    <x v="3"/>
    <x v="3"/>
    <n v="1"/>
    <x v="2"/>
    <n v="89000"/>
    <n v="65000"/>
    <n v="89000"/>
    <n v="65000"/>
    <n v="23832"/>
    <n v="167.99999999999997"/>
    <s v="35 mns"/>
    <x v="2"/>
    <n v="2"/>
    <x v="1"/>
  </r>
  <r>
    <d v="2023-02-19T00:00:00"/>
    <x v="0"/>
    <x v="0"/>
    <n v="1"/>
    <x v="0"/>
    <n v="33000"/>
    <n v="18000"/>
    <n v="33000"/>
    <n v="18000"/>
    <n v="14895"/>
    <n v="104.99999999999999"/>
    <s v="11 mns"/>
    <x v="1"/>
    <n v="2"/>
    <x v="1"/>
  </r>
  <r>
    <d v="2023-02-19T00:00:00"/>
    <x v="0"/>
    <x v="0"/>
    <n v="1"/>
    <x v="1"/>
    <n v="60000"/>
    <n v="31000"/>
    <n v="60000"/>
    <n v="31000"/>
    <n v="28797"/>
    <n v="202.99999999999997"/>
    <s v="11 mns"/>
    <x v="3"/>
    <n v="2"/>
    <x v="1"/>
  </r>
  <r>
    <d v="2023-02-19T00:00:00"/>
    <x v="0"/>
    <x v="0"/>
    <n v="1"/>
    <x v="2"/>
    <n v="89000"/>
    <n v="65000"/>
    <n v="89000"/>
    <n v="65000"/>
    <n v="23832"/>
    <n v="167.99999999999997"/>
    <s v="11 mns"/>
    <x v="1"/>
    <n v="2"/>
    <x v="1"/>
  </r>
  <r>
    <d v="2023-02-19T00:00:00"/>
    <x v="1"/>
    <x v="1"/>
    <n v="1"/>
    <x v="0"/>
    <n v="33000"/>
    <n v="18000"/>
    <n v="33000"/>
    <n v="18000"/>
    <n v="14895"/>
    <n v="104.99999999999999"/>
    <s v="58 mns"/>
    <x v="1"/>
    <n v="2"/>
    <x v="1"/>
  </r>
  <r>
    <d v="2023-02-19T00:00:00"/>
    <x v="2"/>
    <x v="2"/>
    <n v="1"/>
    <x v="0"/>
    <n v="33000"/>
    <n v="18000"/>
    <n v="33000"/>
    <n v="18000"/>
    <n v="14895"/>
    <n v="104.99999999999999"/>
    <s v="30 mns"/>
    <x v="3"/>
    <n v="2"/>
    <x v="1"/>
  </r>
  <r>
    <d v="2023-02-19T00:00:00"/>
    <x v="2"/>
    <x v="2"/>
    <n v="1"/>
    <x v="1"/>
    <n v="60000"/>
    <n v="31000"/>
    <n v="60000"/>
    <n v="31000"/>
    <n v="28797"/>
    <n v="202.99999999999997"/>
    <s v="30 mns"/>
    <x v="0"/>
    <n v="2"/>
    <x v="1"/>
  </r>
  <r>
    <d v="2023-02-19T00:00:00"/>
    <x v="2"/>
    <x v="2"/>
    <n v="1"/>
    <x v="2"/>
    <n v="89000"/>
    <n v="65000"/>
    <n v="89000"/>
    <n v="65000"/>
    <n v="23832"/>
    <n v="167.99999999999997"/>
    <s v="30 mns"/>
    <x v="3"/>
    <n v="2"/>
    <x v="1"/>
  </r>
  <r>
    <d v="2023-02-19T00:00:00"/>
    <x v="3"/>
    <x v="3"/>
    <n v="1"/>
    <x v="0"/>
    <n v="33000"/>
    <n v="18000"/>
    <n v="33000"/>
    <n v="18000"/>
    <n v="14895"/>
    <n v="104.99999999999999"/>
    <s v="35 mns"/>
    <x v="0"/>
    <n v="2"/>
    <x v="1"/>
  </r>
  <r>
    <d v="2023-02-19T00:00:00"/>
    <x v="3"/>
    <x v="3"/>
    <n v="1"/>
    <x v="1"/>
    <n v="60000"/>
    <n v="31000"/>
    <n v="60000"/>
    <n v="31000"/>
    <n v="28797"/>
    <n v="202.99999999999997"/>
    <s v="35 mns"/>
    <x v="1"/>
    <n v="2"/>
    <x v="1"/>
  </r>
  <r>
    <d v="2023-02-19T00:00:00"/>
    <x v="3"/>
    <x v="3"/>
    <n v="1"/>
    <x v="2"/>
    <n v="89000"/>
    <n v="65000"/>
    <n v="89000"/>
    <n v="65000"/>
    <n v="23832"/>
    <n v="167.99999999999997"/>
    <s v="35 mns"/>
    <x v="3"/>
    <n v="2"/>
    <x v="1"/>
  </r>
  <r>
    <d v="2023-02-20T00:00:00"/>
    <x v="0"/>
    <x v="0"/>
    <n v="1"/>
    <x v="0"/>
    <n v="33000"/>
    <n v="18000"/>
    <n v="33000"/>
    <n v="18000"/>
    <n v="14895"/>
    <n v="104.99999999999999"/>
    <s v="11 mns"/>
    <x v="1"/>
    <n v="2"/>
    <x v="1"/>
  </r>
  <r>
    <d v="2023-02-20T00:00:00"/>
    <x v="0"/>
    <x v="0"/>
    <n v="1"/>
    <x v="1"/>
    <n v="60000"/>
    <n v="31000"/>
    <n v="60000"/>
    <n v="31000"/>
    <n v="28797"/>
    <n v="202.99999999999997"/>
    <s v="11 mns"/>
    <x v="1"/>
    <n v="2"/>
    <x v="1"/>
  </r>
  <r>
    <d v="2023-02-20T00:00:00"/>
    <x v="0"/>
    <x v="0"/>
    <n v="1"/>
    <x v="2"/>
    <n v="89000"/>
    <n v="65000"/>
    <n v="89000"/>
    <n v="65000"/>
    <n v="23832"/>
    <n v="167.99999999999997"/>
    <s v="11 mns"/>
    <x v="2"/>
    <n v="2"/>
    <x v="1"/>
  </r>
  <r>
    <d v="2023-02-20T00:00:00"/>
    <x v="1"/>
    <x v="1"/>
    <n v="1"/>
    <x v="0"/>
    <n v="33000"/>
    <n v="18000"/>
    <n v="33000"/>
    <n v="18000"/>
    <n v="14895"/>
    <n v="104.99999999999999"/>
    <s v="58 mns"/>
    <x v="3"/>
    <n v="2"/>
    <x v="1"/>
  </r>
  <r>
    <d v="2023-02-20T00:00:00"/>
    <x v="2"/>
    <x v="2"/>
    <n v="1"/>
    <x v="0"/>
    <n v="33000"/>
    <n v="18000"/>
    <n v="33000"/>
    <n v="18000"/>
    <n v="14895"/>
    <n v="104.99999999999999"/>
    <s v="30 mns"/>
    <x v="0"/>
    <n v="2"/>
    <x v="1"/>
  </r>
  <r>
    <d v="2023-02-20T00:00:00"/>
    <x v="2"/>
    <x v="2"/>
    <n v="1"/>
    <x v="1"/>
    <n v="60000"/>
    <n v="31000"/>
    <n v="60000"/>
    <n v="31000"/>
    <n v="28797"/>
    <n v="202.99999999999997"/>
    <s v="30 mns"/>
    <x v="3"/>
    <n v="2"/>
    <x v="1"/>
  </r>
  <r>
    <d v="2023-02-20T00:00:00"/>
    <x v="2"/>
    <x v="2"/>
    <n v="1"/>
    <x v="2"/>
    <n v="89000"/>
    <n v="65000"/>
    <n v="89000"/>
    <n v="65000"/>
    <n v="23832"/>
    <n v="167.99999999999997"/>
    <s v="30 mns"/>
    <x v="2"/>
    <n v="2"/>
    <x v="1"/>
  </r>
  <r>
    <d v="2023-02-20T00:00:00"/>
    <x v="3"/>
    <x v="3"/>
    <n v="1"/>
    <x v="0"/>
    <n v="33000"/>
    <n v="18000"/>
    <n v="33000"/>
    <n v="18000"/>
    <n v="14895"/>
    <n v="104.99999999999999"/>
    <s v="35 mns"/>
    <x v="0"/>
    <n v="2"/>
    <x v="1"/>
  </r>
  <r>
    <d v="2023-02-20T00:00:00"/>
    <x v="3"/>
    <x v="3"/>
    <n v="1"/>
    <x v="1"/>
    <n v="60000"/>
    <n v="31000"/>
    <n v="60000"/>
    <n v="31000"/>
    <n v="28797"/>
    <n v="202.99999999999997"/>
    <s v="35 mns"/>
    <x v="3"/>
    <n v="2"/>
    <x v="1"/>
  </r>
  <r>
    <d v="2023-02-20T00:00:00"/>
    <x v="3"/>
    <x v="3"/>
    <n v="1"/>
    <x v="2"/>
    <n v="89000"/>
    <n v="65000"/>
    <n v="89000"/>
    <n v="65000"/>
    <n v="23832"/>
    <n v="167.99999999999997"/>
    <s v="35 mns"/>
    <x v="1"/>
    <n v="2"/>
    <x v="1"/>
  </r>
  <r>
    <d v="2023-02-21T00:00:00"/>
    <x v="0"/>
    <x v="0"/>
    <n v="1"/>
    <x v="0"/>
    <n v="33000"/>
    <n v="18000"/>
    <n v="33000"/>
    <n v="18000"/>
    <n v="14895"/>
    <n v="104.99999999999999"/>
    <s v="11 mns"/>
    <x v="0"/>
    <n v="2"/>
    <x v="1"/>
  </r>
  <r>
    <d v="2023-02-21T00:00:00"/>
    <x v="0"/>
    <x v="0"/>
    <n v="1"/>
    <x v="1"/>
    <n v="60000"/>
    <n v="31000"/>
    <n v="60000"/>
    <n v="31000"/>
    <n v="28797"/>
    <n v="202.99999999999997"/>
    <s v="11 mns"/>
    <x v="3"/>
    <n v="2"/>
    <x v="1"/>
  </r>
  <r>
    <d v="2023-02-21T00:00:00"/>
    <x v="0"/>
    <x v="0"/>
    <n v="1"/>
    <x v="2"/>
    <n v="89000"/>
    <n v="65000"/>
    <n v="89000"/>
    <n v="65000"/>
    <n v="23832"/>
    <n v="167.99999999999997"/>
    <s v="11 mns"/>
    <x v="1"/>
    <n v="2"/>
    <x v="1"/>
  </r>
  <r>
    <d v="2023-02-21T00:00:00"/>
    <x v="1"/>
    <x v="1"/>
    <n v="1"/>
    <x v="0"/>
    <n v="33000"/>
    <n v="18000"/>
    <n v="33000"/>
    <n v="18000"/>
    <n v="14895"/>
    <n v="104.99999999999999"/>
    <s v="58 mns"/>
    <x v="2"/>
    <n v="2"/>
    <x v="1"/>
  </r>
  <r>
    <d v="2023-02-21T00:00:00"/>
    <x v="2"/>
    <x v="2"/>
    <n v="1"/>
    <x v="0"/>
    <n v="33000"/>
    <n v="18000"/>
    <n v="33000"/>
    <n v="18000"/>
    <n v="14895"/>
    <n v="104.99999999999999"/>
    <s v="30 mns"/>
    <x v="1"/>
    <n v="2"/>
    <x v="1"/>
  </r>
  <r>
    <d v="2023-02-21T00:00:00"/>
    <x v="2"/>
    <x v="2"/>
    <n v="1"/>
    <x v="1"/>
    <n v="60000"/>
    <n v="31000"/>
    <n v="60000"/>
    <n v="31000"/>
    <n v="28797"/>
    <n v="202.99999999999997"/>
    <s v="30 mns"/>
    <x v="0"/>
    <n v="2"/>
    <x v="1"/>
  </r>
  <r>
    <d v="2023-02-21T00:00:00"/>
    <x v="2"/>
    <x v="2"/>
    <n v="1"/>
    <x v="2"/>
    <n v="89000"/>
    <n v="65000"/>
    <n v="89000"/>
    <n v="65000"/>
    <n v="23832"/>
    <n v="167.99999999999997"/>
    <s v="30 mns"/>
    <x v="1"/>
    <n v="2"/>
    <x v="1"/>
  </r>
  <r>
    <d v="2023-02-21T00:00:00"/>
    <x v="3"/>
    <x v="3"/>
    <n v="1"/>
    <x v="0"/>
    <n v="33000"/>
    <n v="18000"/>
    <n v="33000"/>
    <n v="18000"/>
    <n v="14895"/>
    <n v="104.99999999999999"/>
    <s v="35 mns"/>
    <x v="0"/>
    <n v="2"/>
    <x v="1"/>
  </r>
  <r>
    <d v="2023-02-21T00:00:00"/>
    <x v="3"/>
    <x v="3"/>
    <n v="1"/>
    <x v="1"/>
    <n v="60000"/>
    <n v="31000"/>
    <n v="60000"/>
    <n v="31000"/>
    <n v="28797"/>
    <n v="202.99999999999997"/>
    <s v="35 mns"/>
    <x v="2"/>
    <n v="2"/>
    <x v="1"/>
  </r>
  <r>
    <d v="2023-02-21T00:00:00"/>
    <x v="3"/>
    <x v="3"/>
    <n v="1"/>
    <x v="2"/>
    <n v="89000"/>
    <n v="65000"/>
    <n v="89000"/>
    <n v="65000"/>
    <n v="23832"/>
    <n v="167.99999999999997"/>
    <s v="35 mns"/>
    <x v="0"/>
    <n v="2"/>
    <x v="1"/>
  </r>
  <r>
    <d v="2023-02-22T00:00:00"/>
    <x v="0"/>
    <x v="0"/>
    <n v="1"/>
    <x v="0"/>
    <n v="33000"/>
    <n v="18000"/>
    <n v="33000"/>
    <n v="18000"/>
    <n v="14895"/>
    <n v="104.99999999999999"/>
    <s v="11 mns"/>
    <x v="1"/>
    <n v="2"/>
    <x v="1"/>
  </r>
  <r>
    <d v="2023-02-22T00:00:00"/>
    <x v="0"/>
    <x v="0"/>
    <n v="1"/>
    <x v="1"/>
    <n v="60000"/>
    <n v="31000"/>
    <n v="60000"/>
    <n v="31000"/>
    <n v="28797"/>
    <n v="202.99999999999997"/>
    <s v="11 mns"/>
    <x v="0"/>
    <n v="2"/>
    <x v="1"/>
  </r>
  <r>
    <d v="2023-02-22T00:00:00"/>
    <x v="0"/>
    <x v="0"/>
    <n v="1"/>
    <x v="2"/>
    <n v="89000"/>
    <n v="65000"/>
    <n v="89000"/>
    <n v="65000"/>
    <n v="23832"/>
    <n v="167.99999999999997"/>
    <s v="11 mns"/>
    <x v="1"/>
    <n v="2"/>
    <x v="1"/>
  </r>
  <r>
    <d v="2023-02-22T00:00:00"/>
    <x v="1"/>
    <x v="1"/>
    <n v="1"/>
    <x v="0"/>
    <n v="33000"/>
    <n v="18000"/>
    <n v="33000"/>
    <n v="18000"/>
    <n v="14895"/>
    <n v="104.99999999999999"/>
    <s v="58 mns"/>
    <x v="2"/>
    <n v="2"/>
    <x v="1"/>
  </r>
  <r>
    <d v="2023-02-22T00:00:00"/>
    <x v="2"/>
    <x v="2"/>
    <n v="1"/>
    <x v="0"/>
    <n v="33000"/>
    <n v="18000"/>
    <n v="33000"/>
    <n v="18000"/>
    <n v="14895"/>
    <n v="104.99999999999999"/>
    <s v="30 mns"/>
    <x v="3"/>
    <n v="2"/>
    <x v="1"/>
  </r>
  <r>
    <d v="2023-02-22T00:00:00"/>
    <x v="2"/>
    <x v="2"/>
    <n v="1"/>
    <x v="1"/>
    <n v="60000"/>
    <n v="31000"/>
    <n v="60000"/>
    <n v="31000"/>
    <n v="28797"/>
    <n v="202.99999999999997"/>
    <s v="30 mns"/>
    <x v="1"/>
    <n v="2"/>
    <x v="1"/>
  </r>
  <r>
    <d v="2023-02-22T00:00:00"/>
    <x v="2"/>
    <x v="2"/>
    <n v="1"/>
    <x v="2"/>
    <n v="89000"/>
    <n v="65000"/>
    <n v="89000"/>
    <n v="65000"/>
    <n v="23832"/>
    <n v="167.99999999999997"/>
    <s v="30 mns"/>
    <x v="2"/>
    <n v="2"/>
    <x v="1"/>
  </r>
  <r>
    <d v="2023-02-22T00:00:00"/>
    <x v="3"/>
    <x v="3"/>
    <n v="1"/>
    <x v="0"/>
    <n v="33000"/>
    <n v="18000"/>
    <n v="33000"/>
    <n v="18000"/>
    <n v="14895"/>
    <n v="104.99999999999999"/>
    <s v="35 mns"/>
    <x v="1"/>
    <n v="2"/>
    <x v="1"/>
  </r>
  <r>
    <d v="2023-02-22T00:00:00"/>
    <x v="3"/>
    <x v="3"/>
    <n v="1"/>
    <x v="1"/>
    <n v="60000"/>
    <n v="31000"/>
    <n v="60000"/>
    <n v="31000"/>
    <n v="28797"/>
    <n v="202.99999999999997"/>
    <s v="35 mns"/>
    <x v="1"/>
    <n v="2"/>
    <x v="1"/>
  </r>
  <r>
    <d v="2023-02-22T00:00:00"/>
    <x v="3"/>
    <x v="3"/>
    <n v="1"/>
    <x v="2"/>
    <n v="89000"/>
    <n v="65000"/>
    <n v="89000"/>
    <n v="65000"/>
    <n v="23832"/>
    <n v="167.99999999999997"/>
    <s v="35 mns"/>
    <x v="3"/>
    <n v="2"/>
    <x v="1"/>
  </r>
  <r>
    <d v="2023-02-23T00:00:00"/>
    <x v="0"/>
    <x v="0"/>
    <n v="1"/>
    <x v="0"/>
    <n v="33000"/>
    <n v="18000"/>
    <n v="33000"/>
    <n v="18000"/>
    <n v="14895"/>
    <n v="104.99999999999999"/>
    <s v="11 mns"/>
    <x v="3"/>
    <n v="2"/>
    <x v="1"/>
  </r>
  <r>
    <d v="2023-02-23T00:00:00"/>
    <x v="0"/>
    <x v="0"/>
    <n v="1"/>
    <x v="1"/>
    <n v="60000"/>
    <n v="31000"/>
    <n v="60000"/>
    <n v="31000"/>
    <n v="28797"/>
    <n v="202.99999999999997"/>
    <s v="11 mns"/>
    <x v="3"/>
    <n v="2"/>
    <x v="1"/>
  </r>
  <r>
    <d v="2023-02-23T00:00:00"/>
    <x v="0"/>
    <x v="0"/>
    <n v="1"/>
    <x v="2"/>
    <n v="89000"/>
    <n v="65000"/>
    <n v="89000"/>
    <n v="65000"/>
    <n v="23832"/>
    <n v="167.99999999999997"/>
    <s v="11 mns"/>
    <x v="1"/>
    <n v="2"/>
    <x v="1"/>
  </r>
  <r>
    <d v="2023-02-23T00:00:00"/>
    <x v="1"/>
    <x v="1"/>
    <n v="1"/>
    <x v="0"/>
    <n v="33000"/>
    <n v="18000"/>
    <n v="33000"/>
    <n v="18000"/>
    <n v="14895"/>
    <n v="104.99999999999999"/>
    <s v="58 mns"/>
    <x v="3"/>
    <n v="2"/>
    <x v="1"/>
  </r>
  <r>
    <d v="2023-02-23T00:00:00"/>
    <x v="2"/>
    <x v="2"/>
    <n v="1"/>
    <x v="0"/>
    <n v="33000"/>
    <n v="18000"/>
    <n v="33000"/>
    <n v="18000"/>
    <n v="14895"/>
    <n v="104.99999999999999"/>
    <s v="30 mns"/>
    <x v="1"/>
    <n v="2"/>
    <x v="1"/>
  </r>
  <r>
    <d v="2023-02-23T00:00:00"/>
    <x v="2"/>
    <x v="2"/>
    <n v="1"/>
    <x v="1"/>
    <n v="60000"/>
    <n v="31000"/>
    <n v="60000"/>
    <n v="31000"/>
    <n v="28797"/>
    <n v="202.99999999999997"/>
    <s v="30 mns"/>
    <x v="3"/>
    <n v="2"/>
    <x v="1"/>
  </r>
  <r>
    <d v="2023-02-23T00:00:00"/>
    <x v="2"/>
    <x v="2"/>
    <n v="1"/>
    <x v="2"/>
    <n v="89000"/>
    <n v="65000"/>
    <n v="89000"/>
    <n v="65000"/>
    <n v="23832"/>
    <n v="167.99999999999997"/>
    <s v="30 mns"/>
    <x v="3"/>
    <n v="2"/>
    <x v="1"/>
  </r>
  <r>
    <d v="2023-02-23T00:00:00"/>
    <x v="3"/>
    <x v="3"/>
    <n v="1"/>
    <x v="0"/>
    <n v="33000"/>
    <n v="18000"/>
    <n v="33000"/>
    <n v="18000"/>
    <n v="14895"/>
    <n v="104.99999999999999"/>
    <s v="35 mns"/>
    <x v="3"/>
    <n v="2"/>
    <x v="1"/>
  </r>
  <r>
    <d v="2023-02-23T00:00:00"/>
    <x v="3"/>
    <x v="3"/>
    <n v="1"/>
    <x v="1"/>
    <n v="60000"/>
    <n v="31000"/>
    <n v="60000"/>
    <n v="31000"/>
    <n v="28797"/>
    <n v="202.99999999999997"/>
    <s v="35 mns"/>
    <x v="3"/>
    <n v="2"/>
    <x v="1"/>
  </r>
  <r>
    <d v="2023-02-23T00:00:00"/>
    <x v="3"/>
    <x v="3"/>
    <n v="1"/>
    <x v="2"/>
    <n v="89000"/>
    <n v="65000"/>
    <n v="89000"/>
    <n v="65000"/>
    <n v="23832"/>
    <n v="167.99999999999997"/>
    <s v="35 mns"/>
    <x v="3"/>
    <n v="2"/>
    <x v="1"/>
  </r>
  <r>
    <d v="2023-02-24T00:00:00"/>
    <x v="0"/>
    <x v="0"/>
    <n v="1"/>
    <x v="0"/>
    <n v="33000"/>
    <n v="18000"/>
    <n v="33000"/>
    <n v="18000"/>
    <n v="14895"/>
    <n v="104.99999999999999"/>
    <s v="11 mns"/>
    <x v="0"/>
    <n v="2"/>
    <x v="1"/>
  </r>
  <r>
    <d v="2023-02-24T00:00:00"/>
    <x v="0"/>
    <x v="0"/>
    <n v="1"/>
    <x v="1"/>
    <n v="60000"/>
    <n v="31000"/>
    <n v="60000"/>
    <n v="31000"/>
    <n v="28797"/>
    <n v="202.99999999999997"/>
    <s v="11 mns"/>
    <x v="2"/>
    <n v="2"/>
    <x v="1"/>
  </r>
  <r>
    <d v="2023-02-24T00:00:00"/>
    <x v="0"/>
    <x v="0"/>
    <n v="1"/>
    <x v="2"/>
    <n v="89000"/>
    <n v="65000"/>
    <n v="89000"/>
    <n v="65000"/>
    <n v="23832"/>
    <n v="167.99999999999997"/>
    <s v="11 mns"/>
    <x v="1"/>
    <n v="2"/>
    <x v="1"/>
  </r>
  <r>
    <d v="2023-02-24T00:00:00"/>
    <x v="1"/>
    <x v="1"/>
    <n v="1"/>
    <x v="0"/>
    <n v="33000"/>
    <n v="18000"/>
    <n v="33000"/>
    <n v="18000"/>
    <n v="14895"/>
    <n v="104.99999999999999"/>
    <s v="58 mns"/>
    <x v="3"/>
    <n v="2"/>
    <x v="1"/>
  </r>
  <r>
    <d v="2023-02-24T00:00:00"/>
    <x v="2"/>
    <x v="2"/>
    <n v="1"/>
    <x v="0"/>
    <n v="33000"/>
    <n v="18000"/>
    <n v="33000"/>
    <n v="18000"/>
    <n v="14895"/>
    <n v="104.99999999999999"/>
    <s v="30 mns"/>
    <x v="0"/>
    <n v="2"/>
    <x v="1"/>
  </r>
  <r>
    <d v="2023-02-24T00:00:00"/>
    <x v="2"/>
    <x v="2"/>
    <n v="1"/>
    <x v="1"/>
    <n v="60000"/>
    <n v="31000"/>
    <n v="60000"/>
    <n v="31000"/>
    <n v="28797"/>
    <n v="202.99999999999997"/>
    <s v="30 mns"/>
    <x v="0"/>
    <n v="2"/>
    <x v="1"/>
  </r>
  <r>
    <d v="2023-02-24T00:00:00"/>
    <x v="2"/>
    <x v="2"/>
    <n v="1"/>
    <x v="2"/>
    <n v="89000"/>
    <n v="65000"/>
    <n v="89000"/>
    <n v="65000"/>
    <n v="23832"/>
    <n v="167.99999999999997"/>
    <s v="30 mns"/>
    <x v="3"/>
    <n v="2"/>
    <x v="1"/>
  </r>
  <r>
    <d v="2023-02-24T00:00:00"/>
    <x v="3"/>
    <x v="3"/>
    <n v="1"/>
    <x v="0"/>
    <n v="33000"/>
    <n v="18000"/>
    <n v="33000"/>
    <n v="18000"/>
    <n v="14895"/>
    <n v="104.99999999999999"/>
    <s v="35 mns"/>
    <x v="1"/>
    <n v="2"/>
    <x v="1"/>
  </r>
  <r>
    <d v="2023-02-24T00:00:00"/>
    <x v="3"/>
    <x v="3"/>
    <n v="1"/>
    <x v="1"/>
    <n v="60000"/>
    <n v="31000"/>
    <n v="60000"/>
    <n v="31000"/>
    <n v="28797"/>
    <n v="202.99999999999997"/>
    <s v="35 mns"/>
    <x v="0"/>
    <n v="2"/>
    <x v="1"/>
  </r>
  <r>
    <d v="2023-02-24T00:00:00"/>
    <x v="3"/>
    <x v="3"/>
    <n v="1"/>
    <x v="2"/>
    <n v="89000"/>
    <n v="65000"/>
    <n v="89000"/>
    <n v="65000"/>
    <n v="23832"/>
    <n v="167.99999999999997"/>
    <s v="35 mns"/>
    <x v="3"/>
    <n v="2"/>
    <x v="1"/>
  </r>
  <r>
    <d v="2023-02-25T00:00:00"/>
    <x v="0"/>
    <x v="0"/>
    <n v="1"/>
    <x v="0"/>
    <n v="33000"/>
    <n v="18000"/>
    <n v="33000"/>
    <n v="18000"/>
    <n v="14895"/>
    <n v="104.99999999999999"/>
    <s v="11 mns"/>
    <x v="1"/>
    <n v="2"/>
    <x v="1"/>
  </r>
  <r>
    <d v="2023-02-25T00:00:00"/>
    <x v="0"/>
    <x v="0"/>
    <n v="1"/>
    <x v="1"/>
    <n v="60000"/>
    <n v="31000"/>
    <n v="60000"/>
    <n v="31000"/>
    <n v="28797"/>
    <n v="202.99999999999997"/>
    <s v="11 mns"/>
    <x v="1"/>
    <n v="2"/>
    <x v="1"/>
  </r>
  <r>
    <d v="2023-02-25T00:00:00"/>
    <x v="0"/>
    <x v="0"/>
    <n v="1"/>
    <x v="2"/>
    <n v="89000"/>
    <n v="65000"/>
    <n v="89000"/>
    <n v="65000"/>
    <n v="23832"/>
    <n v="167.99999999999997"/>
    <s v="11 mns"/>
    <x v="1"/>
    <n v="2"/>
    <x v="1"/>
  </r>
  <r>
    <d v="2023-02-25T00:00:00"/>
    <x v="1"/>
    <x v="1"/>
    <n v="1"/>
    <x v="0"/>
    <n v="33000"/>
    <n v="18000"/>
    <n v="33000"/>
    <n v="18000"/>
    <n v="14895"/>
    <n v="104.99999999999999"/>
    <s v="58 mns"/>
    <x v="1"/>
    <n v="2"/>
    <x v="1"/>
  </r>
  <r>
    <d v="2023-02-25T00:00:00"/>
    <x v="2"/>
    <x v="2"/>
    <n v="1"/>
    <x v="0"/>
    <n v="33000"/>
    <n v="18000"/>
    <n v="33000"/>
    <n v="18000"/>
    <n v="14895"/>
    <n v="104.99999999999999"/>
    <s v="30 mns"/>
    <x v="1"/>
    <n v="2"/>
    <x v="1"/>
  </r>
  <r>
    <d v="2023-02-25T00:00:00"/>
    <x v="2"/>
    <x v="2"/>
    <n v="1"/>
    <x v="1"/>
    <n v="60000"/>
    <n v="31000"/>
    <n v="60000"/>
    <n v="31000"/>
    <n v="28797"/>
    <n v="202.99999999999997"/>
    <s v="30 mns"/>
    <x v="1"/>
    <n v="2"/>
    <x v="1"/>
  </r>
  <r>
    <d v="2023-02-25T00:00:00"/>
    <x v="2"/>
    <x v="2"/>
    <n v="1"/>
    <x v="2"/>
    <n v="89000"/>
    <n v="65000"/>
    <n v="89000"/>
    <n v="65000"/>
    <n v="23832"/>
    <n v="167.99999999999997"/>
    <s v="30 mns"/>
    <x v="2"/>
    <n v="2"/>
    <x v="1"/>
  </r>
  <r>
    <d v="2023-02-25T00:00:00"/>
    <x v="3"/>
    <x v="3"/>
    <n v="1"/>
    <x v="0"/>
    <n v="33000"/>
    <n v="18000"/>
    <n v="33000"/>
    <n v="18000"/>
    <n v="14895"/>
    <n v="104.99999999999999"/>
    <s v="35 mns"/>
    <x v="2"/>
    <n v="2"/>
    <x v="1"/>
  </r>
  <r>
    <d v="2023-02-25T00:00:00"/>
    <x v="3"/>
    <x v="3"/>
    <n v="1"/>
    <x v="1"/>
    <n v="60000"/>
    <n v="31000"/>
    <n v="60000"/>
    <n v="31000"/>
    <n v="28797"/>
    <n v="202.99999999999997"/>
    <s v="35 mns"/>
    <x v="0"/>
    <n v="2"/>
    <x v="1"/>
  </r>
  <r>
    <d v="2023-02-25T00:00:00"/>
    <x v="3"/>
    <x v="3"/>
    <n v="1"/>
    <x v="2"/>
    <n v="89000"/>
    <n v="65000"/>
    <n v="89000"/>
    <n v="65000"/>
    <n v="23832"/>
    <n v="167.99999999999997"/>
    <s v="35 mns"/>
    <x v="0"/>
    <n v="2"/>
    <x v="1"/>
  </r>
  <r>
    <d v="2023-02-26T00:00:00"/>
    <x v="0"/>
    <x v="0"/>
    <n v="1"/>
    <x v="0"/>
    <n v="33000"/>
    <n v="18000"/>
    <n v="33000"/>
    <n v="18000"/>
    <n v="14895"/>
    <n v="104.99999999999999"/>
    <s v="11 mns"/>
    <x v="0"/>
    <n v="2"/>
    <x v="1"/>
  </r>
  <r>
    <d v="2023-02-26T00:00:00"/>
    <x v="0"/>
    <x v="0"/>
    <n v="1"/>
    <x v="1"/>
    <n v="60000"/>
    <n v="31000"/>
    <n v="60000"/>
    <n v="31000"/>
    <n v="28797"/>
    <n v="202.99999999999997"/>
    <s v="11 mns"/>
    <x v="0"/>
    <n v="2"/>
    <x v="1"/>
  </r>
  <r>
    <d v="2023-02-26T00:00:00"/>
    <x v="0"/>
    <x v="0"/>
    <n v="1"/>
    <x v="2"/>
    <n v="89000"/>
    <n v="65000"/>
    <n v="89000"/>
    <n v="65000"/>
    <n v="23832"/>
    <n v="167.99999999999997"/>
    <s v="11 mns"/>
    <x v="3"/>
    <n v="2"/>
    <x v="1"/>
  </r>
  <r>
    <d v="2023-02-26T00:00:00"/>
    <x v="1"/>
    <x v="1"/>
    <n v="1"/>
    <x v="0"/>
    <n v="33000"/>
    <n v="18000"/>
    <n v="33000"/>
    <n v="18000"/>
    <n v="14895"/>
    <n v="104.99999999999999"/>
    <s v="58 mns"/>
    <x v="3"/>
    <n v="2"/>
    <x v="1"/>
  </r>
  <r>
    <d v="2023-02-26T00:00:00"/>
    <x v="2"/>
    <x v="2"/>
    <n v="1"/>
    <x v="0"/>
    <n v="33000"/>
    <n v="18000"/>
    <n v="33000"/>
    <n v="18000"/>
    <n v="14895"/>
    <n v="104.99999999999999"/>
    <s v="30 mns"/>
    <x v="1"/>
    <n v="2"/>
    <x v="1"/>
  </r>
  <r>
    <d v="2023-02-26T00:00:00"/>
    <x v="2"/>
    <x v="2"/>
    <n v="1"/>
    <x v="1"/>
    <n v="60000"/>
    <n v="31000"/>
    <n v="60000"/>
    <n v="31000"/>
    <n v="28797"/>
    <n v="202.99999999999997"/>
    <s v="30 mns"/>
    <x v="3"/>
    <n v="2"/>
    <x v="1"/>
  </r>
  <r>
    <d v="2023-02-26T00:00:00"/>
    <x v="2"/>
    <x v="2"/>
    <n v="1"/>
    <x v="2"/>
    <n v="89000"/>
    <n v="65000"/>
    <n v="89000"/>
    <n v="65000"/>
    <n v="23832"/>
    <n v="167.99999999999997"/>
    <s v="30 mns"/>
    <x v="1"/>
    <n v="2"/>
    <x v="1"/>
  </r>
  <r>
    <d v="2023-02-26T00:00:00"/>
    <x v="3"/>
    <x v="3"/>
    <n v="1"/>
    <x v="0"/>
    <n v="33000"/>
    <n v="18000"/>
    <n v="33000"/>
    <n v="18000"/>
    <n v="14895"/>
    <n v="104.99999999999999"/>
    <s v="35 mns"/>
    <x v="1"/>
    <n v="2"/>
    <x v="1"/>
  </r>
  <r>
    <d v="2023-02-26T00:00:00"/>
    <x v="3"/>
    <x v="3"/>
    <n v="1"/>
    <x v="1"/>
    <n v="60000"/>
    <n v="31000"/>
    <n v="60000"/>
    <n v="31000"/>
    <n v="28797"/>
    <n v="202.99999999999997"/>
    <s v="35 mns"/>
    <x v="1"/>
    <n v="2"/>
    <x v="1"/>
  </r>
  <r>
    <d v="2023-02-26T00:00:00"/>
    <x v="3"/>
    <x v="3"/>
    <n v="1"/>
    <x v="2"/>
    <n v="89000"/>
    <n v="65000"/>
    <n v="89000"/>
    <n v="65000"/>
    <n v="23832"/>
    <n v="167.99999999999997"/>
    <s v="35 mns"/>
    <x v="0"/>
    <n v="2"/>
    <x v="1"/>
  </r>
  <r>
    <d v="2023-02-27T00:00:00"/>
    <x v="0"/>
    <x v="0"/>
    <n v="1"/>
    <x v="0"/>
    <n v="33000"/>
    <n v="18000"/>
    <n v="33000"/>
    <n v="18000"/>
    <n v="14895"/>
    <n v="104.99999999999999"/>
    <s v="11 mns"/>
    <x v="0"/>
    <n v="2"/>
    <x v="1"/>
  </r>
  <r>
    <d v="2023-02-27T00:00:00"/>
    <x v="0"/>
    <x v="0"/>
    <n v="1"/>
    <x v="1"/>
    <n v="60000"/>
    <n v="31000"/>
    <n v="60000"/>
    <n v="31000"/>
    <n v="28797"/>
    <n v="202.99999999999997"/>
    <s v="11 mns"/>
    <x v="0"/>
    <n v="2"/>
    <x v="1"/>
  </r>
  <r>
    <d v="2023-02-27T00:00:00"/>
    <x v="0"/>
    <x v="0"/>
    <n v="1"/>
    <x v="2"/>
    <n v="89000"/>
    <n v="65000"/>
    <n v="89000"/>
    <n v="65000"/>
    <n v="23832"/>
    <n v="167.99999999999997"/>
    <s v="11 mns"/>
    <x v="1"/>
    <n v="2"/>
    <x v="1"/>
  </r>
  <r>
    <d v="2023-02-27T00:00:00"/>
    <x v="1"/>
    <x v="1"/>
    <n v="1"/>
    <x v="0"/>
    <n v="33000"/>
    <n v="18000"/>
    <n v="33000"/>
    <n v="18000"/>
    <n v="14895"/>
    <n v="104.99999999999999"/>
    <s v="58 mns"/>
    <x v="0"/>
    <n v="2"/>
    <x v="1"/>
  </r>
  <r>
    <d v="2023-02-27T00:00:00"/>
    <x v="2"/>
    <x v="2"/>
    <n v="1"/>
    <x v="0"/>
    <n v="33000"/>
    <n v="18000"/>
    <n v="33000"/>
    <n v="18000"/>
    <n v="14895"/>
    <n v="104.99999999999999"/>
    <s v="30 mns"/>
    <x v="3"/>
    <n v="2"/>
    <x v="1"/>
  </r>
  <r>
    <d v="2023-02-27T00:00:00"/>
    <x v="2"/>
    <x v="2"/>
    <n v="1"/>
    <x v="1"/>
    <n v="60000"/>
    <n v="31000"/>
    <n v="60000"/>
    <n v="31000"/>
    <n v="28797"/>
    <n v="202.99999999999997"/>
    <s v="30 mns"/>
    <x v="3"/>
    <n v="2"/>
    <x v="1"/>
  </r>
  <r>
    <d v="2023-02-27T00:00:00"/>
    <x v="2"/>
    <x v="2"/>
    <n v="1"/>
    <x v="2"/>
    <n v="89000"/>
    <n v="65000"/>
    <n v="89000"/>
    <n v="65000"/>
    <n v="23832"/>
    <n v="167.99999999999997"/>
    <s v="30 mns"/>
    <x v="0"/>
    <n v="2"/>
    <x v="1"/>
  </r>
  <r>
    <d v="2023-02-27T00:00:00"/>
    <x v="3"/>
    <x v="3"/>
    <n v="1"/>
    <x v="0"/>
    <n v="33000"/>
    <n v="18000"/>
    <n v="33000"/>
    <n v="18000"/>
    <n v="14895"/>
    <n v="104.99999999999999"/>
    <s v="35 mns"/>
    <x v="1"/>
    <n v="2"/>
    <x v="1"/>
  </r>
  <r>
    <d v="2023-02-27T00:00:00"/>
    <x v="3"/>
    <x v="3"/>
    <n v="1"/>
    <x v="1"/>
    <n v="60000"/>
    <n v="31000"/>
    <n v="60000"/>
    <n v="31000"/>
    <n v="28797"/>
    <n v="202.99999999999997"/>
    <s v="35 mns"/>
    <x v="1"/>
    <n v="2"/>
    <x v="1"/>
  </r>
  <r>
    <d v="2023-02-27T00:00:00"/>
    <x v="3"/>
    <x v="3"/>
    <n v="1"/>
    <x v="2"/>
    <n v="89000"/>
    <n v="65000"/>
    <n v="89000"/>
    <n v="65000"/>
    <n v="23832"/>
    <n v="167.99999999999997"/>
    <s v="35 mns"/>
    <x v="1"/>
    <n v="2"/>
    <x v="1"/>
  </r>
  <r>
    <d v="2023-02-28T00:00:00"/>
    <x v="0"/>
    <x v="0"/>
    <n v="1"/>
    <x v="0"/>
    <n v="33000"/>
    <n v="18000"/>
    <n v="33000"/>
    <n v="18000"/>
    <n v="14895"/>
    <n v="104.99999999999999"/>
    <s v="11 mns"/>
    <x v="2"/>
    <n v="2"/>
    <x v="1"/>
  </r>
  <r>
    <d v="2023-02-28T00:00:00"/>
    <x v="0"/>
    <x v="0"/>
    <n v="1"/>
    <x v="1"/>
    <n v="60000"/>
    <n v="31000"/>
    <n v="60000"/>
    <n v="31000"/>
    <n v="28797"/>
    <n v="202.99999999999997"/>
    <s v="11 mns"/>
    <x v="1"/>
    <n v="2"/>
    <x v="1"/>
  </r>
  <r>
    <d v="2023-02-28T00:00:00"/>
    <x v="0"/>
    <x v="0"/>
    <n v="1"/>
    <x v="2"/>
    <n v="89000"/>
    <n v="65000"/>
    <n v="89000"/>
    <n v="65000"/>
    <n v="23832"/>
    <n v="167.99999999999997"/>
    <s v="11 mns"/>
    <x v="1"/>
    <n v="2"/>
    <x v="1"/>
  </r>
  <r>
    <d v="2023-02-28T00:00:00"/>
    <x v="1"/>
    <x v="1"/>
    <n v="1"/>
    <x v="0"/>
    <n v="33000"/>
    <n v="18000"/>
    <n v="33000"/>
    <n v="18000"/>
    <n v="14895"/>
    <n v="104.99999999999999"/>
    <s v="58 mns"/>
    <x v="3"/>
    <n v="2"/>
    <x v="1"/>
  </r>
  <r>
    <d v="2023-02-28T00:00:00"/>
    <x v="2"/>
    <x v="2"/>
    <n v="1"/>
    <x v="0"/>
    <n v="33000"/>
    <n v="18000"/>
    <n v="33000"/>
    <n v="18000"/>
    <n v="14895"/>
    <n v="104.99999999999999"/>
    <s v="30 mns"/>
    <x v="3"/>
    <n v="2"/>
    <x v="1"/>
  </r>
  <r>
    <d v="2023-02-28T00:00:00"/>
    <x v="2"/>
    <x v="2"/>
    <n v="1"/>
    <x v="1"/>
    <n v="60000"/>
    <n v="31000"/>
    <n v="60000"/>
    <n v="31000"/>
    <n v="28797"/>
    <n v="202.99999999999997"/>
    <s v="30 mns"/>
    <x v="3"/>
    <n v="2"/>
    <x v="1"/>
  </r>
  <r>
    <d v="2023-02-28T00:00:00"/>
    <x v="2"/>
    <x v="2"/>
    <n v="1"/>
    <x v="2"/>
    <n v="89000"/>
    <n v="65000"/>
    <n v="89000"/>
    <n v="65000"/>
    <n v="23832"/>
    <n v="167.99999999999997"/>
    <s v="30 mns"/>
    <x v="1"/>
    <n v="2"/>
    <x v="1"/>
  </r>
  <r>
    <d v="2023-02-28T00:00:00"/>
    <x v="3"/>
    <x v="3"/>
    <n v="1"/>
    <x v="0"/>
    <n v="33000"/>
    <n v="18000"/>
    <n v="33000"/>
    <n v="18000"/>
    <n v="14895"/>
    <n v="104.99999999999999"/>
    <s v="35 mns"/>
    <x v="0"/>
    <n v="2"/>
    <x v="1"/>
  </r>
  <r>
    <d v="2023-02-28T00:00:00"/>
    <x v="3"/>
    <x v="3"/>
    <n v="1"/>
    <x v="1"/>
    <n v="60000"/>
    <n v="31000"/>
    <n v="60000"/>
    <n v="31000"/>
    <n v="28797"/>
    <n v="202.99999999999997"/>
    <s v="35 mns"/>
    <x v="3"/>
    <n v="2"/>
    <x v="1"/>
  </r>
  <r>
    <d v="2023-02-28T00:00:00"/>
    <x v="3"/>
    <x v="3"/>
    <n v="1"/>
    <x v="2"/>
    <n v="89000"/>
    <n v="65000"/>
    <n v="89000"/>
    <n v="65000"/>
    <n v="23832"/>
    <n v="167.99999999999997"/>
    <s v="35 mns"/>
    <x v="0"/>
    <n v="2"/>
    <x v="1"/>
  </r>
  <r>
    <d v="2023-03-01T00:00:00"/>
    <x v="0"/>
    <x v="0"/>
    <n v="2"/>
    <x v="0"/>
    <n v="33000"/>
    <n v="18000"/>
    <n v="66000"/>
    <n v="36000"/>
    <n v="29790"/>
    <n v="209.99999999999997"/>
    <s v="11 mns"/>
    <x v="1"/>
    <n v="3"/>
    <x v="2"/>
  </r>
  <r>
    <d v="2023-03-01T00:00:00"/>
    <x v="0"/>
    <x v="0"/>
    <n v="2"/>
    <x v="1"/>
    <n v="60000"/>
    <n v="31000"/>
    <n v="120000"/>
    <n v="62000"/>
    <n v="57594"/>
    <n v="405.99999999999994"/>
    <s v="11 mns"/>
    <x v="3"/>
    <n v="3"/>
    <x v="2"/>
  </r>
  <r>
    <d v="2023-03-01T00:00:00"/>
    <x v="0"/>
    <x v="0"/>
    <n v="2"/>
    <x v="2"/>
    <n v="89000"/>
    <n v="65000"/>
    <n v="178000"/>
    <n v="130000"/>
    <n v="47664"/>
    <n v="335.99999999999994"/>
    <s v="11 mns"/>
    <x v="2"/>
    <n v="3"/>
    <x v="2"/>
  </r>
  <r>
    <d v="2023-03-01T00:00:00"/>
    <x v="1"/>
    <x v="1"/>
    <n v="2"/>
    <x v="0"/>
    <n v="33000"/>
    <n v="18000"/>
    <n v="66000"/>
    <n v="36000"/>
    <n v="29790"/>
    <n v="209.99999999999997"/>
    <s v="58 mns"/>
    <x v="0"/>
    <n v="3"/>
    <x v="2"/>
  </r>
  <r>
    <d v="2023-03-01T00:00:00"/>
    <x v="2"/>
    <x v="2"/>
    <n v="2"/>
    <x v="0"/>
    <n v="33000"/>
    <n v="18000"/>
    <n v="66000"/>
    <n v="36000"/>
    <n v="29790"/>
    <n v="209.99999999999997"/>
    <s v="30 mns"/>
    <x v="0"/>
    <n v="3"/>
    <x v="2"/>
  </r>
  <r>
    <d v="2023-03-01T00:00:00"/>
    <x v="2"/>
    <x v="2"/>
    <n v="2"/>
    <x v="1"/>
    <n v="60000"/>
    <n v="31000"/>
    <n v="120000"/>
    <n v="62000"/>
    <n v="57594"/>
    <n v="405.99999999999994"/>
    <s v="30 mns"/>
    <x v="3"/>
    <n v="3"/>
    <x v="2"/>
  </r>
  <r>
    <d v="2023-03-01T00:00:00"/>
    <x v="2"/>
    <x v="2"/>
    <n v="2"/>
    <x v="2"/>
    <n v="89000"/>
    <n v="65000"/>
    <n v="178000"/>
    <n v="130000"/>
    <n v="47664"/>
    <n v="335.99999999999994"/>
    <s v="30 mns"/>
    <x v="1"/>
    <n v="3"/>
    <x v="2"/>
  </r>
  <r>
    <d v="2023-03-01T00:00:00"/>
    <x v="3"/>
    <x v="3"/>
    <n v="2"/>
    <x v="0"/>
    <n v="33000"/>
    <n v="18000"/>
    <n v="66000"/>
    <n v="36000"/>
    <n v="29790"/>
    <n v="209.99999999999997"/>
    <s v="35 mns"/>
    <x v="1"/>
    <n v="3"/>
    <x v="2"/>
  </r>
  <r>
    <d v="2023-03-01T00:00:00"/>
    <x v="3"/>
    <x v="3"/>
    <n v="2"/>
    <x v="1"/>
    <n v="60000"/>
    <n v="31000"/>
    <n v="120000"/>
    <n v="62000"/>
    <n v="57594"/>
    <n v="405.99999999999994"/>
    <s v="35 mns"/>
    <x v="3"/>
    <n v="3"/>
    <x v="2"/>
  </r>
  <r>
    <d v="2023-03-01T00:00:00"/>
    <x v="3"/>
    <x v="3"/>
    <n v="2"/>
    <x v="2"/>
    <n v="89000"/>
    <n v="65000"/>
    <n v="178000"/>
    <n v="130000"/>
    <n v="47664"/>
    <n v="335.99999999999994"/>
    <s v="35 mns"/>
    <x v="3"/>
    <n v="3"/>
    <x v="2"/>
  </r>
  <r>
    <d v="2023-03-02T00:00:00"/>
    <x v="0"/>
    <x v="0"/>
    <n v="1"/>
    <x v="0"/>
    <n v="33000"/>
    <n v="18000"/>
    <n v="33000"/>
    <n v="18000"/>
    <n v="14895"/>
    <n v="104.99999999999999"/>
    <s v="11 mns"/>
    <x v="0"/>
    <n v="3"/>
    <x v="2"/>
  </r>
  <r>
    <d v="2023-03-02T00:00:00"/>
    <x v="0"/>
    <x v="0"/>
    <n v="1"/>
    <x v="1"/>
    <n v="60000"/>
    <n v="31000"/>
    <n v="60000"/>
    <n v="31000"/>
    <n v="28797"/>
    <n v="202.99999999999997"/>
    <s v="11 mns"/>
    <x v="0"/>
    <n v="3"/>
    <x v="2"/>
  </r>
  <r>
    <d v="2023-03-02T00:00:00"/>
    <x v="0"/>
    <x v="0"/>
    <n v="1"/>
    <x v="2"/>
    <n v="89000"/>
    <n v="65000"/>
    <n v="89000"/>
    <n v="65000"/>
    <n v="23832"/>
    <n v="167.99999999999997"/>
    <s v="11 mns"/>
    <x v="3"/>
    <n v="3"/>
    <x v="2"/>
  </r>
  <r>
    <d v="2023-03-02T00:00:00"/>
    <x v="1"/>
    <x v="1"/>
    <n v="1"/>
    <x v="0"/>
    <n v="33000"/>
    <n v="18000"/>
    <n v="33000"/>
    <n v="18000"/>
    <n v="14895"/>
    <n v="104.99999999999999"/>
    <s v="58 mns"/>
    <x v="3"/>
    <n v="3"/>
    <x v="2"/>
  </r>
  <r>
    <d v="2023-03-02T00:00:00"/>
    <x v="2"/>
    <x v="2"/>
    <n v="1"/>
    <x v="0"/>
    <n v="33000"/>
    <n v="18000"/>
    <n v="33000"/>
    <n v="18000"/>
    <n v="14895"/>
    <n v="104.99999999999999"/>
    <s v="30 mns"/>
    <x v="1"/>
    <n v="3"/>
    <x v="2"/>
  </r>
  <r>
    <d v="2023-03-02T00:00:00"/>
    <x v="2"/>
    <x v="2"/>
    <n v="1"/>
    <x v="1"/>
    <n v="60000"/>
    <n v="31000"/>
    <n v="60000"/>
    <n v="31000"/>
    <n v="28797"/>
    <n v="202.99999999999997"/>
    <s v="30 mns"/>
    <x v="1"/>
    <n v="3"/>
    <x v="2"/>
  </r>
  <r>
    <d v="2023-03-02T00:00:00"/>
    <x v="2"/>
    <x v="2"/>
    <n v="1"/>
    <x v="2"/>
    <n v="89000"/>
    <n v="65000"/>
    <n v="89000"/>
    <n v="65000"/>
    <n v="23832"/>
    <n v="167.99999999999997"/>
    <s v="30 mns"/>
    <x v="0"/>
    <n v="3"/>
    <x v="2"/>
  </r>
  <r>
    <d v="2023-03-02T00:00:00"/>
    <x v="3"/>
    <x v="3"/>
    <n v="1"/>
    <x v="0"/>
    <n v="33000"/>
    <n v="18000"/>
    <n v="33000"/>
    <n v="18000"/>
    <n v="14895"/>
    <n v="104.99999999999999"/>
    <s v="35 mns"/>
    <x v="3"/>
    <n v="3"/>
    <x v="2"/>
  </r>
  <r>
    <d v="2023-03-02T00:00:00"/>
    <x v="3"/>
    <x v="3"/>
    <n v="1"/>
    <x v="1"/>
    <n v="60000"/>
    <n v="31000"/>
    <n v="60000"/>
    <n v="31000"/>
    <n v="28797"/>
    <n v="202.99999999999997"/>
    <s v="35 mns"/>
    <x v="0"/>
    <n v="3"/>
    <x v="2"/>
  </r>
  <r>
    <d v="2023-03-02T00:00:00"/>
    <x v="3"/>
    <x v="3"/>
    <n v="1"/>
    <x v="2"/>
    <n v="89000"/>
    <n v="65000"/>
    <n v="89000"/>
    <n v="65000"/>
    <n v="23832"/>
    <n v="167.99999999999997"/>
    <s v="35 mns"/>
    <x v="3"/>
    <n v="3"/>
    <x v="2"/>
  </r>
  <r>
    <d v="2023-03-03T00:00:00"/>
    <x v="0"/>
    <x v="0"/>
    <n v="2"/>
    <x v="0"/>
    <n v="33000"/>
    <n v="18000"/>
    <n v="66000"/>
    <n v="36000"/>
    <n v="29790"/>
    <n v="209.99999999999997"/>
    <s v="11 mns"/>
    <x v="3"/>
    <n v="3"/>
    <x v="2"/>
  </r>
  <r>
    <d v="2023-03-03T00:00:00"/>
    <x v="0"/>
    <x v="0"/>
    <n v="2"/>
    <x v="1"/>
    <n v="60000"/>
    <n v="31000"/>
    <n v="120000"/>
    <n v="62000"/>
    <n v="57594"/>
    <n v="405.99999999999994"/>
    <s v="11 mns"/>
    <x v="3"/>
    <n v="3"/>
    <x v="2"/>
  </r>
  <r>
    <d v="2023-03-03T00:00:00"/>
    <x v="0"/>
    <x v="0"/>
    <n v="2"/>
    <x v="2"/>
    <n v="89000"/>
    <n v="65000"/>
    <n v="178000"/>
    <n v="130000"/>
    <n v="47664"/>
    <n v="335.99999999999994"/>
    <s v="11 mns"/>
    <x v="3"/>
    <n v="3"/>
    <x v="2"/>
  </r>
  <r>
    <d v="2023-03-03T00:00:00"/>
    <x v="1"/>
    <x v="1"/>
    <n v="2"/>
    <x v="0"/>
    <n v="33000"/>
    <n v="18000"/>
    <n v="66000"/>
    <n v="36000"/>
    <n v="29790"/>
    <n v="209.99999999999997"/>
    <s v="58 mns"/>
    <x v="1"/>
    <n v="3"/>
    <x v="2"/>
  </r>
  <r>
    <d v="2023-03-03T00:00:00"/>
    <x v="2"/>
    <x v="2"/>
    <n v="2"/>
    <x v="0"/>
    <n v="33000"/>
    <n v="18000"/>
    <n v="66000"/>
    <n v="36000"/>
    <n v="29790"/>
    <n v="209.99999999999997"/>
    <s v="30 mns"/>
    <x v="3"/>
    <n v="3"/>
    <x v="2"/>
  </r>
  <r>
    <d v="2023-03-03T00:00:00"/>
    <x v="2"/>
    <x v="2"/>
    <n v="2"/>
    <x v="1"/>
    <n v="60000"/>
    <n v="31000"/>
    <n v="120000"/>
    <n v="62000"/>
    <n v="57594"/>
    <n v="405.99999999999994"/>
    <s v="30 mns"/>
    <x v="3"/>
    <n v="3"/>
    <x v="2"/>
  </r>
  <r>
    <d v="2023-03-03T00:00:00"/>
    <x v="2"/>
    <x v="2"/>
    <n v="2"/>
    <x v="2"/>
    <n v="89000"/>
    <n v="65000"/>
    <n v="178000"/>
    <n v="130000"/>
    <n v="47664"/>
    <n v="335.99999999999994"/>
    <s v="30 mns"/>
    <x v="1"/>
    <n v="3"/>
    <x v="2"/>
  </r>
  <r>
    <d v="2023-03-03T00:00:00"/>
    <x v="3"/>
    <x v="3"/>
    <n v="2"/>
    <x v="0"/>
    <n v="33000"/>
    <n v="18000"/>
    <n v="66000"/>
    <n v="36000"/>
    <n v="29790"/>
    <n v="209.99999999999997"/>
    <s v="35 mns"/>
    <x v="0"/>
    <n v="3"/>
    <x v="2"/>
  </r>
  <r>
    <d v="2023-03-03T00:00:00"/>
    <x v="3"/>
    <x v="3"/>
    <n v="2"/>
    <x v="1"/>
    <n v="60000"/>
    <n v="31000"/>
    <n v="120000"/>
    <n v="62000"/>
    <n v="57594"/>
    <n v="405.99999999999994"/>
    <s v="35 mns"/>
    <x v="0"/>
    <n v="3"/>
    <x v="2"/>
  </r>
  <r>
    <d v="2023-03-03T00:00:00"/>
    <x v="3"/>
    <x v="3"/>
    <n v="2"/>
    <x v="2"/>
    <n v="89000"/>
    <n v="65000"/>
    <n v="178000"/>
    <n v="130000"/>
    <n v="47664"/>
    <n v="335.99999999999994"/>
    <s v="35 mns"/>
    <x v="1"/>
    <n v="3"/>
    <x v="2"/>
  </r>
  <r>
    <d v="2023-03-04T00:00:00"/>
    <x v="0"/>
    <x v="0"/>
    <n v="1"/>
    <x v="0"/>
    <n v="33000"/>
    <n v="18000"/>
    <n v="33000"/>
    <n v="18000"/>
    <n v="14895"/>
    <n v="104.99999999999999"/>
    <s v="11 mns"/>
    <x v="2"/>
    <n v="3"/>
    <x v="2"/>
  </r>
  <r>
    <d v="2023-03-04T00:00:00"/>
    <x v="0"/>
    <x v="0"/>
    <n v="1"/>
    <x v="1"/>
    <n v="60000"/>
    <n v="31000"/>
    <n v="60000"/>
    <n v="31000"/>
    <n v="28797"/>
    <n v="202.99999999999997"/>
    <s v="11 mns"/>
    <x v="1"/>
    <n v="3"/>
    <x v="2"/>
  </r>
  <r>
    <d v="2023-03-04T00:00:00"/>
    <x v="0"/>
    <x v="0"/>
    <n v="1"/>
    <x v="2"/>
    <n v="89000"/>
    <n v="65000"/>
    <n v="89000"/>
    <n v="65000"/>
    <n v="23832"/>
    <n v="167.99999999999997"/>
    <s v="11 mns"/>
    <x v="0"/>
    <n v="3"/>
    <x v="2"/>
  </r>
  <r>
    <d v="2023-03-04T00:00:00"/>
    <x v="1"/>
    <x v="1"/>
    <n v="1"/>
    <x v="0"/>
    <n v="33000"/>
    <n v="18000"/>
    <n v="33000"/>
    <n v="18000"/>
    <n v="14895"/>
    <n v="104.99999999999999"/>
    <s v="58 mns"/>
    <x v="3"/>
    <n v="3"/>
    <x v="2"/>
  </r>
  <r>
    <d v="2023-03-04T00:00:00"/>
    <x v="2"/>
    <x v="2"/>
    <n v="1"/>
    <x v="1"/>
    <n v="60000"/>
    <n v="31000"/>
    <n v="60000"/>
    <n v="31000"/>
    <n v="28797"/>
    <n v="202.99999999999997"/>
    <s v="30 mns"/>
    <x v="2"/>
    <n v="3"/>
    <x v="2"/>
  </r>
  <r>
    <d v="2023-03-04T00:00:00"/>
    <x v="2"/>
    <x v="2"/>
    <n v="1"/>
    <x v="2"/>
    <n v="89000"/>
    <n v="65000"/>
    <n v="89000"/>
    <n v="65000"/>
    <n v="23832"/>
    <n v="167.99999999999997"/>
    <s v="30 mns"/>
    <x v="2"/>
    <n v="3"/>
    <x v="2"/>
  </r>
  <r>
    <d v="2023-03-04T00:00:00"/>
    <x v="3"/>
    <x v="3"/>
    <n v="1"/>
    <x v="0"/>
    <n v="33000"/>
    <n v="18000"/>
    <n v="33000"/>
    <n v="18000"/>
    <n v="14895"/>
    <n v="104.99999999999999"/>
    <s v="35 mns"/>
    <x v="0"/>
    <n v="3"/>
    <x v="2"/>
  </r>
  <r>
    <d v="2023-03-04T00:00:00"/>
    <x v="3"/>
    <x v="3"/>
    <n v="1"/>
    <x v="1"/>
    <n v="60000"/>
    <n v="31000"/>
    <n v="60000"/>
    <n v="31000"/>
    <n v="28797"/>
    <n v="202.99999999999997"/>
    <s v="35 mns"/>
    <x v="3"/>
    <n v="3"/>
    <x v="2"/>
  </r>
  <r>
    <d v="2023-03-04T00:00:00"/>
    <x v="3"/>
    <x v="3"/>
    <n v="1"/>
    <x v="2"/>
    <n v="89000"/>
    <n v="65000"/>
    <n v="89000"/>
    <n v="65000"/>
    <n v="23832"/>
    <n v="167.99999999999997"/>
    <s v="35 mns"/>
    <x v="3"/>
    <n v="3"/>
    <x v="2"/>
  </r>
  <r>
    <d v="2023-03-05T00:00:00"/>
    <x v="0"/>
    <x v="0"/>
    <n v="2"/>
    <x v="0"/>
    <n v="33000"/>
    <n v="18000"/>
    <n v="66000"/>
    <n v="36000"/>
    <n v="29790"/>
    <n v="209.99999999999997"/>
    <s v="11 mns"/>
    <x v="1"/>
    <n v="3"/>
    <x v="2"/>
  </r>
  <r>
    <d v="2023-03-05T00:00:00"/>
    <x v="0"/>
    <x v="0"/>
    <n v="2"/>
    <x v="1"/>
    <n v="60000"/>
    <n v="31000"/>
    <n v="120000"/>
    <n v="62000"/>
    <n v="57594"/>
    <n v="405.99999999999994"/>
    <s v="11 mns"/>
    <x v="0"/>
    <n v="3"/>
    <x v="2"/>
  </r>
  <r>
    <d v="2023-03-05T00:00:00"/>
    <x v="0"/>
    <x v="0"/>
    <n v="2"/>
    <x v="2"/>
    <n v="89000"/>
    <n v="65000"/>
    <n v="178000"/>
    <n v="130000"/>
    <n v="47664"/>
    <n v="335.99999999999994"/>
    <s v="11 mns"/>
    <x v="3"/>
    <n v="3"/>
    <x v="2"/>
  </r>
  <r>
    <d v="2023-03-05T00:00:00"/>
    <x v="1"/>
    <x v="1"/>
    <n v="2"/>
    <x v="0"/>
    <n v="33000"/>
    <n v="18000"/>
    <n v="66000"/>
    <n v="36000"/>
    <n v="29790"/>
    <n v="209.99999999999997"/>
    <s v="58 mns"/>
    <x v="1"/>
    <n v="3"/>
    <x v="2"/>
  </r>
  <r>
    <d v="2023-03-05T00:00:00"/>
    <x v="2"/>
    <x v="2"/>
    <n v="2"/>
    <x v="0"/>
    <n v="33000"/>
    <n v="18000"/>
    <n v="66000"/>
    <n v="36000"/>
    <n v="29790"/>
    <n v="209.99999999999997"/>
    <s v="30 mns"/>
    <x v="3"/>
    <n v="3"/>
    <x v="2"/>
  </r>
  <r>
    <d v="2023-03-05T00:00:00"/>
    <x v="2"/>
    <x v="2"/>
    <n v="2"/>
    <x v="1"/>
    <n v="60000"/>
    <n v="31000"/>
    <n v="120000"/>
    <n v="62000"/>
    <n v="57594"/>
    <n v="405.99999999999994"/>
    <s v="30 mns"/>
    <x v="1"/>
    <n v="3"/>
    <x v="2"/>
  </r>
  <r>
    <d v="2023-03-05T00:00:00"/>
    <x v="2"/>
    <x v="2"/>
    <n v="2"/>
    <x v="2"/>
    <n v="89000"/>
    <n v="65000"/>
    <n v="178000"/>
    <n v="130000"/>
    <n v="47664"/>
    <n v="335.99999999999994"/>
    <s v="30 mns"/>
    <x v="3"/>
    <n v="3"/>
    <x v="2"/>
  </r>
  <r>
    <d v="2023-03-05T00:00:00"/>
    <x v="3"/>
    <x v="3"/>
    <n v="2"/>
    <x v="0"/>
    <n v="33000"/>
    <n v="18000"/>
    <n v="66000"/>
    <n v="36000"/>
    <n v="29790"/>
    <n v="209.99999999999997"/>
    <s v="35 mns"/>
    <x v="0"/>
    <n v="3"/>
    <x v="2"/>
  </r>
  <r>
    <d v="2023-03-05T00:00:00"/>
    <x v="3"/>
    <x v="3"/>
    <n v="2"/>
    <x v="1"/>
    <n v="60000"/>
    <n v="31000"/>
    <n v="120000"/>
    <n v="62000"/>
    <n v="57594"/>
    <n v="405.99999999999994"/>
    <s v="35 mns"/>
    <x v="3"/>
    <n v="3"/>
    <x v="2"/>
  </r>
  <r>
    <d v="2023-03-05T00:00:00"/>
    <x v="3"/>
    <x v="3"/>
    <n v="2"/>
    <x v="2"/>
    <n v="89000"/>
    <n v="65000"/>
    <n v="178000"/>
    <n v="130000"/>
    <n v="47664"/>
    <n v="335.99999999999994"/>
    <s v="35 mns"/>
    <x v="1"/>
    <n v="3"/>
    <x v="2"/>
  </r>
  <r>
    <d v="2023-03-06T00:00:00"/>
    <x v="0"/>
    <x v="0"/>
    <n v="2"/>
    <x v="0"/>
    <n v="33000"/>
    <n v="18000"/>
    <n v="66000"/>
    <n v="36000"/>
    <n v="29790"/>
    <n v="209.99999999999997"/>
    <s v="11 mns"/>
    <x v="1"/>
    <n v="3"/>
    <x v="2"/>
  </r>
  <r>
    <d v="2023-03-06T00:00:00"/>
    <x v="0"/>
    <x v="0"/>
    <n v="2"/>
    <x v="1"/>
    <n v="60000"/>
    <n v="31000"/>
    <n v="120000"/>
    <n v="62000"/>
    <n v="57594"/>
    <n v="405.99999999999994"/>
    <s v="11 mns"/>
    <x v="3"/>
    <n v="3"/>
    <x v="2"/>
  </r>
  <r>
    <d v="2023-03-06T00:00:00"/>
    <x v="0"/>
    <x v="0"/>
    <n v="2"/>
    <x v="2"/>
    <n v="89000"/>
    <n v="65000"/>
    <n v="178000"/>
    <n v="130000"/>
    <n v="47664"/>
    <n v="335.99999999999994"/>
    <s v="11 mns"/>
    <x v="3"/>
    <n v="3"/>
    <x v="2"/>
  </r>
  <r>
    <d v="2023-03-06T00:00:00"/>
    <x v="1"/>
    <x v="1"/>
    <n v="2"/>
    <x v="0"/>
    <n v="33000"/>
    <n v="18000"/>
    <n v="66000"/>
    <n v="36000"/>
    <n v="29790"/>
    <n v="209.99999999999997"/>
    <s v="58 mns"/>
    <x v="2"/>
    <n v="3"/>
    <x v="2"/>
  </r>
  <r>
    <d v="2023-03-06T00:00:00"/>
    <x v="2"/>
    <x v="2"/>
    <n v="2"/>
    <x v="0"/>
    <n v="33000"/>
    <n v="18000"/>
    <n v="66000"/>
    <n v="36000"/>
    <n v="29790"/>
    <n v="209.99999999999997"/>
    <s v="30 mns"/>
    <x v="3"/>
    <n v="3"/>
    <x v="2"/>
  </r>
  <r>
    <d v="2023-03-06T00:00:00"/>
    <x v="2"/>
    <x v="2"/>
    <n v="2"/>
    <x v="1"/>
    <n v="60000"/>
    <n v="31000"/>
    <n v="120000"/>
    <n v="62000"/>
    <n v="57594"/>
    <n v="405.99999999999994"/>
    <s v="30 mns"/>
    <x v="3"/>
    <n v="3"/>
    <x v="2"/>
  </r>
  <r>
    <d v="2023-03-06T00:00:00"/>
    <x v="2"/>
    <x v="2"/>
    <n v="2"/>
    <x v="2"/>
    <n v="89000"/>
    <n v="65000"/>
    <n v="178000"/>
    <n v="130000"/>
    <n v="47664"/>
    <n v="335.99999999999994"/>
    <s v="30 mns"/>
    <x v="1"/>
    <n v="3"/>
    <x v="2"/>
  </r>
  <r>
    <d v="2023-03-06T00:00:00"/>
    <x v="3"/>
    <x v="3"/>
    <n v="2"/>
    <x v="0"/>
    <n v="33000"/>
    <n v="18000"/>
    <n v="66000"/>
    <n v="36000"/>
    <n v="29790"/>
    <n v="209.99999999999997"/>
    <s v="35 mns"/>
    <x v="3"/>
    <n v="3"/>
    <x v="2"/>
  </r>
  <r>
    <d v="2023-03-06T00:00:00"/>
    <x v="3"/>
    <x v="3"/>
    <n v="2"/>
    <x v="1"/>
    <n v="60000"/>
    <n v="31000"/>
    <n v="120000"/>
    <n v="62000"/>
    <n v="57594"/>
    <n v="405.99999999999994"/>
    <s v="35 mns"/>
    <x v="1"/>
    <n v="3"/>
    <x v="2"/>
  </r>
  <r>
    <d v="2023-03-07T00:00:00"/>
    <x v="0"/>
    <x v="0"/>
    <n v="2"/>
    <x v="0"/>
    <n v="33000"/>
    <n v="18000"/>
    <n v="66000"/>
    <n v="36000"/>
    <n v="29790"/>
    <n v="209.99999999999997"/>
    <s v="11 mns"/>
    <x v="2"/>
    <n v="3"/>
    <x v="2"/>
  </r>
  <r>
    <d v="2023-03-07T00:00:00"/>
    <x v="0"/>
    <x v="0"/>
    <n v="2"/>
    <x v="1"/>
    <n v="60000"/>
    <n v="31000"/>
    <n v="120000"/>
    <n v="62000"/>
    <n v="57594"/>
    <n v="405.99999999999994"/>
    <s v="11 mns"/>
    <x v="3"/>
    <n v="3"/>
    <x v="2"/>
  </r>
  <r>
    <d v="2023-03-07T00:00:00"/>
    <x v="0"/>
    <x v="0"/>
    <n v="2"/>
    <x v="2"/>
    <n v="89000"/>
    <n v="65000"/>
    <n v="178000"/>
    <n v="130000"/>
    <n v="47664"/>
    <n v="335.99999999999994"/>
    <s v="11 mns"/>
    <x v="0"/>
    <n v="3"/>
    <x v="2"/>
  </r>
  <r>
    <d v="2023-03-07T00:00:00"/>
    <x v="1"/>
    <x v="1"/>
    <n v="2"/>
    <x v="0"/>
    <n v="33000"/>
    <n v="18000"/>
    <n v="66000"/>
    <n v="36000"/>
    <n v="29790"/>
    <n v="209.99999999999997"/>
    <s v="58 mns"/>
    <x v="3"/>
    <n v="3"/>
    <x v="2"/>
  </r>
  <r>
    <d v="2023-03-07T00:00:00"/>
    <x v="2"/>
    <x v="2"/>
    <n v="2"/>
    <x v="0"/>
    <n v="33000"/>
    <n v="18000"/>
    <n v="66000"/>
    <n v="36000"/>
    <n v="29790"/>
    <n v="209.99999999999997"/>
    <s v="30 mns"/>
    <x v="2"/>
    <n v="3"/>
    <x v="2"/>
  </r>
  <r>
    <d v="2023-03-07T00:00:00"/>
    <x v="2"/>
    <x v="2"/>
    <n v="2"/>
    <x v="1"/>
    <n v="60000"/>
    <n v="31000"/>
    <n v="120000"/>
    <n v="62000"/>
    <n v="57594"/>
    <n v="405.99999999999994"/>
    <s v="30 mns"/>
    <x v="0"/>
    <n v="3"/>
    <x v="2"/>
  </r>
  <r>
    <d v="2023-03-07T00:00:00"/>
    <x v="2"/>
    <x v="2"/>
    <n v="2"/>
    <x v="2"/>
    <n v="89000"/>
    <n v="65000"/>
    <n v="178000"/>
    <n v="130000"/>
    <n v="47664"/>
    <n v="335.99999999999994"/>
    <s v="30 mns"/>
    <x v="1"/>
    <n v="3"/>
    <x v="2"/>
  </r>
  <r>
    <d v="2023-03-07T00:00:00"/>
    <x v="3"/>
    <x v="3"/>
    <n v="2"/>
    <x v="0"/>
    <n v="33000"/>
    <n v="18000"/>
    <n v="66000"/>
    <n v="36000"/>
    <n v="29790"/>
    <n v="209.99999999999997"/>
    <s v="35 mns"/>
    <x v="3"/>
    <n v="3"/>
    <x v="2"/>
  </r>
  <r>
    <d v="2023-03-07T00:00:00"/>
    <x v="3"/>
    <x v="3"/>
    <n v="2"/>
    <x v="1"/>
    <n v="60000"/>
    <n v="31000"/>
    <n v="120000"/>
    <n v="62000"/>
    <n v="57594"/>
    <n v="405.99999999999994"/>
    <s v="35 mns"/>
    <x v="3"/>
    <n v="3"/>
    <x v="2"/>
  </r>
  <r>
    <d v="2023-03-08T00:00:00"/>
    <x v="0"/>
    <x v="0"/>
    <n v="1"/>
    <x v="0"/>
    <n v="33000"/>
    <n v="18000"/>
    <n v="33000"/>
    <n v="18000"/>
    <n v="14895"/>
    <n v="104.99999999999999"/>
    <s v="11 mns"/>
    <x v="3"/>
    <n v="3"/>
    <x v="2"/>
  </r>
  <r>
    <d v="2023-03-08T00:00:00"/>
    <x v="0"/>
    <x v="0"/>
    <n v="1"/>
    <x v="1"/>
    <n v="60000"/>
    <n v="31000"/>
    <n v="60000"/>
    <n v="31000"/>
    <n v="28797"/>
    <n v="202.99999999999997"/>
    <s v="11 mns"/>
    <x v="3"/>
    <n v="3"/>
    <x v="2"/>
  </r>
  <r>
    <d v="2023-03-08T00:00:00"/>
    <x v="0"/>
    <x v="0"/>
    <n v="1"/>
    <x v="2"/>
    <n v="89000"/>
    <n v="65000"/>
    <n v="89000"/>
    <n v="65000"/>
    <n v="23832"/>
    <n v="167.99999999999997"/>
    <s v="11 mns"/>
    <x v="0"/>
    <n v="3"/>
    <x v="2"/>
  </r>
  <r>
    <d v="2023-03-08T00:00:00"/>
    <x v="1"/>
    <x v="1"/>
    <n v="1"/>
    <x v="0"/>
    <n v="33000"/>
    <n v="18000"/>
    <n v="33000"/>
    <n v="18000"/>
    <n v="14895"/>
    <n v="104.99999999999999"/>
    <s v="58 mns"/>
    <x v="0"/>
    <n v="3"/>
    <x v="2"/>
  </r>
  <r>
    <d v="2023-03-08T00:00:00"/>
    <x v="2"/>
    <x v="2"/>
    <n v="1"/>
    <x v="0"/>
    <n v="33000"/>
    <n v="18000"/>
    <n v="33000"/>
    <n v="18000"/>
    <n v="14895"/>
    <n v="104.99999999999999"/>
    <s v="30 mns"/>
    <x v="3"/>
    <n v="3"/>
    <x v="2"/>
  </r>
  <r>
    <d v="2023-03-08T00:00:00"/>
    <x v="2"/>
    <x v="2"/>
    <n v="1"/>
    <x v="1"/>
    <n v="60000"/>
    <n v="31000"/>
    <n v="60000"/>
    <n v="31000"/>
    <n v="28797"/>
    <n v="202.99999999999997"/>
    <s v="30 mns"/>
    <x v="1"/>
    <n v="3"/>
    <x v="2"/>
  </r>
  <r>
    <d v="2023-03-08T00:00:00"/>
    <x v="2"/>
    <x v="2"/>
    <n v="1"/>
    <x v="2"/>
    <n v="89000"/>
    <n v="65000"/>
    <n v="89000"/>
    <n v="65000"/>
    <n v="23832"/>
    <n v="167.99999999999997"/>
    <s v="30 mns"/>
    <x v="1"/>
    <n v="3"/>
    <x v="2"/>
  </r>
  <r>
    <d v="2023-03-08T00:00:00"/>
    <x v="3"/>
    <x v="3"/>
    <n v="1"/>
    <x v="0"/>
    <n v="33000"/>
    <n v="18000"/>
    <n v="33000"/>
    <n v="18000"/>
    <n v="14895"/>
    <n v="104.99999999999999"/>
    <s v="35 mns"/>
    <x v="1"/>
    <n v="3"/>
    <x v="2"/>
  </r>
  <r>
    <d v="2023-03-09T00:00:00"/>
    <x v="0"/>
    <x v="0"/>
    <n v="2"/>
    <x v="0"/>
    <n v="33000"/>
    <n v="18000"/>
    <n v="66000"/>
    <n v="36000"/>
    <n v="29790"/>
    <n v="209.99999999999997"/>
    <s v="11 mns"/>
    <x v="2"/>
    <n v="3"/>
    <x v="2"/>
  </r>
  <r>
    <d v="2023-03-09T00:00:00"/>
    <x v="0"/>
    <x v="0"/>
    <n v="2"/>
    <x v="1"/>
    <n v="60000"/>
    <n v="31000"/>
    <n v="120000"/>
    <n v="62000"/>
    <n v="57594"/>
    <n v="405.99999999999994"/>
    <s v="11 mns"/>
    <x v="0"/>
    <n v="3"/>
    <x v="2"/>
  </r>
  <r>
    <d v="2023-03-09T00:00:00"/>
    <x v="0"/>
    <x v="0"/>
    <n v="2"/>
    <x v="2"/>
    <n v="89000"/>
    <n v="65000"/>
    <n v="178000"/>
    <n v="130000"/>
    <n v="47664"/>
    <n v="335.99999999999994"/>
    <s v="11 mns"/>
    <x v="0"/>
    <n v="3"/>
    <x v="2"/>
  </r>
  <r>
    <d v="2023-03-09T00:00:00"/>
    <x v="1"/>
    <x v="1"/>
    <n v="2"/>
    <x v="0"/>
    <n v="33000"/>
    <n v="18000"/>
    <n v="66000"/>
    <n v="36000"/>
    <n v="29790"/>
    <n v="209.99999999999997"/>
    <s v="58 mns"/>
    <x v="3"/>
    <n v="3"/>
    <x v="2"/>
  </r>
  <r>
    <d v="2023-03-09T00:00:00"/>
    <x v="2"/>
    <x v="2"/>
    <n v="2"/>
    <x v="0"/>
    <n v="33000"/>
    <n v="18000"/>
    <n v="66000"/>
    <n v="36000"/>
    <n v="29790"/>
    <n v="209.99999999999997"/>
    <s v="30 mns"/>
    <x v="3"/>
    <n v="3"/>
    <x v="2"/>
  </r>
  <r>
    <d v="2023-03-09T00:00:00"/>
    <x v="2"/>
    <x v="2"/>
    <n v="2"/>
    <x v="1"/>
    <n v="60000"/>
    <n v="31000"/>
    <n v="120000"/>
    <n v="62000"/>
    <n v="57594"/>
    <n v="405.99999999999994"/>
    <s v="30 mns"/>
    <x v="0"/>
    <n v="3"/>
    <x v="2"/>
  </r>
  <r>
    <d v="2023-03-09T00:00:00"/>
    <x v="2"/>
    <x v="2"/>
    <n v="2"/>
    <x v="2"/>
    <n v="89000"/>
    <n v="65000"/>
    <n v="178000"/>
    <n v="130000"/>
    <n v="47664"/>
    <n v="335.99999999999994"/>
    <s v="30 mns"/>
    <x v="3"/>
    <n v="3"/>
    <x v="2"/>
  </r>
  <r>
    <d v="2023-03-09T00:00:00"/>
    <x v="3"/>
    <x v="3"/>
    <n v="2"/>
    <x v="0"/>
    <n v="33000"/>
    <n v="18000"/>
    <n v="66000"/>
    <n v="36000"/>
    <n v="29790"/>
    <n v="209.99999999999997"/>
    <s v="35 mns"/>
    <x v="0"/>
    <n v="3"/>
    <x v="2"/>
  </r>
  <r>
    <d v="2023-03-10T00:00:00"/>
    <x v="0"/>
    <x v="0"/>
    <n v="2"/>
    <x v="0"/>
    <n v="33000"/>
    <n v="18000"/>
    <n v="66000"/>
    <n v="36000"/>
    <n v="29790"/>
    <n v="209.99999999999997"/>
    <s v="11 mns"/>
    <x v="0"/>
    <n v="3"/>
    <x v="2"/>
  </r>
  <r>
    <d v="2023-03-10T00:00:00"/>
    <x v="0"/>
    <x v="0"/>
    <n v="2"/>
    <x v="1"/>
    <n v="60000"/>
    <n v="31000"/>
    <n v="120000"/>
    <n v="62000"/>
    <n v="57594"/>
    <n v="405.99999999999994"/>
    <s v="11 mns"/>
    <x v="3"/>
    <n v="3"/>
    <x v="2"/>
  </r>
  <r>
    <d v="2023-03-10T00:00:00"/>
    <x v="0"/>
    <x v="0"/>
    <n v="2"/>
    <x v="2"/>
    <n v="89000"/>
    <n v="65000"/>
    <n v="178000"/>
    <n v="130000"/>
    <n v="47664"/>
    <n v="335.99999999999994"/>
    <s v="11 mns"/>
    <x v="0"/>
    <n v="3"/>
    <x v="2"/>
  </r>
  <r>
    <d v="2023-03-10T00:00:00"/>
    <x v="1"/>
    <x v="1"/>
    <n v="2"/>
    <x v="0"/>
    <n v="33000"/>
    <n v="18000"/>
    <n v="66000"/>
    <n v="36000"/>
    <n v="29790"/>
    <n v="209.99999999999997"/>
    <s v="58 mns"/>
    <x v="1"/>
    <n v="3"/>
    <x v="2"/>
  </r>
  <r>
    <d v="2023-03-10T00:00:00"/>
    <x v="2"/>
    <x v="2"/>
    <n v="2"/>
    <x v="0"/>
    <n v="33000"/>
    <n v="18000"/>
    <n v="66000"/>
    <n v="36000"/>
    <n v="29790"/>
    <n v="209.99999999999997"/>
    <s v="30 mns"/>
    <x v="3"/>
    <n v="3"/>
    <x v="2"/>
  </r>
  <r>
    <d v="2023-03-10T00:00:00"/>
    <x v="2"/>
    <x v="2"/>
    <n v="2"/>
    <x v="1"/>
    <n v="60000"/>
    <n v="31000"/>
    <n v="120000"/>
    <n v="62000"/>
    <n v="57594"/>
    <n v="405.99999999999994"/>
    <s v="30 mns"/>
    <x v="3"/>
    <n v="3"/>
    <x v="2"/>
  </r>
  <r>
    <d v="2023-03-10T00:00:00"/>
    <x v="2"/>
    <x v="2"/>
    <n v="2"/>
    <x v="2"/>
    <n v="89000"/>
    <n v="65000"/>
    <n v="178000"/>
    <n v="130000"/>
    <n v="47664"/>
    <n v="335.99999999999994"/>
    <s v="30 mns"/>
    <x v="0"/>
    <n v="3"/>
    <x v="2"/>
  </r>
  <r>
    <d v="2023-03-10T00:00:00"/>
    <x v="3"/>
    <x v="3"/>
    <n v="2"/>
    <x v="0"/>
    <n v="33000"/>
    <n v="18000"/>
    <n v="66000"/>
    <n v="36000"/>
    <n v="29790"/>
    <n v="209.99999999999997"/>
    <s v="35 mns"/>
    <x v="3"/>
    <n v="3"/>
    <x v="2"/>
  </r>
  <r>
    <d v="2023-03-11T00:00:00"/>
    <x v="0"/>
    <x v="0"/>
    <n v="2"/>
    <x v="0"/>
    <n v="33000"/>
    <n v="18000"/>
    <n v="66000"/>
    <n v="36000"/>
    <n v="29790"/>
    <n v="209.99999999999997"/>
    <s v="11 mns"/>
    <x v="3"/>
    <n v="3"/>
    <x v="2"/>
  </r>
  <r>
    <d v="2023-03-11T00:00:00"/>
    <x v="0"/>
    <x v="0"/>
    <n v="2"/>
    <x v="1"/>
    <n v="60000"/>
    <n v="31000"/>
    <n v="120000"/>
    <n v="62000"/>
    <n v="57594"/>
    <n v="405.99999999999994"/>
    <s v="11 mns"/>
    <x v="0"/>
    <n v="3"/>
    <x v="2"/>
  </r>
  <r>
    <d v="2023-03-11T00:00:00"/>
    <x v="0"/>
    <x v="0"/>
    <n v="2"/>
    <x v="2"/>
    <n v="89000"/>
    <n v="65000"/>
    <n v="178000"/>
    <n v="130000"/>
    <n v="47664"/>
    <n v="335.99999999999994"/>
    <s v="11 mns"/>
    <x v="1"/>
    <n v="3"/>
    <x v="2"/>
  </r>
  <r>
    <d v="2023-03-11T00:00:00"/>
    <x v="1"/>
    <x v="1"/>
    <n v="2"/>
    <x v="0"/>
    <n v="33000"/>
    <n v="18000"/>
    <n v="66000"/>
    <n v="36000"/>
    <n v="29790"/>
    <n v="209.99999999999997"/>
    <s v="58 mns"/>
    <x v="3"/>
    <n v="3"/>
    <x v="2"/>
  </r>
  <r>
    <d v="2023-03-11T00:00:00"/>
    <x v="2"/>
    <x v="2"/>
    <n v="2"/>
    <x v="0"/>
    <n v="33000"/>
    <n v="18000"/>
    <n v="66000"/>
    <n v="36000"/>
    <n v="29790"/>
    <n v="209.99999999999997"/>
    <s v="30 mns"/>
    <x v="1"/>
    <n v="3"/>
    <x v="2"/>
  </r>
  <r>
    <d v="2023-03-11T00:00:00"/>
    <x v="2"/>
    <x v="2"/>
    <n v="2"/>
    <x v="1"/>
    <n v="60000"/>
    <n v="31000"/>
    <n v="120000"/>
    <n v="62000"/>
    <n v="57594"/>
    <n v="405.99999999999994"/>
    <s v="30 mns"/>
    <x v="0"/>
    <n v="3"/>
    <x v="2"/>
  </r>
  <r>
    <d v="2023-03-11T00:00:00"/>
    <x v="2"/>
    <x v="2"/>
    <n v="2"/>
    <x v="2"/>
    <n v="89000"/>
    <n v="65000"/>
    <n v="178000"/>
    <n v="130000"/>
    <n v="47664"/>
    <n v="335.99999999999994"/>
    <s v="30 mns"/>
    <x v="3"/>
    <n v="3"/>
    <x v="2"/>
  </r>
  <r>
    <d v="2023-03-11T00:00:00"/>
    <x v="3"/>
    <x v="3"/>
    <n v="2"/>
    <x v="0"/>
    <n v="33000"/>
    <n v="18000"/>
    <n v="66000"/>
    <n v="36000"/>
    <n v="29790"/>
    <n v="209.99999999999997"/>
    <s v="35 mns"/>
    <x v="1"/>
    <n v="3"/>
    <x v="2"/>
  </r>
  <r>
    <d v="2023-03-12T00:00:00"/>
    <x v="0"/>
    <x v="0"/>
    <n v="1"/>
    <x v="0"/>
    <n v="33000"/>
    <n v="18000"/>
    <n v="33000"/>
    <n v="18000"/>
    <n v="14895"/>
    <n v="104.99999999999999"/>
    <s v="11 mns"/>
    <x v="1"/>
    <n v="3"/>
    <x v="2"/>
  </r>
  <r>
    <d v="2023-03-12T00:00:00"/>
    <x v="0"/>
    <x v="0"/>
    <n v="1"/>
    <x v="1"/>
    <n v="60000"/>
    <n v="31000"/>
    <n v="60000"/>
    <n v="31000"/>
    <n v="28797"/>
    <n v="202.99999999999997"/>
    <s v="11 mns"/>
    <x v="1"/>
    <n v="3"/>
    <x v="2"/>
  </r>
  <r>
    <d v="2023-03-12T00:00:00"/>
    <x v="0"/>
    <x v="0"/>
    <n v="1"/>
    <x v="2"/>
    <n v="89000"/>
    <n v="65000"/>
    <n v="89000"/>
    <n v="65000"/>
    <n v="23832"/>
    <n v="167.99999999999997"/>
    <s v="11 mns"/>
    <x v="1"/>
    <n v="3"/>
    <x v="2"/>
  </r>
  <r>
    <d v="2023-03-12T00:00:00"/>
    <x v="1"/>
    <x v="1"/>
    <n v="1"/>
    <x v="0"/>
    <n v="33000"/>
    <n v="18000"/>
    <n v="33000"/>
    <n v="18000"/>
    <n v="14895"/>
    <n v="104.99999999999999"/>
    <s v="58 mns"/>
    <x v="3"/>
    <n v="3"/>
    <x v="2"/>
  </r>
  <r>
    <d v="2023-03-12T00:00:00"/>
    <x v="2"/>
    <x v="2"/>
    <n v="1"/>
    <x v="0"/>
    <n v="33000"/>
    <n v="18000"/>
    <n v="33000"/>
    <n v="18000"/>
    <n v="14895"/>
    <n v="104.99999999999999"/>
    <s v="30 mns"/>
    <x v="1"/>
    <n v="3"/>
    <x v="2"/>
  </r>
  <r>
    <d v="2023-03-12T00:00:00"/>
    <x v="2"/>
    <x v="2"/>
    <n v="1"/>
    <x v="1"/>
    <n v="60000"/>
    <n v="31000"/>
    <n v="60000"/>
    <n v="31000"/>
    <n v="28797"/>
    <n v="202.99999999999997"/>
    <s v="30 mns"/>
    <x v="2"/>
    <n v="3"/>
    <x v="2"/>
  </r>
  <r>
    <d v="2023-03-12T00:00:00"/>
    <x v="2"/>
    <x v="2"/>
    <n v="1"/>
    <x v="2"/>
    <n v="89000"/>
    <n v="65000"/>
    <n v="89000"/>
    <n v="65000"/>
    <n v="23832"/>
    <n v="167.99999999999997"/>
    <s v="30 mns"/>
    <x v="3"/>
    <n v="3"/>
    <x v="2"/>
  </r>
  <r>
    <d v="2023-03-12T00:00:00"/>
    <x v="3"/>
    <x v="3"/>
    <n v="1"/>
    <x v="0"/>
    <n v="33000"/>
    <n v="18000"/>
    <n v="33000"/>
    <n v="18000"/>
    <n v="14895"/>
    <n v="104.99999999999999"/>
    <s v="35 mns"/>
    <x v="3"/>
    <n v="3"/>
    <x v="2"/>
  </r>
  <r>
    <d v="2023-03-12T00:00:00"/>
    <x v="3"/>
    <x v="3"/>
    <n v="1"/>
    <x v="2"/>
    <n v="89000"/>
    <n v="65000"/>
    <n v="89000"/>
    <n v="65000"/>
    <n v="23832"/>
    <n v="167.99999999999997"/>
    <s v="35 mns"/>
    <x v="1"/>
    <n v="3"/>
    <x v="2"/>
  </r>
  <r>
    <d v="2023-03-13T00:00:00"/>
    <x v="0"/>
    <x v="0"/>
    <n v="2"/>
    <x v="0"/>
    <n v="33000"/>
    <n v="18000"/>
    <n v="66000"/>
    <n v="36000"/>
    <n v="29790"/>
    <n v="209.99999999999997"/>
    <s v="11 mns"/>
    <x v="0"/>
    <n v="3"/>
    <x v="2"/>
  </r>
  <r>
    <d v="2023-03-13T00:00:00"/>
    <x v="0"/>
    <x v="0"/>
    <n v="2"/>
    <x v="1"/>
    <n v="60000"/>
    <n v="31000"/>
    <n v="120000"/>
    <n v="62000"/>
    <n v="57594"/>
    <n v="405.99999999999994"/>
    <s v="11 mns"/>
    <x v="1"/>
    <n v="3"/>
    <x v="2"/>
  </r>
  <r>
    <d v="2023-03-13T00:00:00"/>
    <x v="0"/>
    <x v="0"/>
    <n v="2"/>
    <x v="2"/>
    <n v="89000"/>
    <n v="65000"/>
    <n v="178000"/>
    <n v="130000"/>
    <n v="47664"/>
    <n v="335.99999999999994"/>
    <s v="11 mns"/>
    <x v="2"/>
    <n v="3"/>
    <x v="2"/>
  </r>
  <r>
    <d v="2023-03-13T00:00:00"/>
    <x v="1"/>
    <x v="1"/>
    <n v="2"/>
    <x v="0"/>
    <n v="33000"/>
    <n v="18000"/>
    <n v="66000"/>
    <n v="36000"/>
    <n v="29790"/>
    <n v="209.99999999999997"/>
    <s v="58 mns"/>
    <x v="2"/>
    <n v="3"/>
    <x v="2"/>
  </r>
  <r>
    <d v="2023-03-13T00:00:00"/>
    <x v="2"/>
    <x v="2"/>
    <n v="2"/>
    <x v="0"/>
    <n v="33000"/>
    <n v="18000"/>
    <n v="66000"/>
    <n v="36000"/>
    <n v="29790"/>
    <n v="209.99999999999997"/>
    <s v="30 mns"/>
    <x v="1"/>
    <n v="3"/>
    <x v="2"/>
  </r>
  <r>
    <d v="2023-03-13T00:00:00"/>
    <x v="2"/>
    <x v="2"/>
    <n v="2"/>
    <x v="1"/>
    <n v="60000"/>
    <n v="31000"/>
    <n v="120000"/>
    <n v="62000"/>
    <n v="57594"/>
    <n v="405.99999999999994"/>
    <s v="30 mns"/>
    <x v="0"/>
    <n v="3"/>
    <x v="2"/>
  </r>
  <r>
    <d v="2023-03-13T00:00:00"/>
    <x v="2"/>
    <x v="2"/>
    <n v="2"/>
    <x v="2"/>
    <n v="89000"/>
    <n v="65000"/>
    <n v="178000"/>
    <n v="130000"/>
    <n v="47664"/>
    <n v="335.99999999999994"/>
    <s v="30 mns"/>
    <x v="0"/>
    <n v="3"/>
    <x v="2"/>
  </r>
  <r>
    <d v="2023-03-13T00:00:00"/>
    <x v="3"/>
    <x v="3"/>
    <n v="2"/>
    <x v="0"/>
    <n v="33000"/>
    <n v="18000"/>
    <n v="66000"/>
    <n v="36000"/>
    <n v="29790"/>
    <n v="209.99999999999997"/>
    <s v="35 mns"/>
    <x v="1"/>
    <n v="3"/>
    <x v="2"/>
  </r>
  <r>
    <d v="2023-03-13T00:00:00"/>
    <x v="3"/>
    <x v="3"/>
    <n v="2"/>
    <x v="2"/>
    <n v="89000"/>
    <n v="65000"/>
    <n v="178000"/>
    <n v="130000"/>
    <n v="47664"/>
    <n v="335.99999999999994"/>
    <s v="35 mns"/>
    <x v="1"/>
    <n v="3"/>
    <x v="2"/>
  </r>
  <r>
    <d v="2023-03-14T00:00:00"/>
    <x v="0"/>
    <x v="0"/>
    <n v="1"/>
    <x v="0"/>
    <n v="33000"/>
    <n v="18000"/>
    <n v="33000"/>
    <n v="18000"/>
    <n v="14895"/>
    <n v="104.99999999999999"/>
    <s v="11 mns"/>
    <x v="0"/>
    <n v="3"/>
    <x v="2"/>
  </r>
  <r>
    <d v="2023-03-14T00:00:00"/>
    <x v="0"/>
    <x v="0"/>
    <n v="1"/>
    <x v="1"/>
    <n v="60000"/>
    <n v="31000"/>
    <n v="60000"/>
    <n v="31000"/>
    <n v="28797"/>
    <n v="202.99999999999997"/>
    <s v="11 mns"/>
    <x v="3"/>
    <n v="3"/>
    <x v="2"/>
  </r>
  <r>
    <d v="2023-03-14T00:00:00"/>
    <x v="0"/>
    <x v="0"/>
    <n v="1"/>
    <x v="2"/>
    <n v="89000"/>
    <n v="65000"/>
    <n v="89000"/>
    <n v="65000"/>
    <n v="23832"/>
    <n v="167.99999999999997"/>
    <s v="11 mns"/>
    <x v="3"/>
    <n v="3"/>
    <x v="2"/>
  </r>
  <r>
    <d v="2023-03-14T00:00:00"/>
    <x v="1"/>
    <x v="1"/>
    <n v="1"/>
    <x v="0"/>
    <n v="33000"/>
    <n v="18000"/>
    <n v="33000"/>
    <n v="18000"/>
    <n v="14895"/>
    <n v="104.99999999999999"/>
    <s v="58 mns"/>
    <x v="3"/>
    <n v="3"/>
    <x v="2"/>
  </r>
  <r>
    <d v="2023-03-14T00:00:00"/>
    <x v="2"/>
    <x v="2"/>
    <n v="1"/>
    <x v="0"/>
    <n v="33000"/>
    <n v="18000"/>
    <n v="33000"/>
    <n v="18000"/>
    <n v="14895"/>
    <n v="104.99999999999999"/>
    <s v="30 mns"/>
    <x v="3"/>
    <n v="3"/>
    <x v="2"/>
  </r>
  <r>
    <d v="2023-03-14T00:00:00"/>
    <x v="2"/>
    <x v="2"/>
    <n v="1"/>
    <x v="1"/>
    <n v="60000"/>
    <n v="31000"/>
    <n v="60000"/>
    <n v="31000"/>
    <n v="28797"/>
    <n v="202.99999999999997"/>
    <s v="30 mns"/>
    <x v="0"/>
    <n v="3"/>
    <x v="2"/>
  </r>
  <r>
    <d v="2023-03-14T00:00:00"/>
    <x v="2"/>
    <x v="2"/>
    <n v="1"/>
    <x v="2"/>
    <n v="89000"/>
    <n v="65000"/>
    <n v="89000"/>
    <n v="65000"/>
    <n v="23832"/>
    <n v="167.99999999999997"/>
    <s v="30 mns"/>
    <x v="2"/>
    <n v="3"/>
    <x v="2"/>
  </r>
  <r>
    <d v="2023-03-14T00:00:00"/>
    <x v="3"/>
    <x v="3"/>
    <n v="1"/>
    <x v="0"/>
    <n v="33000"/>
    <n v="18000"/>
    <n v="33000"/>
    <n v="18000"/>
    <n v="14895"/>
    <n v="104.99999999999999"/>
    <s v="35 mns"/>
    <x v="3"/>
    <n v="3"/>
    <x v="2"/>
  </r>
  <r>
    <d v="2023-03-14T00:00:00"/>
    <x v="3"/>
    <x v="3"/>
    <n v="1"/>
    <x v="2"/>
    <n v="89000"/>
    <n v="65000"/>
    <n v="89000"/>
    <n v="65000"/>
    <n v="23832"/>
    <n v="167.99999999999997"/>
    <s v="35 mns"/>
    <x v="3"/>
    <n v="3"/>
    <x v="2"/>
  </r>
  <r>
    <d v="2023-03-15T00:00:00"/>
    <x v="0"/>
    <x v="0"/>
    <n v="1"/>
    <x v="0"/>
    <n v="33000"/>
    <n v="18000"/>
    <n v="33000"/>
    <n v="18000"/>
    <n v="14895"/>
    <n v="104.99999999999999"/>
    <s v="11 mns"/>
    <x v="0"/>
    <n v="3"/>
    <x v="2"/>
  </r>
  <r>
    <d v="2023-03-15T00:00:00"/>
    <x v="0"/>
    <x v="0"/>
    <n v="1"/>
    <x v="1"/>
    <n v="60000"/>
    <n v="31000"/>
    <n v="60000"/>
    <n v="31000"/>
    <n v="28797"/>
    <n v="202.99999999999997"/>
    <s v="11 mns"/>
    <x v="3"/>
    <n v="3"/>
    <x v="2"/>
  </r>
  <r>
    <d v="2023-03-15T00:00:00"/>
    <x v="0"/>
    <x v="0"/>
    <n v="1"/>
    <x v="2"/>
    <n v="89000"/>
    <n v="65000"/>
    <n v="89000"/>
    <n v="65000"/>
    <n v="23832"/>
    <n v="167.99999999999997"/>
    <s v="11 mns"/>
    <x v="1"/>
    <n v="3"/>
    <x v="2"/>
  </r>
  <r>
    <d v="2023-03-15T00:00:00"/>
    <x v="2"/>
    <x v="2"/>
    <n v="1"/>
    <x v="1"/>
    <n v="60000"/>
    <n v="31000"/>
    <n v="60000"/>
    <n v="31000"/>
    <n v="28797"/>
    <n v="202.99999999999997"/>
    <s v="30 mns"/>
    <x v="0"/>
    <n v="3"/>
    <x v="2"/>
  </r>
  <r>
    <d v="2023-03-15T00:00:00"/>
    <x v="2"/>
    <x v="2"/>
    <n v="1"/>
    <x v="2"/>
    <n v="89000"/>
    <n v="65000"/>
    <n v="89000"/>
    <n v="65000"/>
    <n v="23832"/>
    <n v="167.99999999999997"/>
    <s v="30 mns"/>
    <x v="1"/>
    <n v="3"/>
    <x v="2"/>
  </r>
  <r>
    <d v="2023-03-15T00:00:00"/>
    <x v="3"/>
    <x v="3"/>
    <n v="1"/>
    <x v="0"/>
    <n v="33000"/>
    <n v="18000"/>
    <n v="33000"/>
    <n v="18000"/>
    <n v="14895"/>
    <n v="104.99999999999999"/>
    <s v="35 mns"/>
    <x v="0"/>
    <n v="3"/>
    <x v="2"/>
  </r>
  <r>
    <d v="2023-03-15T00:00:00"/>
    <x v="3"/>
    <x v="3"/>
    <n v="1"/>
    <x v="2"/>
    <n v="89000"/>
    <n v="65000"/>
    <n v="89000"/>
    <n v="65000"/>
    <n v="23832"/>
    <n v="167.99999999999997"/>
    <s v="35 mns"/>
    <x v="2"/>
    <n v="3"/>
    <x v="2"/>
  </r>
  <r>
    <d v="2023-03-16T00:00:00"/>
    <x v="0"/>
    <x v="0"/>
    <n v="1"/>
    <x v="0"/>
    <n v="33000"/>
    <n v="18000"/>
    <n v="33000"/>
    <n v="18000"/>
    <n v="14895"/>
    <n v="104.99999999999999"/>
    <s v="11 mns"/>
    <x v="3"/>
    <n v="3"/>
    <x v="2"/>
  </r>
  <r>
    <d v="2023-03-16T00:00:00"/>
    <x v="0"/>
    <x v="0"/>
    <n v="1"/>
    <x v="1"/>
    <n v="60000"/>
    <n v="31000"/>
    <n v="60000"/>
    <n v="31000"/>
    <n v="28797"/>
    <n v="202.99999999999997"/>
    <s v="11 mns"/>
    <x v="3"/>
    <n v="3"/>
    <x v="2"/>
  </r>
  <r>
    <d v="2023-03-16T00:00:00"/>
    <x v="0"/>
    <x v="0"/>
    <n v="1"/>
    <x v="2"/>
    <n v="89000"/>
    <n v="65000"/>
    <n v="89000"/>
    <n v="65000"/>
    <n v="23832"/>
    <n v="167.99999999999997"/>
    <s v="11 mns"/>
    <x v="0"/>
    <n v="3"/>
    <x v="2"/>
  </r>
  <r>
    <d v="2023-03-16T00:00:00"/>
    <x v="2"/>
    <x v="2"/>
    <n v="1"/>
    <x v="1"/>
    <n v="60000"/>
    <n v="31000"/>
    <n v="60000"/>
    <n v="31000"/>
    <n v="28797"/>
    <n v="202.99999999999997"/>
    <s v="30 mns"/>
    <x v="1"/>
    <n v="3"/>
    <x v="2"/>
  </r>
  <r>
    <d v="2023-03-16T00:00:00"/>
    <x v="2"/>
    <x v="2"/>
    <n v="1"/>
    <x v="2"/>
    <n v="89000"/>
    <n v="65000"/>
    <n v="89000"/>
    <n v="65000"/>
    <n v="23832"/>
    <n v="167.99999999999997"/>
    <s v="30 mns"/>
    <x v="3"/>
    <n v="3"/>
    <x v="2"/>
  </r>
  <r>
    <d v="2023-03-16T00:00:00"/>
    <x v="3"/>
    <x v="3"/>
    <n v="1"/>
    <x v="0"/>
    <n v="33000"/>
    <n v="18000"/>
    <n v="33000"/>
    <n v="18000"/>
    <n v="14895"/>
    <n v="104.99999999999999"/>
    <s v="35 mns"/>
    <x v="3"/>
    <n v="3"/>
    <x v="2"/>
  </r>
  <r>
    <d v="2023-03-16T00:00:00"/>
    <x v="3"/>
    <x v="3"/>
    <n v="1"/>
    <x v="2"/>
    <n v="89000"/>
    <n v="65000"/>
    <n v="89000"/>
    <n v="65000"/>
    <n v="23832"/>
    <n v="167.99999999999997"/>
    <s v="35 mns"/>
    <x v="0"/>
    <n v="3"/>
    <x v="2"/>
  </r>
  <r>
    <d v="2023-03-17T00:00:00"/>
    <x v="0"/>
    <x v="0"/>
    <n v="2"/>
    <x v="0"/>
    <n v="33000"/>
    <n v="18000"/>
    <n v="66000"/>
    <n v="36000"/>
    <n v="29790"/>
    <n v="209.99999999999997"/>
    <s v="11 mns"/>
    <x v="0"/>
    <n v="3"/>
    <x v="2"/>
  </r>
  <r>
    <d v="2023-03-17T00:00:00"/>
    <x v="0"/>
    <x v="0"/>
    <n v="2"/>
    <x v="1"/>
    <n v="60000"/>
    <n v="31000"/>
    <n v="120000"/>
    <n v="62000"/>
    <n v="57594"/>
    <n v="405.99999999999994"/>
    <s v="11 mns"/>
    <x v="1"/>
    <n v="3"/>
    <x v="2"/>
  </r>
  <r>
    <d v="2023-03-17T00:00:00"/>
    <x v="0"/>
    <x v="0"/>
    <n v="2"/>
    <x v="2"/>
    <n v="89000"/>
    <n v="65000"/>
    <n v="178000"/>
    <n v="130000"/>
    <n v="47664"/>
    <n v="335.99999999999994"/>
    <s v="11 mns"/>
    <x v="1"/>
    <n v="3"/>
    <x v="2"/>
  </r>
  <r>
    <d v="2023-03-17T00:00:00"/>
    <x v="2"/>
    <x v="2"/>
    <n v="2"/>
    <x v="0"/>
    <n v="33000"/>
    <n v="18000"/>
    <n v="66000"/>
    <n v="36000"/>
    <n v="29790"/>
    <n v="209.99999999999997"/>
    <s v="30 mns"/>
    <x v="3"/>
    <n v="3"/>
    <x v="2"/>
  </r>
  <r>
    <d v="2023-03-17T00:00:00"/>
    <x v="2"/>
    <x v="2"/>
    <n v="2"/>
    <x v="1"/>
    <n v="60000"/>
    <n v="31000"/>
    <n v="120000"/>
    <n v="62000"/>
    <n v="57594"/>
    <n v="405.99999999999994"/>
    <s v="30 mns"/>
    <x v="3"/>
    <n v="3"/>
    <x v="2"/>
  </r>
  <r>
    <d v="2023-03-17T00:00:00"/>
    <x v="2"/>
    <x v="2"/>
    <n v="2"/>
    <x v="2"/>
    <n v="89000"/>
    <n v="65000"/>
    <n v="178000"/>
    <n v="130000"/>
    <n v="47664"/>
    <n v="335.99999999999994"/>
    <s v="30 mns"/>
    <x v="1"/>
    <n v="3"/>
    <x v="2"/>
  </r>
  <r>
    <d v="2023-03-17T00:00:00"/>
    <x v="3"/>
    <x v="3"/>
    <n v="2"/>
    <x v="0"/>
    <n v="33000"/>
    <n v="18000"/>
    <n v="66000"/>
    <n v="36000"/>
    <n v="29790"/>
    <n v="209.99999999999997"/>
    <s v="35 mns"/>
    <x v="3"/>
    <n v="3"/>
    <x v="2"/>
  </r>
  <r>
    <d v="2023-03-17T00:00:00"/>
    <x v="3"/>
    <x v="3"/>
    <n v="2"/>
    <x v="2"/>
    <n v="89000"/>
    <n v="65000"/>
    <n v="178000"/>
    <n v="130000"/>
    <n v="47664"/>
    <n v="335.99999999999994"/>
    <s v="35 mns"/>
    <x v="0"/>
    <n v="3"/>
    <x v="2"/>
  </r>
  <r>
    <d v="2023-03-18T00:00:00"/>
    <x v="0"/>
    <x v="0"/>
    <n v="1"/>
    <x v="0"/>
    <n v="33000"/>
    <n v="18000"/>
    <n v="33000"/>
    <n v="18000"/>
    <n v="14895"/>
    <n v="104.99999999999999"/>
    <s v="11 mns"/>
    <x v="0"/>
    <n v="3"/>
    <x v="2"/>
  </r>
  <r>
    <d v="2023-03-18T00:00:00"/>
    <x v="0"/>
    <x v="0"/>
    <n v="1"/>
    <x v="1"/>
    <n v="60000"/>
    <n v="31000"/>
    <n v="60000"/>
    <n v="31000"/>
    <n v="28797"/>
    <n v="202.99999999999997"/>
    <s v="11 mns"/>
    <x v="0"/>
    <n v="3"/>
    <x v="2"/>
  </r>
  <r>
    <d v="2023-03-18T00:00:00"/>
    <x v="0"/>
    <x v="0"/>
    <n v="1"/>
    <x v="2"/>
    <n v="89000"/>
    <n v="65000"/>
    <n v="89000"/>
    <n v="65000"/>
    <n v="23832"/>
    <n v="167.99999999999997"/>
    <s v="11 mns"/>
    <x v="0"/>
    <n v="3"/>
    <x v="2"/>
  </r>
  <r>
    <d v="2023-03-18T00:00:00"/>
    <x v="2"/>
    <x v="2"/>
    <n v="1"/>
    <x v="0"/>
    <n v="33000"/>
    <n v="18000"/>
    <n v="33000"/>
    <n v="18000"/>
    <n v="14895"/>
    <n v="104.99999999999999"/>
    <s v="30 mns"/>
    <x v="0"/>
    <n v="3"/>
    <x v="2"/>
  </r>
  <r>
    <d v="2023-03-18T00:00:00"/>
    <x v="2"/>
    <x v="2"/>
    <n v="1"/>
    <x v="1"/>
    <n v="60000"/>
    <n v="31000"/>
    <n v="60000"/>
    <n v="31000"/>
    <n v="28797"/>
    <n v="202.99999999999997"/>
    <s v="30 mns"/>
    <x v="1"/>
    <n v="3"/>
    <x v="2"/>
  </r>
  <r>
    <d v="2023-03-18T00:00:00"/>
    <x v="2"/>
    <x v="2"/>
    <n v="1"/>
    <x v="2"/>
    <n v="89000"/>
    <n v="65000"/>
    <n v="89000"/>
    <n v="65000"/>
    <n v="23832"/>
    <n v="167.99999999999997"/>
    <s v="30 mns"/>
    <x v="1"/>
    <n v="3"/>
    <x v="2"/>
  </r>
  <r>
    <d v="2023-03-18T00:00:00"/>
    <x v="3"/>
    <x v="3"/>
    <n v="1"/>
    <x v="0"/>
    <n v="33000"/>
    <n v="18000"/>
    <n v="33000"/>
    <n v="18000"/>
    <n v="14895"/>
    <n v="104.99999999999999"/>
    <s v="35 mns"/>
    <x v="0"/>
    <n v="3"/>
    <x v="2"/>
  </r>
  <r>
    <d v="2023-03-18T00:00:00"/>
    <x v="3"/>
    <x v="3"/>
    <n v="1"/>
    <x v="2"/>
    <n v="89000"/>
    <n v="65000"/>
    <n v="89000"/>
    <n v="65000"/>
    <n v="23832"/>
    <n v="167.99999999999997"/>
    <s v="35 mns"/>
    <x v="0"/>
    <n v="3"/>
    <x v="2"/>
  </r>
  <r>
    <d v="2023-03-19T00:00:00"/>
    <x v="0"/>
    <x v="0"/>
    <n v="2"/>
    <x v="0"/>
    <n v="33000"/>
    <n v="18000"/>
    <n v="66000"/>
    <n v="36000"/>
    <n v="29790"/>
    <n v="209.99999999999997"/>
    <s v="11 mns"/>
    <x v="3"/>
    <n v="3"/>
    <x v="2"/>
  </r>
  <r>
    <d v="2023-03-19T00:00:00"/>
    <x v="0"/>
    <x v="0"/>
    <n v="2"/>
    <x v="1"/>
    <n v="60000"/>
    <n v="31000"/>
    <n v="120000"/>
    <n v="62000"/>
    <n v="57594"/>
    <n v="405.99999999999994"/>
    <s v="11 mns"/>
    <x v="1"/>
    <n v="3"/>
    <x v="2"/>
  </r>
  <r>
    <d v="2023-03-19T00:00:00"/>
    <x v="0"/>
    <x v="0"/>
    <n v="2"/>
    <x v="2"/>
    <n v="89000"/>
    <n v="65000"/>
    <n v="178000"/>
    <n v="130000"/>
    <n v="47664"/>
    <n v="335.99999999999994"/>
    <s v="11 mns"/>
    <x v="1"/>
    <n v="3"/>
    <x v="2"/>
  </r>
  <r>
    <d v="2023-03-19T00:00:00"/>
    <x v="2"/>
    <x v="2"/>
    <n v="2"/>
    <x v="0"/>
    <n v="33000"/>
    <n v="18000"/>
    <n v="66000"/>
    <n v="36000"/>
    <n v="29790"/>
    <n v="209.99999999999997"/>
    <s v="30 mns"/>
    <x v="3"/>
    <n v="3"/>
    <x v="2"/>
  </r>
  <r>
    <d v="2023-03-19T00:00:00"/>
    <x v="2"/>
    <x v="2"/>
    <n v="2"/>
    <x v="1"/>
    <n v="60000"/>
    <n v="31000"/>
    <n v="120000"/>
    <n v="62000"/>
    <n v="57594"/>
    <n v="405.99999999999994"/>
    <s v="30 mns"/>
    <x v="3"/>
    <n v="3"/>
    <x v="2"/>
  </r>
  <r>
    <d v="2023-03-19T00:00:00"/>
    <x v="2"/>
    <x v="2"/>
    <n v="2"/>
    <x v="2"/>
    <n v="89000"/>
    <n v="65000"/>
    <n v="178000"/>
    <n v="130000"/>
    <n v="47664"/>
    <n v="335.99999999999994"/>
    <s v="30 mns"/>
    <x v="3"/>
    <n v="3"/>
    <x v="2"/>
  </r>
  <r>
    <d v="2023-03-19T00:00:00"/>
    <x v="3"/>
    <x v="3"/>
    <n v="2"/>
    <x v="0"/>
    <n v="33000"/>
    <n v="18000"/>
    <n v="66000"/>
    <n v="36000"/>
    <n v="29790"/>
    <n v="209.99999999999997"/>
    <s v="35 mns"/>
    <x v="1"/>
    <n v="3"/>
    <x v="2"/>
  </r>
  <r>
    <d v="2023-03-19T00:00:00"/>
    <x v="3"/>
    <x v="3"/>
    <n v="2"/>
    <x v="2"/>
    <n v="89000"/>
    <n v="65000"/>
    <n v="178000"/>
    <n v="130000"/>
    <n v="47664"/>
    <n v="335.99999999999994"/>
    <s v="35 mns"/>
    <x v="3"/>
    <n v="3"/>
    <x v="2"/>
  </r>
  <r>
    <d v="2023-03-20T00:00:00"/>
    <x v="0"/>
    <x v="0"/>
    <n v="1"/>
    <x v="0"/>
    <n v="33000"/>
    <n v="18000"/>
    <n v="33000"/>
    <n v="18000"/>
    <n v="14895"/>
    <n v="104.99999999999999"/>
    <s v="11 mns"/>
    <x v="3"/>
    <n v="3"/>
    <x v="2"/>
  </r>
  <r>
    <d v="2023-03-20T00:00:00"/>
    <x v="0"/>
    <x v="0"/>
    <n v="1"/>
    <x v="1"/>
    <n v="60000"/>
    <n v="31000"/>
    <n v="60000"/>
    <n v="31000"/>
    <n v="28797"/>
    <n v="202.99999999999997"/>
    <s v="11 mns"/>
    <x v="3"/>
    <n v="3"/>
    <x v="2"/>
  </r>
  <r>
    <d v="2023-03-20T00:00:00"/>
    <x v="0"/>
    <x v="0"/>
    <n v="1"/>
    <x v="2"/>
    <n v="89000"/>
    <n v="65000"/>
    <n v="89000"/>
    <n v="65000"/>
    <n v="23832"/>
    <n v="167.99999999999997"/>
    <s v="11 mns"/>
    <x v="0"/>
    <n v="3"/>
    <x v="2"/>
  </r>
  <r>
    <d v="2023-03-20T00:00:00"/>
    <x v="2"/>
    <x v="2"/>
    <n v="1"/>
    <x v="0"/>
    <n v="33000"/>
    <n v="18000"/>
    <n v="33000"/>
    <n v="18000"/>
    <n v="14895"/>
    <n v="104.99999999999999"/>
    <s v="30 mns"/>
    <x v="3"/>
    <n v="3"/>
    <x v="2"/>
  </r>
  <r>
    <d v="2023-03-20T00:00:00"/>
    <x v="2"/>
    <x v="2"/>
    <n v="1"/>
    <x v="1"/>
    <n v="60000"/>
    <n v="31000"/>
    <n v="60000"/>
    <n v="31000"/>
    <n v="28797"/>
    <n v="202.99999999999997"/>
    <s v="30 mns"/>
    <x v="3"/>
    <n v="3"/>
    <x v="2"/>
  </r>
  <r>
    <d v="2023-03-20T00:00:00"/>
    <x v="2"/>
    <x v="2"/>
    <n v="1"/>
    <x v="2"/>
    <n v="89000"/>
    <n v="65000"/>
    <n v="89000"/>
    <n v="65000"/>
    <n v="23832"/>
    <n v="167.99999999999997"/>
    <s v="30 mns"/>
    <x v="3"/>
    <n v="3"/>
    <x v="2"/>
  </r>
  <r>
    <d v="2023-03-20T00:00:00"/>
    <x v="3"/>
    <x v="3"/>
    <n v="1"/>
    <x v="0"/>
    <n v="33000"/>
    <n v="18000"/>
    <n v="33000"/>
    <n v="18000"/>
    <n v="14895"/>
    <n v="104.99999999999999"/>
    <s v="35 mns"/>
    <x v="1"/>
    <n v="3"/>
    <x v="2"/>
  </r>
  <r>
    <d v="2023-03-20T00:00:00"/>
    <x v="3"/>
    <x v="3"/>
    <n v="1"/>
    <x v="2"/>
    <n v="89000"/>
    <n v="65000"/>
    <n v="89000"/>
    <n v="65000"/>
    <n v="23832"/>
    <n v="167.99999999999997"/>
    <s v="35 mns"/>
    <x v="2"/>
    <n v="3"/>
    <x v="2"/>
  </r>
  <r>
    <d v="2023-03-21T00:00:00"/>
    <x v="0"/>
    <x v="0"/>
    <n v="1"/>
    <x v="0"/>
    <n v="33000"/>
    <n v="18000"/>
    <n v="33000"/>
    <n v="18000"/>
    <n v="14895"/>
    <n v="104.99999999999999"/>
    <s v="11 mns"/>
    <x v="3"/>
    <n v="3"/>
    <x v="2"/>
  </r>
  <r>
    <d v="2023-03-21T00:00:00"/>
    <x v="0"/>
    <x v="0"/>
    <n v="1"/>
    <x v="1"/>
    <n v="60000"/>
    <n v="31000"/>
    <n v="60000"/>
    <n v="31000"/>
    <n v="28797"/>
    <n v="202.99999999999997"/>
    <s v="11 mns"/>
    <x v="3"/>
    <n v="3"/>
    <x v="2"/>
  </r>
  <r>
    <d v="2023-03-21T00:00:00"/>
    <x v="0"/>
    <x v="0"/>
    <n v="1"/>
    <x v="2"/>
    <n v="89000"/>
    <n v="65000"/>
    <n v="89000"/>
    <n v="65000"/>
    <n v="23832"/>
    <n v="167.99999999999997"/>
    <s v="11 mns"/>
    <x v="3"/>
    <n v="3"/>
    <x v="2"/>
  </r>
  <r>
    <d v="2023-03-21T00:00:00"/>
    <x v="2"/>
    <x v="2"/>
    <n v="1"/>
    <x v="0"/>
    <n v="33000"/>
    <n v="18000"/>
    <n v="33000"/>
    <n v="18000"/>
    <n v="14895"/>
    <n v="104.99999999999999"/>
    <s v="30 mns"/>
    <x v="0"/>
    <n v="3"/>
    <x v="2"/>
  </r>
  <r>
    <d v="2023-03-21T00:00:00"/>
    <x v="2"/>
    <x v="2"/>
    <n v="1"/>
    <x v="1"/>
    <n v="60000"/>
    <n v="31000"/>
    <n v="60000"/>
    <n v="31000"/>
    <n v="28797"/>
    <n v="202.99999999999997"/>
    <s v="30 mns"/>
    <x v="0"/>
    <n v="3"/>
    <x v="2"/>
  </r>
  <r>
    <d v="2023-03-21T00:00:00"/>
    <x v="2"/>
    <x v="2"/>
    <n v="1"/>
    <x v="2"/>
    <n v="89000"/>
    <n v="65000"/>
    <n v="89000"/>
    <n v="65000"/>
    <n v="23832"/>
    <n v="167.99999999999997"/>
    <s v="30 mns"/>
    <x v="1"/>
    <n v="3"/>
    <x v="2"/>
  </r>
  <r>
    <d v="2023-03-21T00:00:00"/>
    <x v="3"/>
    <x v="3"/>
    <n v="1"/>
    <x v="0"/>
    <n v="33000"/>
    <n v="18000"/>
    <n v="33000"/>
    <n v="18000"/>
    <n v="14895"/>
    <n v="104.99999999999999"/>
    <s v="35 mns"/>
    <x v="1"/>
    <n v="3"/>
    <x v="2"/>
  </r>
  <r>
    <d v="2023-03-21T00:00:00"/>
    <x v="3"/>
    <x v="3"/>
    <n v="1"/>
    <x v="2"/>
    <n v="89000"/>
    <n v="65000"/>
    <n v="89000"/>
    <n v="65000"/>
    <n v="23832"/>
    <n v="167.99999999999997"/>
    <s v="35 mns"/>
    <x v="3"/>
    <n v="3"/>
    <x v="2"/>
  </r>
  <r>
    <d v="2023-03-22T00:00:00"/>
    <x v="0"/>
    <x v="0"/>
    <n v="1"/>
    <x v="0"/>
    <n v="33000"/>
    <n v="18000"/>
    <n v="33000"/>
    <n v="18000"/>
    <n v="14895"/>
    <n v="104.99999999999999"/>
    <s v="11 mns"/>
    <x v="1"/>
    <n v="3"/>
    <x v="2"/>
  </r>
  <r>
    <d v="2023-03-22T00:00:00"/>
    <x v="0"/>
    <x v="0"/>
    <n v="1"/>
    <x v="1"/>
    <n v="60000"/>
    <n v="31000"/>
    <n v="60000"/>
    <n v="31000"/>
    <n v="28797"/>
    <n v="202.99999999999997"/>
    <s v="11 mns"/>
    <x v="1"/>
    <n v="3"/>
    <x v="2"/>
  </r>
  <r>
    <d v="2023-03-22T00:00:00"/>
    <x v="0"/>
    <x v="0"/>
    <n v="1"/>
    <x v="2"/>
    <n v="89000"/>
    <n v="65000"/>
    <n v="89000"/>
    <n v="65000"/>
    <n v="23832"/>
    <n v="167.99999999999997"/>
    <s v="11 mns"/>
    <x v="2"/>
    <n v="3"/>
    <x v="2"/>
  </r>
  <r>
    <d v="2023-03-22T00:00:00"/>
    <x v="2"/>
    <x v="2"/>
    <n v="1"/>
    <x v="0"/>
    <n v="33000"/>
    <n v="18000"/>
    <n v="33000"/>
    <n v="18000"/>
    <n v="14895"/>
    <n v="104.99999999999999"/>
    <s v="30 mns"/>
    <x v="0"/>
    <n v="3"/>
    <x v="2"/>
  </r>
  <r>
    <d v="2023-03-22T00:00:00"/>
    <x v="2"/>
    <x v="2"/>
    <n v="1"/>
    <x v="1"/>
    <n v="60000"/>
    <n v="31000"/>
    <n v="60000"/>
    <n v="31000"/>
    <n v="28797"/>
    <n v="202.99999999999997"/>
    <s v="30 mns"/>
    <x v="1"/>
    <n v="3"/>
    <x v="2"/>
  </r>
  <r>
    <d v="2023-03-22T00:00:00"/>
    <x v="2"/>
    <x v="2"/>
    <n v="1"/>
    <x v="2"/>
    <n v="89000"/>
    <n v="65000"/>
    <n v="89000"/>
    <n v="65000"/>
    <n v="23832"/>
    <n v="167.99999999999997"/>
    <s v="30 mns"/>
    <x v="1"/>
    <n v="3"/>
    <x v="2"/>
  </r>
  <r>
    <d v="2023-03-22T00:00:00"/>
    <x v="3"/>
    <x v="3"/>
    <n v="1"/>
    <x v="0"/>
    <n v="33000"/>
    <n v="18000"/>
    <n v="33000"/>
    <n v="18000"/>
    <n v="14895"/>
    <n v="104.99999999999999"/>
    <s v="35 mns"/>
    <x v="3"/>
    <n v="3"/>
    <x v="2"/>
  </r>
  <r>
    <d v="2023-03-22T00:00:00"/>
    <x v="3"/>
    <x v="3"/>
    <n v="1"/>
    <x v="2"/>
    <n v="89000"/>
    <n v="65000"/>
    <n v="89000"/>
    <n v="65000"/>
    <n v="23832"/>
    <n v="167.99999999999997"/>
    <s v="35 mns"/>
    <x v="1"/>
    <n v="3"/>
    <x v="2"/>
  </r>
  <r>
    <d v="2023-03-23T00:00:00"/>
    <x v="0"/>
    <x v="0"/>
    <n v="1"/>
    <x v="0"/>
    <n v="33000"/>
    <n v="18000"/>
    <n v="33000"/>
    <n v="18000"/>
    <n v="14895"/>
    <n v="104.99999999999999"/>
    <s v="11 mns"/>
    <x v="0"/>
    <n v="3"/>
    <x v="2"/>
  </r>
  <r>
    <d v="2023-03-23T00:00:00"/>
    <x v="0"/>
    <x v="0"/>
    <n v="1"/>
    <x v="1"/>
    <n v="60000"/>
    <n v="31000"/>
    <n v="60000"/>
    <n v="31000"/>
    <n v="28797"/>
    <n v="202.99999999999997"/>
    <s v="11 mns"/>
    <x v="0"/>
    <n v="3"/>
    <x v="2"/>
  </r>
  <r>
    <d v="2023-03-23T00:00:00"/>
    <x v="0"/>
    <x v="0"/>
    <n v="1"/>
    <x v="2"/>
    <n v="89000"/>
    <n v="65000"/>
    <n v="89000"/>
    <n v="65000"/>
    <n v="23832"/>
    <n v="167.99999999999997"/>
    <s v="11 mns"/>
    <x v="3"/>
    <n v="3"/>
    <x v="2"/>
  </r>
  <r>
    <d v="2023-03-23T00:00:00"/>
    <x v="2"/>
    <x v="2"/>
    <n v="1"/>
    <x v="0"/>
    <n v="33000"/>
    <n v="18000"/>
    <n v="33000"/>
    <n v="18000"/>
    <n v="14895"/>
    <n v="104.99999999999999"/>
    <s v="30 mns"/>
    <x v="0"/>
    <n v="3"/>
    <x v="2"/>
  </r>
  <r>
    <d v="2023-03-23T00:00:00"/>
    <x v="2"/>
    <x v="2"/>
    <n v="1"/>
    <x v="1"/>
    <n v="60000"/>
    <n v="31000"/>
    <n v="60000"/>
    <n v="31000"/>
    <n v="28797"/>
    <n v="202.99999999999997"/>
    <s v="30 mns"/>
    <x v="1"/>
    <n v="3"/>
    <x v="2"/>
  </r>
  <r>
    <d v="2023-03-23T00:00:00"/>
    <x v="2"/>
    <x v="2"/>
    <n v="1"/>
    <x v="2"/>
    <n v="89000"/>
    <n v="65000"/>
    <n v="89000"/>
    <n v="65000"/>
    <n v="23832"/>
    <n v="167.99999999999997"/>
    <s v="30 mns"/>
    <x v="2"/>
    <n v="3"/>
    <x v="2"/>
  </r>
  <r>
    <d v="2023-03-23T00:00:00"/>
    <x v="3"/>
    <x v="3"/>
    <n v="1"/>
    <x v="0"/>
    <n v="33000"/>
    <n v="18000"/>
    <n v="33000"/>
    <n v="18000"/>
    <n v="14895"/>
    <n v="104.99999999999999"/>
    <s v="35 mns"/>
    <x v="0"/>
    <n v="3"/>
    <x v="2"/>
  </r>
  <r>
    <d v="2023-03-23T00:00:00"/>
    <x v="3"/>
    <x v="3"/>
    <n v="1"/>
    <x v="2"/>
    <n v="89000"/>
    <n v="65000"/>
    <n v="89000"/>
    <n v="65000"/>
    <n v="23832"/>
    <n v="167.99999999999997"/>
    <s v="35 mns"/>
    <x v="1"/>
    <n v="3"/>
    <x v="2"/>
  </r>
  <r>
    <d v="2023-03-24T00:00:00"/>
    <x v="0"/>
    <x v="0"/>
    <n v="2"/>
    <x v="0"/>
    <n v="33000"/>
    <n v="18000"/>
    <n v="66000"/>
    <n v="36000"/>
    <n v="29790"/>
    <n v="209.99999999999997"/>
    <s v="11 mns"/>
    <x v="1"/>
    <n v="3"/>
    <x v="2"/>
  </r>
  <r>
    <d v="2023-03-24T00:00:00"/>
    <x v="0"/>
    <x v="0"/>
    <n v="2"/>
    <x v="1"/>
    <n v="60000"/>
    <n v="31000"/>
    <n v="120000"/>
    <n v="62000"/>
    <n v="57594"/>
    <n v="405.99999999999994"/>
    <s v="11 mns"/>
    <x v="3"/>
    <n v="3"/>
    <x v="2"/>
  </r>
  <r>
    <d v="2023-03-24T00:00:00"/>
    <x v="0"/>
    <x v="0"/>
    <n v="2"/>
    <x v="2"/>
    <n v="89000"/>
    <n v="65000"/>
    <n v="178000"/>
    <n v="130000"/>
    <n v="47664"/>
    <n v="335.99999999999994"/>
    <s v="11 mns"/>
    <x v="0"/>
    <n v="3"/>
    <x v="2"/>
  </r>
  <r>
    <d v="2023-03-24T00:00:00"/>
    <x v="2"/>
    <x v="2"/>
    <n v="2"/>
    <x v="0"/>
    <n v="33000"/>
    <n v="18000"/>
    <n v="66000"/>
    <n v="36000"/>
    <n v="29790"/>
    <n v="209.99999999999997"/>
    <s v="30 mns"/>
    <x v="1"/>
    <n v="3"/>
    <x v="2"/>
  </r>
  <r>
    <d v="2023-03-24T00:00:00"/>
    <x v="2"/>
    <x v="2"/>
    <n v="2"/>
    <x v="1"/>
    <n v="60000"/>
    <n v="31000"/>
    <n v="120000"/>
    <n v="62000"/>
    <n v="57594"/>
    <n v="405.99999999999994"/>
    <s v="30 mns"/>
    <x v="0"/>
    <n v="3"/>
    <x v="2"/>
  </r>
  <r>
    <d v="2023-03-24T00:00:00"/>
    <x v="2"/>
    <x v="2"/>
    <n v="2"/>
    <x v="2"/>
    <n v="89000"/>
    <n v="65000"/>
    <n v="178000"/>
    <n v="130000"/>
    <n v="47664"/>
    <n v="335.99999999999994"/>
    <s v="30 mns"/>
    <x v="3"/>
    <n v="3"/>
    <x v="2"/>
  </r>
  <r>
    <d v="2023-03-24T00:00:00"/>
    <x v="3"/>
    <x v="3"/>
    <n v="2"/>
    <x v="0"/>
    <n v="33000"/>
    <n v="18000"/>
    <n v="66000"/>
    <n v="36000"/>
    <n v="29790"/>
    <n v="209.99999999999997"/>
    <s v="35 mns"/>
    <x v="1"/>
    <n v="3"/>
    <x v="2"/>
  </r>
  <r>
    <d v="2023-03-24T00:00:00"/>
    <x v="3"/>
    <x v="3"/>
    <n v="2"/>
    <x v="2"/>
    <n v="89000"/>
    <n v="65000"/>
    <n v="178000"/>
    <n v="130000"/>
    <n v="47664"/>
    <n v="335.99999999999994"/>
    <s v="35 mns"/>
    <x v="2"/>
    <n v="3"/>
    <x v="2"/>
  </r>
  <r>
    <d v="2023-03-25T00:00:00"/>
    <x v="0"/>
    <x v="0"/>
    <n v="1"/>
    <x v="0"/>
    <n v="33000"/>
    <n v="18000"/>
    <n v="33000"/>
    <n v="18000"/>
    <n v="14895"/>
    <n v="104.99999999999999"/>
    <s v="11 mns"/>
    <x v="1"/>
    <n v="3"/>
    <x v="2"/>
  </r>
  <r>
    <d v="2023-03-25T00:00:00"/>
    <x v="0"/>
    <x v="0"/>
    <n v="1"/>
    <x v="1"/>
    <n v="60000"/>
    <n v="31000"/>
    <n v="60000"/>
    <n v="31000"/>
    <n v="28797"/>
    <n v="202.99999999999997"/>
    <s v="11 mns"/>
    <x v="1"/>
    <n v="3"/>
    <x v="2"/>
  </r>
  <r>
    <d v="2023-03-25T00:00:00"/>
    <x v="0"/>
    <x v="0"/>
    <n v="1"/>
    <x v="2"/>
    <n v="89000"/>
    <n v="65000"/>
    <n v="89000"/>
    <n v="65000"/>
    <n v="23832"/>
    <n v="167.99999999999997"/>
    <s v="11 mns"/>
    <x v="0"/>
    <n v="3"/>
    <x v="2"/>
  </r>
  <r>
    <d v="2023-03-25T00:00:00"/>
    <x v="2"/>
    <x v="2"/>
    <n v="1"/>
    <x v="0"/>
    <n v="33000"/>
    <n v="18000"/>
    <n v="33000"/>
    <n v="18000"/>
    <n v="14895"/>
    <n v="104.99999999999999"/>
    <s v="30 mns"/>
    <x v="0"/>
    <n v="3"/>
    <x v="2"/>
  </r>
  <r>
    <d v="2023-03-25T00:00:00"/>
    <x v="2"/>
    <x v="2"/>
    <n v="1"/>
    <x v="1"/>
    <n v="60000"/>
    <n v="31000"/>
    <n v="60000"/>
    <n v="31000"/>
    <n v="28797"/>
    <n v="202.99999999999997"/>
    <s v="30 mns"/>
    <x v="1"/>
    <n v="3"/>
    <x v="2"/>
  </r>
  <r>
    <d v="2023-03-25T00:00:00"/>
    <x v="2"/>
    <x v="2"/>
    <n v="1"/>
    <x v="2"/>
    <n v="89000"/>
    <n v="65000"/>
    <n v="89000"/>
    <n v="65000"/>
    <n v="23832"/>
    <n v="167.99999999999997"/>
    <s v="30 mns"/>
    <x v="0"/>
    <n v="3"/>
    <x v="2"/>
  </r>
  <r>
    <d v="2023-03-25T00:00:00"/>
    <x v="3"/>
    <x v="3"/>
    <n v="1"/>
    <x v="0"/>
    <n v="33000"/>
    <n v="18000"/>
    <n v="33000"/>
    <n v="18000"/>
    <n v="14895"/>
    <n v="104.99999999999999"/>
    <s v="35 mns"/>
    <x v="3"/>
    <n v="3"/>
    <x v="2"/>
  </r>
  <r>
    <d v="2023-03-25T00:00:00"/>
    <x v="3"/>
    <x v="3"/>
    <n v="1"/>
    <x v="2"/>
    <n v="89000"/>
    <n v="65000"/>
    <n v="89000"/>
    <n v="65000"/>
    <n v="23832"/>
    <n v="167.99999999999997"/>
    <s v="35 mns"/>
    <x v="1"/>
    <n v="3"/>
    <x v="2"/>
  </r>
  <r>
    <d v="2023-03-26T00:00:00"/>
    <x v="0"/>
    <x v="0"/>
    <n v="2"/>
    <x v="0"/>
    <n v="33000"/>
    <n v="18000"/>
    <n v="66000"/>
    <n v="36000"/>
    <n v="29790"/>
    <n v="209.99999999999997"/>
    <s v="11 mns"/>
    <x v="0"/>
    <n v="3"/>
    <x v="2"/>
  </r>
  <r>
    <d v="2023-03-26T00:00:00"/>
    <x v="0"/>
    <x v="0"/>
    <n v="2"/>
    <x v="1"/>
    <n v="60000"/>
    <n v="31000"/>
    <n v="120000"/>
    <n v="62000"/>
    <n v="57594"/>
    <n v="405.99999999999994"/>
    <s v="11 mns"/>
    <x v="0"/>
    <n v="3"/>
    <x v="2"/>
  </r>
  <r>
    <d v="2023-03-26T00:00:00"/>
    <x v="0"/>
    <x v="0"/>
    <n v="2"/>
    <x v="2"/>
    <n v="89000"/>
    <n v="65000"/>
    <n v="178000"/>
    <n v="130000"/>
    <n v="47664"/>
    <n v="335.99999999999994"/>
    <s v="11 mns"/>
    <x v="2"/>
    <n v="3"/>
    <x v="2"/>
  </r>
  <r>
    <d v="2023-03-26T00:00:00"/>
    <x v="2"/>
    <x v="2"/>
    <n v="2"/>
    <x v="0"/>
    <n v="33000"/>
    <n v="18000"/>
    <n v="66000"/>
    <n v="36000"/>
    <n v="29790"/>
    <n v="209.99999999999997"/>
    <s v="30 mns"/>
    <x v="3"/>
    <n v="3"/>
    <x v="2"/>
  </r>
  <r>
    <d v="2023-03-26T00:00:00"/>
    <x v="2"/>
    <x v="2"/>
    <n v="2"/>
    <x v="1"/>
    <n v="60000"/>
    <n v="31000"/>
    <n v="120000"/>
    <n v="62000"/>
    <n v="57594"/>
    <n v="405.99999999999994"/>
    <s v="30 mns"/>
    <x v="0"/>
    <n v="3"/>
    <x v="2"/>
  </r>
  <r>
    <d v="2023-03-26T00:00:00"/>
    <x v="2"/>
    <x v="2"/>
    <n v="2"/>
    <x v="2"/>
    <n v="89000"/>
    <n v="65000"/>
    <n v="178000"/>
    <n v="130000"/>
    <n v="47664"/>
    <n v="335.99999999999994"/>
    <s v="30 mns"/>
    <x v="3"/>
    <n v="3"/>
    <x v="2"/>
  </r>
  <r>
    <d v="2023-03-26T00:00:00"/>
    <x v="3"/>
    <x v="3"/>
    <n v="2"/>
    <x v="0"/>
    <n v="33000"/>
    <n v="18000"/>
    <n v="66000"/>
    <n v="36000"/>
    <n v="29790"/>
    <n v="209.99999999999997"/>
    <s v="35 mns"/>
    <x v="2"/>
    <n v="3"/>
    <x v="2"/>
  </r>
  <r>
    <d v="2023-03-26T00:00:00"/>
    <x v="3"/>
    <x v="3"/>
    <n v="2"/>
    <x v="2"/>
    <n v="89000"/>
    <n v="65000"/>
    <n v="178000"/>
    <n v="130000"/>
    <n v="47664"/>
    <n v="335.99999999999994"/>
    <s v="35 mns"/>
    <x v="2"/>
    <n v="3"/>
    <x v="2"/>
  </r>
  <r>
    <d v="2023-03-27T00:00:00"/>
    <x v="0"/>
    <x v="0"/>
    <n v="2"/>
    <x v="0"/>
    <n v="33000"/>
    <n v="18000"/>
    <n v="66000"/>
    <n v="36000"/>
    <n v="29790"/>
    <n v="209.99999999999997"/>
    <s v="11 mns"/>
    <x v="1"/>
    <n v="3"/>
    <x v="2"/>
  </r>
  <r>
    <d v="2023-03-27T00:00:00"/>
    <x v="0"/>
    <x v="0"/>
    <n v="2"/>
    <x v="1"/>
    <n v="60000"/>
    <n v="31000"/>
    <n v="120000"/>
    <n v="62000"/>
    <n v="57594"/>
    <n v="405.99999999999994"/>
    <s v="11 mns"/>
    <x v="3"/>
    <n v="3"/>
    <x v="2"/>
  </r>
  <r>
    <d v="2023-03-27T00:00:00"/>
    <x v="0"/>
    <x v="0"/>
    <n v="2"/>
    <x v="2"/>
    <n v="89000"/>
    <n v="65000"/>
    <n v="178000"/>
    <n v="130000"/>
    <n v="47664"/>
    <n v="335.99999999999994"/>
    <s v="11 mns"/>
    <x v="3"/>
    <n v="3"/>
    <x v="2"/>
  </r>
  <r>
    <d v="2023-03-27T00:00:00"/>
    <x v="2"/>
    <x v="2"/>
    <n v="2"/>
    <x v="0"/>
    <n v="33000"/>
    <n v="18000"/>
    <n v="66000"/>
    <n v="36000"/>
    <n v="29790"/>
    <n v="209.99999999999997"/>
    <s v="30 mns"/>
    <x v="0"/>
    <n v="3"/>
    <x v="2"/>
  </r>
  <r>
    <d v="2023-03-27T00:00:00"/>
    <x v="2"/>
    <x v="2"/>
    <n v="2"/>
    <x v="1"/>
    <n v="60000"/>
    <n v="31000"/>
    <n v="120000"/>
    <n v="62000"/>
    <n v="57594"/>
    <n v="405.99999999999994"/>
    <s v="30 mns"/>
    <x v="2"/>
    <n v="3"/>
    <x v="2"/>
  </r>
  <r>
    <d v="2023-03-27T00:00:00"/>
    <x v="2"/>
    <x v="2"/>
    <n v="2"/>
    <x v="2"/>
    <n v="89000"/>
    <n v="65000"/>
    <n v="178000"/>
    <n v="130000"/>
    <n v="47664"/>
    <n v="335.99999999999994"/>
    <s v="30 mns"/>
    <x v="0"/>
    <n v="3"/>
    <x v="2"/>
  </r>
  <r>
    <d v="2023-03-27T00:00:00"/>
    <x v="3"/>
    <x v="3"/>
    <n v="2"/>
    <x v="0"/>
    <n v="33000"/>
    <n v="18000"/>
    <n v="66000"/>
    <n v="36000"/>
    <n v="29790"/>
    <n v="209.99999999999997"/>
    <s v="35 mns"/>
    <x v="0"/>
    <n v="3"/>
    <x v="2"/>
  </r>
  <r>
    <d v="2023-03-27T00:00:00"/>
    <x v="3"/>
    <x v="3"/>
    <n v="2"/>
    <x v="1"/>
    <n v="60000"/>
    <n v="31000"/>
    <n v="120000"/>
    <n v="62000"/>
    <n v="57594"/>
    <n v="405.99999999999994"/>
    <s v="35 mns"/>
    <x v="3"/>
    <n v="3"/>
    <x v="2"/>
  </r>
  <r>
    <d v="2023-03-27T00:00:00"/>
    <x v="3"/>
    <x v="3"/>
    <n v="2"/>
    <x v="2"/>
    <n v="89000"/>
    <n v="65000"/>
    <n v="178000"/>
    <n v="130000"/>
    <n v="47664"/>
    <n v="335.99999999999994"/>
    <s v="35 mns"/>
    <x v="0"/>
    <n v="3"/>
    <x v="2"/>
  </r>
  <r>
    <d v="2023-03-28T00:00:00"/>
    <x v="0"/>
    <x v="0"/>
    <n v="1"/>
    <x v="0"/>
    <n v="33000"/>
    <n v="18000"/>
    <n v="33000"/>
    <n v="18000"/>
    <n v="14895"/>
    <n v="104.99999999999999"/>
    <s v="11 mns"/>
    <x v="3"/>
    <n v="3"/>
    <x v="2"/>
  </r>
  <r>
    <d v="2023-03-28T00:00:00"/>
    <x v="0"/>
    <x v="0"/>
    <n v="1"/>
    <x v="1"/>
    <n v="60000"/>
    <n v="31000"/>
    <n v="60000"/>
    <n v="31000"/>
    <n v="28797"/>
    <n v="202.99999999999997"/>
    <s v="11 mns"/>
    <x v="1"/>
    <n v="3"/>
    <x v="2"/>
  </r>
  <r>
    <d v="2023-03-28T00:00:00"/>
    <x v="0"/>
    <x v="0"/>
    <n v="1"/>
    <x v="2"/>
    <n v="89000"/>
    <n v="65000"/>
    <n v="89000"/>
    <n v="65000"/>
    <n v="23832"/>
    <n v="167.99999999999997"/>
    <s v="11 mns"/>
    <x v="1"/>
    <n v="3"/>
    <x v="2"/>
  </r>
  <r>
    <d v="2023-03-28T00:00:00"/>
    <x v="2"/>
    <x v="2"/>
    <n v="1"/>
    <x v="0"/>
    <n v="33000"/>
    <n v="18000"/>
    <n v="33000"/>
    <n v="18000"/>
    <n v="14895"/>
    <n v="104.99999999999999"/>
    <s v="30 mns"/>
    <x v="0"/>
    <n v="3"/>
    <x v="2"/>
  </r>
  <r>
    <d v="2023-03-28T00:00:00"/>
    <x v="2"/>
    <x v="2"/>
    <n v="1"/>
    <x v="1"/>
    <n v="60000"/>
    <n v="31000"/>
    <n v="60000"/>
    <n v="31000"/>
    <n v="28797"/>
    <n v="202.99999999999997"/>
    <s v="30 mns"/>
    <x v="3"/>
    <n v="3"/>
    <x v="2"/>
  </r>
  <r>
    <d v="2023-03-28T00:00:00"/>
    <x v="3"/>
    <x v="3"/>
    <n v="1"/>
    <x v="0"/>
    <n v="33000"/>
    <n v="18000"/>
    <n v="33000"/>
    <n v="18000"/>
    <n v="14895"/>
    <n v="104.99999999999999"/>
    <s v="35 mns"/>
    <x v="3"/>
    <n v="3"/>
    <x v="2"/>
  </r>
  <r>
    <d v="2023-03-28T00:00:00"/>
    <x v="3"/>
    <x v="3"/>
    <n v="1"/>
    <x v="1"/>
    <n v="60000"/>
    <n v="31000"/>
    <n v="60000"/>
    <n v="31000"/>
    <n v="28797"/>
    <n v="202.99999999999997"/>
    <s v="35 mns"/>
    <x v="3"/>
    <n v="3"/>
    <x v="2"/>
  </r>
  <r>
    <d v="2023-03-28T00:00:00"/>
    <x v="3"/>
    <x v="3"/>
    <n v="1"/>
    <x v="2"/>
    <n v="89000"/>
    <n v="65000"/>
    <n v="89000"/>
    <n v="65000"/>
    <n v="23832"/>
    <n v="167.99999999999997"/>
    <s v="35 mns"/>
    <x v="2"/>
    <n v="3"/>
    <x v="2"/>
  </r>
  <r>
    <d v="2023-03-29T00:00:00"/>
    <x v="0"/>
    <x v="0"/>
    <n v="1"/>
    <x v="0"/>
    <n v="33000"/>
    <n v="18000"/>
    <n v="33000"/>
    <n v="18000"/>
    <n v="14895"/>
    <n v="104.99999999999999"/>
    <s v="11 mns"/>
    <x v="3"/>
    <n v="3"/>
    <x v="2"/>
  </r>
  <r>
    <d v="2023-03-29T00:00:00"/>
    <x v="0"/>
    <x v="0"/>
    <n v="1"/>
    <x v="1"/>
    <n v="60000"/>
    <n v="31000"/>
    <n v="60000"/>
    <n v="31000"/>
    <n v="28797"/>
    <n v="202.99999999999997"/>
    <s v="11 mns"/>
    <x v="1"/>
    <n v="3"/>
    <x v="2"/>
  </r>
  <r>
    <d v="2023-03-29T00:00:00"/>
    <x v="0"/>
    <x v="0"/>
    <n v="1"/>
    <x v="2"/>
    <n v="89000"/>
    <n v="65000"/>
    <n v="89000"/>
    <n v="65000"/>
    <n v="23832"/>
    <n v="167.99999999999997"/>
    <s v="11 mns"/>
    <x v="1"/>
    <n v="3"/>
    <x v="2"/>
  </r>
  <r>
    <d v="2023-03-29T00:00:00"/>
    <x v="2"/>
    <x v="2"/>
    <n v="1"/>
    <x v="0"/>
    <n v="33000"/>
    <n v="18000"/>
    <n v="33000"/>
    <n v="18000"/>
    <n v="14895"/>
    <n v="104.99999999999999"/>
    <s v="30 mns"/>
    <x v="0"/>
    <n v="3"/>
    <x v="2"/>
  </r>
  <r>
    <d v="2023-03-29T00:00:00"/>
    <x v="2"/>
    <x v="2"/>
    <n v="1"/>
    <x v="1"/>
    <n v="60000"/>
    <n v="31000"/>
    <n v="60000"/>
    <n v="31000"/>
    <n v="28797"/>
    <n v="202.99999999999997"/>
    <s v="30 mns"/>
    <x v="3"/>
    <n v="3"/>
    <x v="2"/>
  </r>
  <r>
    <d v="2023-03-29T00:00:00"/>
    <x v="2"/>
    <x v="2"/>
    <n v="1"/>
    <x v="2"/>
    <n v="89000"/>
    <n v="65000"/>
    <n v="89000"/>
    <n v="65000"/>
    <n v="23832"/>
    <n v="167.99999999999997"/>
    <s v="30 mns"/>
    <x v="1"/>
    <n v="3"/>
    <x v="2"/>
  </r>
  <r>
    <d v="2023-03-29T00:00:00"/>
    <x v="3"/>
    <x v="3"/>
    <n v="1"/>
    <x v="0"/>
    <n v="33000"/>
    <n v="18000"/>
    <n v="33000"/>
    <n v="18000"/>
    <n v="14895"/>
    <n v="104.99999999999999"/>
    <s v="35 mns"/>
    <x v="1"/>
    <n v="3"/>
    <x v="2"/>
  </r>
  <r>
    <d v="2023-03-29T00:00:00"/>
    <x v="3"/>
    <x v="3"/>
    <n v="1"/>
    <x v="1"/>
    <n v="60000"/>
    <n v="31000"/>
    <n v="60000"/>
    <n v="31000"/>
    <n v="28797"/>
    <n v="202.99999999999997"/>
    <s v="35 mns"/>
    <x v="2"/>
    <n v="3"/>
    <x v="2"/>
  </r>
  <r>
    <d v="2023-03-29T00:00:00"/>
    <x v="3"/>
    <x v="3"/>
    <n v="1"/>
    <x v="2"/>
    <n v="89000"/>
    <n v="65000"/>
    <n v="89000"/>
    <n v="65000"/>
    <n v="23832"/>
    <n v="167.99999999999997"/>
    <s v="35 mns"/>
    <x v="1"/>
    <n v="3"/>
    <x v="2"/>
  </r>
  <r>
    <d v="2023-03-30T00:00:00"/>
    <x v="0"/>
    <x v="0"/>
    <n v="1"/>
    <x v="0"/>
    <n v="33000"/>
    <n v="18000"/>
    <n v="33000"/>
    <n v="18000"/>
    <n v="14895"/>
    <n v="104.99999999999999"/>
    <s v="11 mns"/>
    <x v="3"/>
    <n v="3"/>
    <x v="2"/>
  </r>
  <r>
    <d v="2023-03-30T00:00:00"/>
    <x v="0"/>
    <x v="0"/>
    <n v="1"/>
    <x v="1"/>
    <n v="60000"/>
    <n v="31000"/>
    <n v="60000"/>
    <n v="31000"/>
    <n v="28797"/>
    <n v="202.99999999999997"/>
    <s v="11 mns"/>
    <x v="3"/>
    <n v="3"/>
    <x v="2"/>
  </r>
  <r>
    <d v="2023-03-30T00:00:00"/>
    <x v="0"/>
    <x v="0"/>
    <n v="1"/>
    <x v="2"/>
    <n v="89000"/>
    <n v="65000"/>
    <n v="89000"/>
    <n v="65000"/>
    <n v="23832"/>
    <n v="167.99999999999997"/>
    <s v="11 mns"/>
    <x v="1"/>
    <n v="3"/>
    <x v="2"/>
  </r>
  <r>
    <d v="2023-03-30T00:00:00"/>
    <x v="2"/>
    <x v="2"/>
    <n v="1"/>
    <x v="0"/>
    <n v="33000"/>
    <n v="18000"/>
    <n v="33000"/>
    <n v="18000"/>
    <n v="14895"/>
    <n v="104.99999999999999"/>
    <s v="30 mns"/>
    <x v="0"/>
    <n v="3"/>
    <x v="2"/>
  </r>
  <r>
    <d v="2023-03-30T00:00:00"/>
    <x v="2"/>
    <x v="2"/>
    <n v="1"/>
    <x v="1"/>
    <n v="60000"/>
    <n v="31000"/>
    <n v="60000"/>
    <n v="31000"/>
    <n v="28797"/>
    <n v="202.99999999999997"/>
    <s v="30 mns"/>
    <x v="2"/>
    <n v="3"/>
    <x v="2"/>
  </r>
  <r>
    <d v="2023-03-30T00:00:00"/>
    <x v="2"/>
    <x v="2"/>
    <n v="1"/>
    <x v="2"/>
    <n v="89000"/>
    <n v="65000"/>
    <n v="89000"/>
    <n v="65000"/>
    <n v="23832"/>
    <n v="167.99999999999997"/>
    <s v="30 mns"/>
    <x v="2"/>
    <n v="3"/>
    <x v="2"/>
  </r>
  <r>
    <d v="2023-03-30T00:00:00"/>
    <x v="3"/>
    <x v="3"/>
    <n v="1"/>
    <x v="0"/>
    <n v="33000"/>
    <n v="18000"/>
    <n v="33000"/>
    <n v="18000"/>
    <n v="14895"/>
    <n v="104.99999999999999"/>
    <s v="35 mns"/>
    <x v="0"/>
    <n v="3"/>
    <x v="2"/>
  </r>
  <r>
    <d v="2023-03-30T00:00:00"/>
    <x v="3"/>
    <x v="3"/>
    <n v="1"/>
    <x v="1"/>
    <n v="60000"/>
    <n v="31000"/>
    <n v="60000"/>
    <n v="31000"/>
    <n v="28797"/>
    <n v="202.99999999999997"/>
    <s v="35 mns"/>
    <x v="1"/>
    <n v="3"/>
    <x v="2"/>
  </r>
  <r>
    <d v="2023-03-30T00:00:00"/>
    <x v="3"/>
    <x v="3"/>
    <n v="1"/>
    <x v="2"/>
    <n v="89000"/>
    <n v="65000"/>
    <n v="89000"/>
    <n v="65000"/>
    <n v="23832"/>
    <n v="167.99999999999997"/>
    <s v="35 mns"/>
    <x v="3"/>
    <n v="3"/>
    <x v="2"/>
  </r>
  <r>
    <d v="2023-03-31T00:00:00"/>
    <x v="0"/>
    <x v="0"/>
    <n v="1"/>
    <x v="0"/>
    <n v="33000"/>
    <n v="18000"/>
    <n v="33000"/>
    <n v="18000"/>
    <n v="14895"/>
    <n v="104.99999999999999"/>
    <s v="11 mns"/>
    <x v="0"/>
    <n v="3"/>
    <x v="2"/>
  </r>
  <r>
    <d v="2023-03-31T00:00:00"/>
    <x v="0"/>
    <x v="0"/>
    <n v="1"/>
    <x v="1"/>
    <n v="60000"/>
    <n v="31000"/>
    <n v="60000"/>
    <n v="31000"/>
    <n v="28797"/>
    <n v="202.99999999999997"/>
    <s v="11 mns"/>
    <x v="1"/>
    <n v="3"/>
    <x v="2"/>
  </r>
  <r>
    <d v="2023-03-31T00:00:00"/>
    <x v="0"/>
    <x v="0"/>
    <n v="1"/>
    <x v="2"/>
    <n v="89000"/>
    <n v="65000"/>
    <n v="89000"/>
    <n v="65000"/>
    <n v="23832"/>
    <n v="167.99999999999997"/>
    <s v="11 mns"/>
    <x v="2"/>
    <n v="3"/>
    <x v="2"/>
  </r>
  <r>
    <d v="2023-03-31T00:00:00"/>
    <x v="2"/>
    <x v="2"/>
    <n v="1"/>
    <x v="0"/>
    <n v="33000"/>
    <n v="18000"/>
    <n v="33000"/>
    <n v="18000"/>
    <n v="14895"/>
    <n v="104.99999999999999"/>
    <s v="30 mns"/>
    <x v="0"/>
    <n v="3"/>
    <x v="2"/>
  </r>
  <r>
    <d v="2023-03-31T00:00:00"/>
    <x v="2"/>
    <x v="2"/>
    <n v="1"/>
    <x v="1"/>
    <n v="60000"/>
    <n v="31000"/>
    <n v="60000"/>
    <n v="31000"/>
    <n v="28797"/>
    <n v="202.99999999999997"/>
    <s v="30 mns"/>
    <x v="0"/>
    <n v="3"/>
    <x v="2"/>
  </r>
  <r>
    <d v="2023-03-31T00:00:00"/>
    <x v="3"/>
    <x v="3"/>
    <n v="1"/>
    <x v="0"/>
    <n v="33000"/>
    <n v="18000"/>
    <n v="33000"/>
    <n v="18000"/>
    <n v="14895"/>
    <n v="104.99999999999999"/>
    <s v="35 mns"/>
    <x v="1"/>
    <n v="3"/>
    <x v="2"/>
  </r>
  <r>
    <d v="2023-03-31T00:00:00"/>
    <x v="3"/>
    <x v="3"/>
    <n v="1"/>
    <x v="1"/>
    <n v="60000"/>
    <n v="31000"/>
    <n v="60000"/>
    <n v="31000"/>
    <n v="28797"/>
    <n v="202.99999999999997"/>
    <s v="35 mns"/>
    <x v="2"/>
    <n v="3"/>
    <x v="2"/>
  </r>
  <r>
    <d v="2023-03-31T00:00:00"/>
    <x v="3"/>
    <x v="3"/>
    <n v="1"/>
    <x v="2"/>
    <n v="89000"/>
    <n v="65000"/>
    <n v="89000"/>
    <n v="65000"/>
    <n v="23832"/>
    <n v="167.99999999999997"/>
    <s v="35 mns"/>
    <x v="1"/>
    <n v="3"/>
    <x v="2"/>
  </r>
  <r>
    <d v="2023-04-01T00:00:00"/>
    <x v="0"/>
    <x v="0"/>
    <n v="1"/>
    <x v="0"/>
    <n v="33000"/>
    <n v="18000"/>
    <n v="33000"/>
    <n v="18000"/>
    <n v="14895"/>
    <n v="104.99999999999999"/>
    <s v="11 mns"/>
    <x v="1"/>
    <n v="4"/>
    <x v="3"/>
  </r>
  <r>
    <d v="2023-04-01T00:00:00"/>
    <x v="0"/>
    <x v="0"/>
    <n v="1"/>
    <x v="1"/>
    <n v="60000"/>
    <n v="31000"/>
    <n v="60000"/>
    <n v="31000"/>
    <n v="28797"/>
    <n v="202.99999999999997"/>
    <s v="11 mns"/>
    <x v="3"/>
    <n v="4"/>
    <x v="3"/>
  </r>
  <r>
    <d v="2023-04-01T00:00:00"/>
    <x v="0"/>
    <x v="0"/>
    <n v="1"/>
    <x v="2"/>
    <n v="89000"/>
    <n v="65000"/>
    <n v="89000"/>
    <n v="65000"/>
    <n v="23832"/>
    <n v="167.99999999999997"/>
    <s v="11 mns"/>
    <x v="1"/>
    <n v="4"/>
    <x v="3"/>
  </r>
  <r>
    <d v="2023-04-01T00:00:00"/>
    <x v="2"/>
    <x v="2"/>
    <n v="1"/>
    <x v="0"/>
    <n v="33000"/>
    <n v="18000"/>
    <n v="33000"/>
    <n v="18000"/>
    <n v="14895"/>
    <n v="104.99999999999999"/>
    <s v="30 mns"/>
    <x v="0"/>
    <n v="4"/>
    <x v="3"/>
  </r>
  <r>
    <d v="2023-04-01T00:00:00"/>
    <x v="2"/>
    <x v="2"/>
    <n v="1"/>
    <x v="1"/>
    <n v="60000"/>
    <n v="31000"/>
    <n v="60000"/>
    <n v="31000"/>
    <n v="28797"/>
    <n v="202.99999999999997"/>
    <s v="30 mns"/>
    <x v="3"/>
    <n v="4"/>
    <x v="3"/>
  </r>
  <r>
    <d v="2023-04-01T00:00:00"/>
    <x v="3"/>
    <x v="3"/>
    <n v="1"/>
    <x v="0"/>
    <n v="33000"/>
    <n v="18000"/>
    <n v="33000"/>
    <n v="18000"/>
    <n v="14895"/>
    <n v="104.99999999999999"/>
    <s v="35 mns"/>
    <x v="3"/>
    <n v="4"/>
    <x v="3"/>
  </r>
  <r>
    <d v="2023-04-01T00:00:00"/>
    <x v="3"/>
    <x v="3"/>
    <n v="1"/>
    <x v="1"/>
    <n v="60000"/>
    <n v="31000"/>
    <n v="60000"/>
    <n v="31000"/>
    <n v="28797"/>
    <n v="202.99999999999997"/>
    <s v="35 mns"/>
    <x v="1"/>
    <n v="4"/>
    <x v="3"/>
  </r>
  <r>
    <d v="2023-04-01T00:00:00"/>
    <x v="3"/>
    <x v="3"/>
    <n v="1"/>
    <x v="2"/>
    <n v="89000"/>
    <n v="65000"/>
    <n v="89000"/>
    <n v="65000"/>
    <n v="23832"/>
    <n v="167.99999999999997"/>
    <s v="35 mns"/>
    <x v="0"/>
    <n v="4"/>
    <x v="3"/>
  </r>
  <r>
    <d v="2023-04-02T00:00:00"/>
    <x v="0"/>
    <x v="0"/>
    <n v="1"/>
    <x v="0"/>
    <n v="33000"/>
    <n v="18000"/>
    <n v="33000"/>
    <n v="18000"/>
    <n v="14895"/>
    <n v="104.99999999999999"/>
    <s v="11 mns"/>
    <x v="1"/>
    <n v="4"/>
    <x v="3"/>
  </r>
  <r>
    <d v="2023-04-02T00:00:00"/>
    <x v="0"/>
    <x v="0"/>
    <n v="1"/>
    <x v="1"/>
    <n v="60000"/>
    <n v="31000"/>
    <n v="60000"/>
    <n v="31000"/>
    <n v="28797"/>
    <n v="202.99999999999997"/>
    <s v="11 mns"/>
    <x v="3"/>
    <n v="4"/>
    <x v="3"/>
  </r>
  <r>
    <d v="2023-04-02T00:00:00"/>
    <x v="0"/>
    <x v="0"/>
    <n v="1"/>
    <x v="2"/>
    <n v="89000"/>
    <n v="65000"/>
    <n v="89000"/>
    <n v="65000"/>
    <n v="23832"/>
    <n v="167.99999999999997"/>
    <s v="11 mns"/>
    <x v="3"/>
    <n v="4"/>
    <x v="3"/>
  </r>
  <r>
    <d v="2023-04-02T00:00:00"/>
    <x v="2"/>
    <x v="2"/>
    <n v="1"/>
    <x v="0"/>
    <n v="33000"/>
    <n v="18000"/>
    <n v="33000"/>
    <n v="18000"/>
    <n v="14895"/>
    <n v="104.99999999999999"/>
    <s v="30 mns"/>
    <x v="0"/>
    <n v="4"/>
    <x v="3"/>
  </r>
  <r>
    <d v="2023-04-02T00:00:00"/>
    <x v="2"/>
    <x v="2"/>
    <n v="1"/>
    <x v="1"/>
    <n v="60000"/>
    <n v="31000"/>
    <n v="60000"/>
    <n v="31000"/>
    <n v="28797"/>
    <n v="202.99999999999997"/>
    <s v="30 mns"/>
    <x v="1"/>
    <n v="4"/>
    <x v="3"/>
  </r>
  <r>
    <d v="2023-04-02T00:00:00"/>
    <x v="3"/>
    <x v="3"/>
    <n v="1"/>
    <x v="0"/>
    <n v="33000"/>
    <n v="18000"/>
    <n v="33000"/>
    <n v="18000"/>
    <n v="14895"/>
    <n v="104.99999999999999"/>
    <s v="35 mns"/>
    <x v="0"/>
    <n v="4"/>
    <x v="3"/>
  </r>
  <r>
    <d v="2023-04-02T00:00:00"/>
    <x v="3"/>
    <x v="3"/>
    <n v="1"/>
    <x v="1"/>
    <n v="60000"/>
    <n v="31000"/>
    <n v="60000"/>
    <n v="31000"/>
    <n v="28797"/>
    <n v="202.99999999999997"/>
    <s v="35 mns"/>
    <x v="3"/>
    <n v="4"/>
    <x v="3"/>
  </r>
  <r>
    <d v="2023-04-02T00:00:00"/>
    <x v="3"/>
    <x v="3"/>
    <n v="1"/>
    <x v="2"/>
    <n v="89000"/>
    <n v="65000"/>
    <n v="89000"/>
    <n v="65000"/>
    <n v="23832"/>
    <n v="167.99999999999997"/>
    <s v="35 mns"/>
    <x v="3"/>
    <n v="4"/>
    <x v="3"/>
  </r>
  <r>
    <d v="2023-04-03T00:00:00"/>
    <x v="0"/>
    <x v="0"/>
    <n v="2"/>
    <x v="0"/>
    <n v="33000"/>
    <n v="18000"/>
    <n v="66000"/>
    <n v="36000"/>
    <n v="29790"/>
    <n v="209.99999999999997"/>
    <s v="11 mns"/>
    <x v="1"/>
    <n v="4"/>
    <x v="3"/>
  </r>
  <r>
    <d v="2023-04-03T00:00:00"/>
    <x v="0"/>
    <x v="0"/>
    <n v="2"/>
    <x v="1"/>
    <n v="60000"/>
    <n v="31000"/>
    <n v="120000"/>
    <n v="62000"/>
    <n v="57594"/>
    <n v="405.99999999999994"/>
    <s v="11 mns"/>
    <x v="3"/>
    <n v="4"/>
    <x v="3"/>
  </r>
  <r>
    <d v="2023-04-03T00:00:00"/>
    <x v="0"/>
    <x v="0"/>
    <n v="2"/>
    <x v="2"/>
    <n v="89000"/>
    <n v="65000"/>
    <n v="178000"/>
    <n v="130000"/>
    <n v="47664"/>
    <n v="335.99999999999994"/>
    <s v="11 mns"/>
    <x v="0"/>
    <n v="4"/>
    <x v="3"/>
  </r>
  <r>
    <d v="2023-04-03T00:00:00"/>
    <x v="2"/>
    <x v="2"/>
    <n v="2"/>
    <x v="0"/>
    <n v="33000"/>
    <n v="18000"/>
    <n v="66000"/>
    <n v="36000"/>
    <n v="29790"/>
    <n v="209.99999999999997"/>
    <s v="30 mns"/>
    <x v="3"/>
    <n v="4"/>
    <x v="3"/>
  </r>
  <r>
    <d v="2023-04-03T00:00:00"/>
    <x v="2"/>
    <x v="2"/>
    <n v="2"/>
    <x v="1"/>
    <n v="60000"/>
    <n v="31000"/>
    <n v="120000"/>
    <n v="62000"/>
    <n v="57594"/>
    <n v="405.99999999999994"/>
    <s v="30 mns"/>
    <x v="3"/>
    <n v="4"/>
    <x v="3"/>
  </r>
  <r>
    <d v="2023-04-03T00:00:00"/>
    <x v="3"/>
    <x v="3"/>
    <n v="2"/>
    <x v="0"/>
    <n v="33000"/>
    <n v="18000"/>
    <n v="66000"/>
    <n v="36000"/>
    <n v="29790"/>
    <n v="209.99999999999997"/>
    <s v="35 mns"/>
    <x v="1"/>
    <n v="4"/>
    <x v="3"/>
  </r>
  <r>
    <d v="2023-04-03T00:00:00"/>
    <x v="3"/>
    <x v="3"/>
    <n v="2"/>
    <x v="1"/>
    <n v="60000"/>
    <n v="31000"/>
    <n v="120000"/>
    <n v="62000"/>
    <n v="57594"/>
    <n v="405.99999999999994"/>
    <s v="35 mns"/>
    <x v="0"/>
    <n v="4"/>
    <x v="3"/>
  </r>
  <r>
    <d v="2023-04-03T00:00:00"/>
    <x v="3"/>
    <x v="3"/>
    <n v="2"/>
    <x v="2"/>
    <n v="89000"/>
    <n v="65000"/>
    <n v="178000"/>
    <n v="130000"/>
    <n v="47664"/>
    <n v="335.99999999999994"/>
    <s v="35 mns"/>
    <x v="3"/>
    <n v="4"/>
    <x v="3"/>
  </r>
  <r>
    <d v="2023-04-04T00:00:00"/>
    <x v="0"/>
    <x v="0"/>
    <n v="1"/>
    <x v="0"/>
    <n v="33000"/>
    <n v="18000"/>
    <n v="33000"/>
    <n v="18000"/>
    <n v="14895"/>
    <n v="104.99999999999999"/>
    <s v="11 mns"/>
    <x v="0"/>
    <n v="4"/>
    <x v="3"/>
  </r>
  <r>
    <d v="2023-04-04T00:00:00"/>
    <x v="0"/>
    <x v="0"/>
    <n v="1"/>
    <x v="1"/>
    <n v="60000"/>
    <n v="31000"/>
    <n v="60000"/>
    <n v="31000"/>
    <n v="28797"/>
    <n v="202.99999999999997"/>
    <s v="11 mns"/>
    <x v="2"/>
    <n v="4"/>
    <x v="3"/>
  </r>
  <r>
    <d v="2023-04-04T00:00:00"/>
    <x v="0"/>
    <x v="0"/>
    <n v="1"/>
    <x v="2"/>
    <n v="89000"/>
    <n v="65000"/>
    <n v="89000"/>
    <n v="65000"/>
    <n v="23832"/>
    <n v="167.99999999999997"/>
    <s v="11 mns"/>
    <x v="3"/>
    <n v="4"/>
    <x v="3"/>
  </r>
  <r>
    <d v="2023-04-04T00:00:00"/>
    <x v="2"/>
    <x v="2"/>
    <n v="1"/>
    <x v="0"/>
    <n v="33000"/>
    <n v="18000"/>
    <n v="33000"/>
    <n v="18000"/>
    <n v="14895"/>
    <n v="104.99999999999999"/>
    <s v="30 mns"/>
    <x v="0"/>
    <n v="4"/>
    <x v="3"/>
  </r>
  <r>
    <d v="2023-04-04T00:00:00"/>
    <x v="2"/>
    <x v="2"/>
    <n v="1"/>
    <x v="1"/>
    <n v="60000"/>
    <n v="31000"/>
    <n v="60000"/>
    <n v="31000"/>
    <n v="28797"/>
    <n v="202.99999999999997"/>
    <s v="30 mns"/>
    <x v="1"/>
    <n v="4"/>
    <x v="3"/>
  </r>
  <r>
    <d v="2023-04-04T00:00:00"/>
    <x v="3"/>
    <x v="3"/>
    <n v="1"/>
    <x v="0"/>
    <n v="33000"/>
    <n v="18000"/>
    <n v="33000"/>
    <n v="18000"/>
    <n v="14895"/>
    <n v="104.99999999999999"/>
    <s v="35 mns"/>
    <x v="3"/>
    <n v="4"/>
    <x v="3"/>
  </r>
  <r>
    <d v="2023-04-04T00:00:00"/>
    <x v="3"/>
    <x v="3"/>
    <n v="1"/>
    <x v="1"/>
    <n v="60000"/>
    <n v="31000"/>
    <n v="60000"/>
    <n v="31000"/>
    <n v="28797"/>
    <n v="202.99999999999997"/>
    <s v="35 mns"/>
    <x v="1"/>
    <n v="4"/>
    <x v="3"/>
  </r>
  <r>
    <d v="2023-04-04T00:00:00"/>
    <x v="3"/>
    <x v="3"/>
    <n v="1"/>
    <x v="2"/>
    <n v="89000"/>
    <n v="65000"/>
    <n v="89000"/>
    <n v="65000"/>
    <n v="23832"/>
    <n v="167.99999999999997"/>
    <s v="35 mns"/>
    <x v="1"/>
    <n v="4"/>
    <x v="3"/>
  </r>
  <r>
    <d v="2023-04-05T00:00:00"/>
    <x v="0"/>
    <x v="0"/>
    <n v="2"/>
    <x v="0"/>
    <n v="33000"/>
    <n v="18000"/>
    <n v="66000"/>
    <n v="36000"/>
    <n v="29790"/>
    <n v="209.99999999999997"/>
    <s v="11 mns"/>
    <x v="1"/>
    <n v="4"/>
    <x v="3"/>
  </r>
  <r>
    <d v="2023-04-05T00:00:00"/>
    <x v="0"/>
    <x v="0"/>
    <n v="2"/>
    <x v="1"/>
    <n v="60000"/>
    <n v="31000"/>
    <n v="120000"/>
    <n v="62000"/>
    <n v="57594"/>
    <n v="405.99999999999994"/>
    <s v="11 mns"/>
    <x v="1"/>
    <n v="4"/>
    <x v="3"/>
  </r>
  <r>
    <d v="2023-04-05T00:00:00"/>
    <x v="0"/>
    <x v="0"/>
    <n v="2"/>
    <x v="2"/>
    <n v="89000"/>
    <n v="65000"/>
    <n v="178000"/>
    <n v="130000"/>
    <n v="47664"/>
    <n v="335.99999999999994"/>
    <s v="11 mns"/>
    <x v="0"/>
    <n v="4"/>
    <x v="3"/>
  </r>
  <r>
    <d v="2023-04-05T00:00:00"/>
    <x v="2"/>
    <x v="2"/>
    <n v="2"/>
    <x v="0"/>
    <n v="33000"/>
    <n v="18000"/>
    <n v="66000"/>
    <n v="36000"/>
    <n v="29790"/>
    <n v="209.99999999999997"/>
    <s v="30 mns"/>
    <x v="3"/>
    <n v="4"/>
    <x v="3"/>
  </r>
  <r>
    <d v="2023-04-05T00:00:00"/>
    <x v="2"/>
    <x v="2"/>
    <n v="2"/>
    <x v="1"/>
    <n v="60000"/>
    <n v="31000"/>
    <n v="120000"/>
    <n v="62000"/>
    <n v="57594"/>
    <n v="405.99999999999994"/>
    <s v="30 mns"/>
    <x v="3"/>
    <n v="4"/>
    <x v="3"/>
  </r>
  <r>
    <d v="2023-04-05T00:00:00"/>
    <x v="3"/>
    <x v="3"/>
    <n v="2"/>
    <x v="0"/>
    <n v="33000"/>
    <n v="18000"/>
    <n v="66000"/>
    <n v="36000"/>
    <n v="29790"/>
    <n v="209.99999999999997"/>
    <s v="35 mns"/>
    <x v="0"/>
    <n v="4"/>
    <x v="3"/>
  </r>
  <r>
    <d v="2023-04-05T00:00:00"/>
    <x v="3"/>
    <x v="3"/>
    <n v="2"/>
    <x v="1"/>
    <n v="60000"/>
    <n v="31000"/>
    <n v="120000"/>
    <n v="62000"/>
    <n v="57594"/>
    <n v="405.99999999999994"/>
    <s v="35 mns"/>
    <x v="3"/>
    <n v="4"/>
    <x v="3"/>
  </r>
  <r>
    <d v="2023-04-05T00:00:00"/>
    <x v="3"/>
    <x v="3"/>
    <n v="2"/>
    <x v="2"/>
    <n v="89000"/>
    <n v="65000"/>
    <n v="178000"/>
    <n v="130000"/>
    <n v="47664"/>
    <n v="335.99999999999994"/>
    <s v="35 mns"/>
    <x v="3"/>
    <n v="4"/>
    <x v="3"/>
  </r>
  <r>
    <d v="2023-04-06T00:00:00"/>
    <x v="0"/>
    <x v="0"/>
    <n v="1"/>
    <x v="0"/>
    <n v="33000"/>
    <n v="18000"/>
    <n v="33000"/>
    <n v="18000"/>
    <n v="14895"/>
    <n v="104.99999999999999"/>
    <s v="11 mns"/>
    <x v="1"/>
    <n v="4"/>
    <x v="3"/>
  </r>
  <r>
    <d v="2023-04-06T00:00:00"/>
    <x v="0"/>
    <x v="0"/>
    <n v="1"/>
    <x v="1"/>
    <n v="60000"/>
    <n v="31000"/>
    <n v="60000"/>
    <n v="31000"/>
    <n v="28797"/>
    <n v="202.99999999999997"/>
    <s v="11 mns"/>
    <x v="3"/>
    <n v="4"/>
    <x v="3"/>
  </r>
  <r>
    <d v="2023-04-06T00:00:00"/>
    <x v="0"/>
    <x v="0"/>
    <n v="1"/>
    <x v="2"/>
    <n v="89000"/>
    <n v="65000"/>
    <n v="89000"/>
    <n v="65000"/>
    <n v="23832"/>
    <n v="167.99999999999997"/>
    <s v="11 mns"/>
    <x v="0"/>
    <n v="4"/>
    <x v="3"/>
  </r>
  <r>
    <d v="2023-04-06T00:00:00"/>
    <x v="1"/>
    <x v="1"/>
    <n v="1"/>
    <x v="0"/>
    <n v="33000"/>
    <n v="18000"/>
    <n v="33000"/>
    <n v="18000"/>
    <n v="14895"/>
    <n v="104.99999999999999"/>
    <s v="58 mns"/>
    <x v="3"/>
    <n v="4"/>
    <x v="3"/>
  </r>
  <r>
    <d v="2023-04-06T00:00:00"/>
    <x v="2"/>
    <x v="2"/>
    <n v="1"/>
    <x v="0"/>
    <n v="33000"/>
    <n v="18000"/>
    <n v="33000"/>
    <n v="18000"/>
    <n v="14895"/>
    <n v="104.99999999999999"/>
    <s v="30 mns"/>
    <x v="1"/>
    <n v="4"/>
    <x v="3"/>
  </r>
  <r>
    <d v="2023-04-06T00:00:00"/>
    <x v="2"/>
    <x v="2"/>
    <n v="1"/>
    <x v="1"/>
    <n v="60000"/>
    <n v="31000"/>
    <n v="60000"/>
    <n v="31000"/>
    <n v="28797"/>
    <n v="202.99999999999997"/>
    <s v="30 mns"/>
    <x v="3"/>
    <n v="4"/>
    <x v="3"/>
  </r>
  <r>
    <d v="2023-04-06T00:00:00"/>
    <x v="3"/>
    <x v="3"/>
    <n v="1"/>
    <x v="0"/>
    <n v="33000"/>
    <n v="18000"/>
    <n v="33000"/>
    <n v="18000"/>
    <n v="14895"/>
    <n v="104.99999999999999"/>
    <s v="35 mns"/>
    <x v="1"/>
    <n v="4"/>
    <x v="3"/>
  </r>
  <r>
    <d v="2023-04-06T00:00:00"/>
    <x v="3"/>
    <x v="3"/>
    <n v="1"/>
    <x v="1"/>
    <n v="60000"/>
    <n v="31000"/>
    <n v="60000"/>
    <n v="31000"/>
    <n v="28797"/>
    <n v="202.99999999999997"/>
    <s v="35 mns"/>
    <x v="3"/>
    <n v="4"/>
    <x v="3"/>
  </r>
  <r>
    <d v="2023-04-06T00:00:00"/>
    <x v="3"/>
    <x v="3"/>
    <n v="1"/>
    <x v="2"/>
    <n v="89000"/>
    <n v="65000"/>
    <n v="89000"/>
    <n v="65000"/>
    <n v="23832"/>
    <n v="167.99999999999997"/>
    <s v="35 mns"/>
    <x v="3"/>
    <n v="4"/>
    <x v="3"/>
  </r>
  <r>
    <d v="2023-04-07T00:00:00"/>
    <x v="0"/>
    <x v="0"/>
    <n v="1"/>
    <x v="0"/>
    <n v="33000"/>
    <n v="18000"/>
    <n v="33000"/>
    <n v="18000"/>
    <n v="14895"/>
    <n v="104.99999999999999"/>
    <s v="11 mns"/>
    <x v="3"/>
    <n v="4"/>
    <x v="3"/>
  </r>
  <r>
    <d v="2023-04-07T00:00:00"/>
    <x v="0"/>
    <x v="0"/>
    <n v="1"/>
    <x v="1"/>
    <n v="60000"/>
    <n v="31000"/>
    <n v="60000"/>
    <n v="31000"/>
    <n v="28797"/>
    <n v="202.99999999999997"/>
    <s v="11 mns"/>
    <x v="3"/>
    <n v="4"/>
    <x v="3"/>
  </r>
  <r>
    <d v="2023-04-07T00:00:00"/>
    <x v="0"/>
    <x v="0"/>
    <n v="1"/>
    <x v="2"/>
    <n v="89000"/>
    <n v="65000"/>
    <n v="89000"/>
    <n v="65000"/>
    <n v="23832"/>
    <n v="167.99999999999997"/>
    <s v="11 mns"/>
    <x v="1"/>
    <n v="4"/>
    <x v="3"/>
  </r>
  <r>
    <d v="2023-04-07T00:00:00"/>
    <x v="1"/>
    <x v="1"/>
    <n v="1"/>
    <x v="0"/>
    <n v="33000"/>
    <n v="18000"/>
    <n v="33000"/>
    <n v="18000"/>
    <n v="14895"/>
    <n v="104.99999999999999"/>
    <s v="58 mns"/>
    <x v="2"/>
    <n v="4"/>
    <x v="3"/>
  </r>
  <r>
    <d v="2023-04-07T00:00:00"/>
    <x v="2"/>
    <x v="2"/>
    <n v="1"/>
    <x v="0"/>
    <n v="33000"/>
    <n v="18000"/>
    <n v="33000"/>
    <n v="18000"/>
    <n v="14895"/>
    <n v="104.99999999999999"/>
    <s v="30 mns"/>
    <x v="3"/>
    <n v="4"/>
    <x v="3"/>
  </r>
  <r>
    <d v="2023-04-07T00:00:00"/>
    <x v="2"/>
    <x v="2"/>
    <n v="1"/>
    <x v="1"/>
    <n v="60000"/>
    <n v="31000"/>
    <n v="60000"/>
    <n v="31000"/>
    <n v="28797"/>
    <n v="202.99999999999997"/>
    <s v="30 mns"/>
    <x v="3"/>
    <n v="4"/>
    <x v="3"/>
  </r>
  <r>
    <d v="2023-04-07T00:00:00"/>
    <x v="3"/>
    <x v="3"/>
    <n v="1"/>
    <x v="0"/>
    <n v="33000"/>
    <n v="18000"/>
    <n v="33000"/>
    <n v="18000"/>
    <n v="14895"/>
    <n v="104.99999999999999"/>
    <s v="35 mns"/>
    <x v="3"/>
    <n v="4"/>
    <x v="3"/>
  </r>
  <r>
    <d v="2023-04-07T00:00:00"/>
    <x v="3"/>
    <x v="3"/>
    <n v="1"/>
    <x v="1"/>
    <n v="60000"/>
    <n v="31000"/>
    <n v="60000"/>
    <n v="31000"/>
    <n v="28797"/>
    <n v="202.99999999999997"/>
    <s v="35 mns"/>
    <x v="1"/>
    <n v="4"/>
    <x v="3"/>
  </r>
  <r>
    <d v="2023-04-07T00:00:00"/>
    <x v="3"/>
    <x v="3"/>
    <n v="1"/>
    <x v="2"/>
    <n v="89000"/>
    <n v="65000"/>
    <n v="89000"/>
    <n v="65000"/>
    <n v="23832"/>
    <n v="167.99999999999997"/>
    <s v="35 mns"/>
    <x v="3"/>
    <n v="4"/>
    <x v="3"/>
  </r>
  <r>
    <d v="2023-04-08T00:00:00"/>
    <x v="0"/>
    <x v="0"/>
    <n v="1"/>
    <x v="0"/>
    <n v="33000"/>
    <n v="18000"/>
    <n v="33000"/>
    <n v="18000"/>
    <n v="14895"/>
    <n v="104.99999999999999"/>
    <s v="11 mns"/>
    <x v="3"/>
    <n v="4"/>
    <x v="3"/>
  </r>
  <r>
    <d v="2023-04-08T00:00:00"/>
    <x v="0"/>
    <x v="0"/>
    <n v="1"/>
    <x v="1"/>
    <n v="60000"/>
    <n v="31000"/>
    <n v="60000"/>
    <n v="31000"/>
    <n v="28797"/>
    <n v="202.99999999999997"/>
    <s v="11 mns"/>
    <x v="3"/>
    <n v="4"/>
    <x v="3"/>
  </r>
  <r>
    <d v="2023-04-08T00:00:00"/>
    <x v="0"/>
    <x v="0"/>
    <n v="1"/>
    <x v="2"/>
    <n v="89000"/>
    <n v="65000"/>
    <n v="89000"/>
    <n v="65000"/>
    <n v="23832"/>
    <n v="167.99999999999997"/>
    <s v="11 mns"/>
    <x v="3"/>
    <n v="4"/>
    <x v="3"/>
  </r>
  <r>
    <d v="2023-04-08T00:00:00"/>
    <x v="1"/>
    <x v="1"/>
    <n v="1"/>
    <x v="0"/>
    <n v="33000"/>
    <n v="18000"/>
    <n v="33000"/>
    <n v="18000"/>
    <n v="14895"/>
    <n v="104.99999999999999"/>
    <s v="58 mns"/>
    <x v="0"/>
    <n v="4"/>
    <x v="3"/>
  </r>
  <r>
    <d v="2023-04-08T00:00:00"/>
    <x v="2"/>
    <x v="2"/>
    <n v="1"/>
    <x v="0"/>
    <n v="33000"/>
    <n v="18000"/>
    <n v="33000"/>
    <n v="18000"/>
    <n v="14895"/>
    <n v="104.99999999999999"/>
    <s v="30 mns"/>
    <x v="3"/>
    <n v="4"/>
    <x v="3"/>
  </r>
  <r>
    <d v="2023-04-08T00:00:00"/>
    <x v="2"/>
    <x v="2"/>
    <n v="1"/>
    <x v="1"/>
    <n v="60000"/>
    <n v="31000"/>
    <n v="60000"/>
    <n v="31000"/>
    <n v="28797"/>
    <n v="202.99999999999997"/>
    <s v="30 mns"/>
    <x v="1"/>
    <n v="4"/>
    <x v="3"/>
  </r>
  <r>
    <d v="2023-04-08T00:00:00"/>
    <x v="3"/>
    <x v="3"/>
    <n v="1"/>
    <x v="0"/>
    <n v="33000"/>
    <n v="18000"/>
    <n v="33000"/>
    <n v="18000"/>
    <n v="14895"/>
    <n v="104.99999999999999"/>
    <s v="35 mns"/>
    <x v="1"/>
    <n v="4"/>
    <x v="3"/>
  </r>
  <r>
    <d v="2023-04-08T00:00:00"/>
    <x v="3"/>
    <x v="3"/>
    <n v="1"/>
    <x v="1"/>
    <n v="60000"/>
    <n v="31000"/>
    <n v="60000"/>
    <n v="31000"/>
    <n v="28797"/>
    <n v="202.99999999999997"/>
    <s v="35 mns"/>
    <x v="2"/>
    <n v="4"/>
    <x v="3"/>
  </r>
  <r>
    <d v="2023-04-08T00:00:00"/>
    <x v="3"/>
    <x v="3"/>
    <n v="1"/>
    <x v="2"/>
    <n v="89000"/>
    <n v="65000"/>
    <n v="89000"/>
    <n v="65000"/>
    <n v="23832"/>
    <n v="167.99999999999997"/>
    <s v="35 mns"/>
    <x v="0"/>
    <n v="4"/>
    <x v="3"/>
  </r>
  <r>
    <d v="2023-04-09T00:00:00"/>
    <x v="0"/>
    <x v="0"/>
    <n v="2"/>
    <x v="0"/>
    <n v="33000"/>
    <n v="18000"/>
    <n v="66000"/>
    <n v="36000"/>
    <n v="29790"/>
    <n v="209.99999999999997"/>
    <s v="11 mns"/>
    <x v="0"/>
    <n v="4"/>
    <x v="3"/>
  </r>
  <r>
    <d v="2023-04-09T00:00:00"/>
    <x v="0"/>
    <x v="0"/>
    <n v="2"/>
    <x v="1"/>
    <n v="60000"/>
    <n v="31000"/>
    <n v="120000"/>
    <n v="62000"/>
    <n v="57594"/>
    <n v="405.99999999999994"/>
    <s v="11 mns"/>
    <x v="3"/>
    <n v="4"/>
    <x v="3"/>
  </r>
  <r>
    <d v="2023-04-09T00:00:00"/>
    <x v="0"/>
    <x v="0"/>
    <n v="2"/>
    <x v="2"/>
    <n v="89000"/>
    <n v="65000"/>
    <n v="178000"/>
    <n v="130000"/>
    <n v="47664"/>
    <n v="335.99999999999994"/>
    <s v="11 mns"/>
    <x v="3"/>
    <n v="4"/>
    <x v="3"/>
  </r>
  <r>
    <d v="2023-04-09T00:00:00"/>
    <x v="1"/>
    <x v="1"/>
    <n v="2"/>
    <x v="0"/>
    <n v="33000"/>
    <n v="18000"/>
    <n v="66000"/>
    <n v="36000"/>
    <n v="29790"/>
    <n v="209.99999999999997"/>
    <s v="58 mns"/>
    <x v="0"/>
    <n v="4"/>
    <x v="3"/>
  </r>
  <r>
    <d v="2023-04-09T00:00:00"/>
    <x v="2"/>
    <x v="2"/>
    <n v="2"/>
    <x v="0"/>
    <n v="33000"/>
    <n v="18000"/>
    <n v="66000"/>
    <n v="36000"/>
    <n v="29790"/>
    <n v="209.99999999999997"/>
    <s v="30 mns"/>
    <x v="3"/>
    <n v="4"/>
    <x v="3"/>
  </r>
  <r>
    <d v="2023-04-09T00:00:00"/>
    <x v="2"/>
    <x v="2"/>
    <n v="2"/>
    <x v="1"/>
    <n v="60000"/>
    <n v="31000"/>
    <n v="120000"/>
    <n v="62000"/>
    <n v="57594"/>
    <n v="405.99999999999994"/>
    <s v="30 mns"/>
    <x v="3"/>
    <n v="4"/>
    <x v="3"/>
  </r>
  <r>
    <d v="2023-04-09T00:00:00"/>
    <x v="3"/>
    <x v="3"/>
    <n v="2"/>
    <x v="0"/>
    <n v="33000"/>
    <n v="18000"/>
    <n v="66000"/>
    <n v="36000"/>
    <n v="29790"/>
    <n v="209.99999999999997"/>
    <s v="35 mns"/>
    <x v="3"/>
    <n v="4"/>
    <x v="3"/>
  </r>
  <r>
    <d v="2023-04-09T00:00:00"/>
    <x v="3"/>
    <x v="3"/>
    <n v="2"/>
    <x v="1"/>
    <n v="60000"/>
    <n v="31000"/>
    <n v="120000"/>
    <n v="62000"/>
    <n v="57594"/>
    <n v="405.99999999999994"/>
    <s v="35 mns"/>
    <x v="1"/>
    <n v="4"/>
    <x v="3"/>
  </r>
  <r>
    <d v="2023-04-09T00:00:00"/>
    <x v="3"/>
    <x v="3"/>
    <n v="2"/>
    <x v="2"/>
    <n v="89000"/>
    <n v="65000"/>
    <n v="178000"/>
    <n v="130000"/>
    <n v="47664"/>
    <n v="335.99999999999994"/>
    <s v="35 mns"/>
    <x v="1"/>
    <n v="4"/>
    <x v="3"/>
  </r>
  <r>
    <d v="2023-04-10T00:00:00"/>
    <x v="0"/>
    <x v="0"/>
    <n v="1"/>
    <x v="0"/>
    <n v="33000"/>
    <n v="18000"/>
    <n v="33000"/>
    <n v="18000"/>
    <n v="14895"/>
    <n v="104.99999999999999"/>
    <s v="11 mns"/>
    <x v="1"/>
    <n v="4"/>
    <x v="3"/>
  </r>
  <r>
    <d v="2023-04-10T00:00:00"/>
    <x v="0"/>
    <x v="0"/>
    <n v="1"/>
    <x v="1"/>
    <n v="60000"/>
    <n v="31000"/>
    <n v="60000"/>
    <n v="31000"/>
    <n v="28797"/>
    <n v="202.99999999999997"/>
    <s v="11 mns"/>
    <x v="2"/>
    <n v="4"/>
    <x v="3"/>
  </r>
  <r>
    <d v="2023-04-10T00:00:00"/>
    <x v="0"/>
    <x v="0"/>
    <n v="1"/>
    <x v="2"/>
    <n v="89000"/>
    <n v="65000"/>
    <n v="89000"/>
    <n v="65000"/>
    <n v="23832"/>
    <n v="167.99999999999997"/>
    <s v="11 mns"/>
    <x v="0"/>
    <n v="4"/>
    <x v="3"/>
  </r>
  <r>
    <d v="2023-04-10T00:00:00"/>
    <x v="1"/>
    <x v="1"/>
    <n v="1"/>
    <x v="0"/>
    <n v="33000"/>
    <n v="18000"/>
    <n v="33000"/>
    <n v="18000"/>
    <n v="14895"/>
    <n v="104.99999999999999"/>
    <s v="58 mns"/>
    <x v="1"/>
    <n v="4"/>
    <x v="3"/>
  </r>
  <r>
    <d v="2023-04-10T00:00:00"/>
    <x v="2"/>
    <x v="2"/>
    <n v="1"/>
    <x v="0"/>
    <n v="33000"/>
    <n v="18000"/>
    <n v="33000"/>
    <n v="18000"/>
    <n v="14895"/>
    <n v="104.99999999999999"/>
    <s v="30 mns"/>
    <x v="2"/>
    <n v="4"/>
    <x v="3"/>
  </r>
  <r>
    <d v="2023-04-10T00:00:00"/>
    <x v="2"/>
    <x v="2"/>
    <n v="1"/>
    <x v="1"/>
    <n v="60000"/>
    <n v="31000"/>
    <n v="60000"/>
    <n v="31000"/>
    <n v="28797"/>
    <n v="202.99999999999997"/>
    <s v="30 mns"/>
    <x v="3"/>
    <n v="4"/>
    <x v="3"/>
  </r>
  <r>
    <d v="2023-04-10T00:00:00"/>
    <x v="3"/>
    <x v="3"/>
    <n v="1"/>
    <x v="0"/>
    <n v="33000"/>
    <n v="18000"/>
    <n v="33000"/>
    <n v="18000"/>
    <n v="14895"/>
    <n v="104.99999999999999"/>
    <s v="35 mns"/>
    <x v="1"/>
    <n v="4"/>
    <x v="3"/>
  </r>
  <r>
    <d v="2023-04-10T00:00:00"/>
    <x v="3"/>
    <x v="3"/>
    <n v="1"/>
    <x v="1"/>
    <n v="60000"/>
    <n v="31000"/>
    <n v="60000"/>
    <n v="31000"/>
    <n v="28797"/>
    <n v="202.99999999999997"/>
    <s v="35 mns"/>
    <x v="1"/>
    <n v="4"/>
    <x v="3"/>
  </r>
  <r>
    <d v="2023-04-10T00:00:00"/>
    <x v="3"/>
    <x v="3"/>
    <n v="1"/>
    <x v="2"/>
    <n v="89000"/>
    <n v="65000"/>
    <n v="89000"/>
    <n v="65000"/>
    <n v="23832"/>
    <n v="167.99999999999997"/>
    <s v="35 mns"/>
    <x v="0"/>
    <n v="4"/>
    <x v="3"/>
  </r>
  <r>
    <d v="2023-04-11T00:00:00"/>
    <x v="0"/>
    <x v="0"/>
    <n v="1"/>
    <x v="0"/>
    <n v="33000"/>
    <n v="18000"/>
    <n v="33000"/>
    <n v="18000"/>
    <n v="14895"/>
    <n v="104.99999999999999"/>
    <s v="11 mns"/>
    <x v="0"/>
    <n v="4"/>
    <x v="3"/>
  </r>
  <r>
    <d v="2023-04-11T00:00:00"/>
    <x v="0"/>
    <x v="0"/>
    <n v="1"/>
    <x v="1"/>
    <n v="60000"/>
    <n v="31000"/>
    <n v="60000"/>
    <n v="31000"/>
    <n v="28797"/>
    <n v="202.99999999999997"/>
    <s v="11 mns"/>
    <x v="3"/>
    <n v="4"/>
    <x v="3"/>
  </r>
  <r>
    <d v="2023-04-11T00:00:00"/>
    <x v="0"/>
    <x v="0"/>
    <n v="1"/>
    <x v="2"/>
    <n v="89000"/>
    <n v="65000"/>
    <n v="89000"/>
    <n v="65000"/>
    <n v="23832"/>
    <n v="167.99999999999997"/>
    <s v="11 mns"/>
    <x v="2"/>
    <n v="4"/>
    <x v="3"/>
  </r>
  <r>
    <d v="2023-04-11T00:00:00"/>
    <x v="1"/>
    <x v="1"/>
    <n v="1"/>
    <x v="0"/>
    <n v="33000"/>
    <n v="18000"/>
    <n v="33000"/>
    <n v="18000"/>
    <n v="14895"/>
    <n v="104.99999999999999"/>
    <s v="58 mns"/>
    <x v="3"/>
    <n v="4"/>
    <x v="3"/>
  </r>
  <r>
    <d v="2023-04-11T00:00:00"/>
    <x v="2"/>
    <x v="2"/>
    <n v="1"/>
    <x v="0"/>
    <n v="33000"/>
    <n v="18000"/>
    <n v="33000"/>
    <n v="18000"/>
    <n v="14895"/>
    <n v="104.99999999999999"/>
    <s v="30 mns"/>
    <x v="3"/>
    <n v="4"/>
    <x v="3"/>
  </r>
  <r>
    <d v="2023-04-11T00:00:00"/>
    <x v="2"/>
    <x v="2"/>
    <n v="1"/>
    <x v="1"/>
    <n v="60000"/>
    <n v="31000"/>
    <n v="60000"/>
    <n v="31000"/>
    <n v="28797"/>
    <n v="202.99999999999997"/>
    <s v="30 mns"/>
    <x v="2"/>
    <n v="4"/>
    <x v="3"/>
  </r>
  <r>
    <d v="2023-04-11T00:00:00"/>
    <x v="3"/>
    <x v="3"/>
    <n v="1"/>
    <x v="0"/>
    <n v="33000"/>
    <n v="18000"/>
    <n v="33000"/>
    <n v="18000"/>
    <n v="14895"/>
    <n v="104.99999999999999"/>
    <s v="35 mns"/>
    <x v="3"/>
    <n v="4"/>
    <x v="3"/>
  </r>
  <r>
    <d v="2023-04-11T00:00:00"/>
    <x v="3"/>
    <x v="3"/>
    <n v="1"/>
    <x v="1"/>
    <n v="60000"/>
    <n v="31000"/>
    <n v="60000"/>
    <n v="31000"/>
    <n v="28797"/>
    <n v="202.99999999999997"/>
    <s v="35 mns"/>
    <x v="0"/>
    <n v="4"/>
    <x v="3"/>
  </r>
  <r>
    <d v="2023-04-11T00:00:00"/>
    <x v="3"/>
    <x v="3"/>
    <n v="1"/>
    <x v="2"/>
    <n v="89000"/>
    <n v="65000"/>
    <n v="89000"/>
    <n v="65000"/>
    <n v="23832"/>
    <n v="167.99999999999997"/>
    <s v="35 mns"/>
    <x v="3"/>
    <n v="4"/>
    <x v="3"/>
  </r>
  <r>
    <d v="2023-04-12T00:00:00"/>
    <x v="0"/>
    <x v="0"/>
    <n v="1"/>
    <x v="0"/>
    <n v="33000"/>
    <n v="18000"/>
    <n v="33000"/>
    <n v="18000"/>
    <n v="14895"/>
    <n v="104.99999999999999"/>
    <s v="11 mns"/>
    <x v="0"/>
    <n v="4"/>
    <x v="3"/>
  </r>
  <r>
    <d v="2023-04-12T00:00:00"/>
    <x v="0"/>
    <x v="0"/>
    <n v="1"/>
    <x v="1"/>
    <n v="60000"/>
    <n v="31000"/>
    <n v="60000"/>
    <n v="31000"/>
    <n v="28797"/>
    <n v="202.99999999999997"/>
    <s v="11 mns"/>
    <x v="3"/>
    <n v="4"/>
    <x v="3"/>
  </r>
  <r>
    <d v="2023-04-12T00:00:00"/>
    <x v="0"/>
    <x v="0"/>
    <n v="1"/>
    <x v="2"/>
    <n v="89000"/>
    <n v="65000"/>
    <n v="89000"/>
    <n v="65000"/>
    <n v="23832"/>
    <n v="167.99999999999997"/>
    <s v="11 mns"/>
    <x v="3"/>
    <n v="4"/>
    <x v="3"/>
  </r>
  <r>
    <d v="2023-04-12T00:00:00"/>
    <x v="1"/>
    <x v="1"/>
    <n v="1"/>
    <x v="0"/>
    <n v="33000"/>
    <n v="18000"/>
    <n v="33000"/>
    <n v="18000"/>
    <n v="14895"/>
    <n v="104.99999999999999"/>
    <s v="58 mns"/>
    <x v="1"/>
    <n v="4"/>
    <x v="3"/>
  </r>
  <r>
    <d v="2023-04-12T00:00:00"/>
    <x v="2"/>
    <x v="2"/>
    <n v="1"/>
    <x v="0"/>
    <n v="33000"/>
    <n v="18000"/>
    <n v="33000"/>
    <n v="18000"/>
    <n v="14895"/>
    <n v="104.99999999999999"/>
    <s v="30 mns"/>
    <x v="3"/>
    <n v="4"/>
    <x v="3"/>
  </r>
  <r>
    <d v="2023-04-12T00:00:00"/>
    <x v="2"/>
    <x v="2"/>
    <n v="1"/>
    <x v="1"/>
    <n v="60000"/>
    <n v="31000"/>
    <n v="60000"/>
    <n v="31000"/>
    <n v="28797"/>
    <n v="202.99999999999997"/>
    <s v="30 mns"/>
    <x v="1"/>
    <n v="4"/>
    <x v="3"/>
  </r>
  <r>
    <d v="2023-04-12T00:00:00"/>
    <x v="3"/>
    <x v="3"/>
    <n v="1"/>
    <x v="0"/>
    <n v="33000"/>
    <n v="18000"/>
    <n v="33000"/>
    <n v="18000"/>
    <n v="14895"/>
    <n v="104.99999999999999"/>
    <s v="35 mns"/>
    <x v="3"/>
    <n v="4"/>
    <x v="3"/>
  </r>
  <r>
    <d v="2023-04-12T00:00:00"/>
    <x v="3"/>
    <x v="3"/>
    <n v="1"/>
    <x v="1"/>
    <n v="60000"/>
    <n v="31000"/>
    <n v="60000"/>
    <n v="31000"/>
    <n v="28797"/>
    <n v="202.99999999999997"/>
    <s v="35 mns"/>
    <x v="3"/>
    <n v="4"/>
    <x v="3"/>
  </r>
  <r>
    <d v="2023-04-12T00:00:00"/>
    <x v="3"/>
    <x v="3"/>
    <n v="1"/>
    <x v="2"/>
    <n v="89000"/>
    <n v="65000"/>
    <n v="89000"/>
    <n v="65000"/>
    <n v="23832"/>
    <n v="167.99999999999997"/>
    <s v="35 mns"/>
    <x v="0"/>
    <n v="4"/>
    <x v="3"/>
  </r>
  <r>
    <d v="2023-04-13T00:00:00"/>
    <x v="0"/>
    <x v="0"/>
    <n v="2"/>
    <x v="0"/>
    <n v="33000"/>
    <n v="18000"/>
    <n v="66000"/>
    <n v="36000"/>
    <n v="29790"/>
    <n v="209.99999999999997"/>
    <s v="11 mns"/>
    <x v="3"/>
    <n v="4"/>
    <x v="3"/>
  </r>
  <r>
    <d v="2023-04-13T00:00:00"/>
    <x v="0"/>
    <x v="0"/>
    <n v="2"/>
    <x v="1"/>
    <n v="60000"/>
    <n v="31000"/>
    <n v="120000"/>
    <n v="62000"/>
    <n v="57594"/>
    <n v="405.99999999999994"/>
    <s v="11 mns"/>
    <x v="0"/>
    <n v="4"/>
    <x v="3"/>
  </r>
  <r>
    <d v="2023-04-13T00:00:00"/>
    <x v="0"/>
    <x v="0"/>
    <n v="2"/>
    <x v="2"/>
    <n v="89000"/>
    <n v="65000"/>
    <n v="178000"/>
    <n v="130000"/>
    <n v="47664"/>
    <n v="335.99999999999994"/>
    <s v="11 mns"/>
    <x v="3"/>
    <n v="4"/>
    <x v="3"/>
  </r>
  <r>
    <d v="2023-04-13T00:00:00"/>
    <x v="1"/>
    <x v="1"/>
    <n v="2"/>
    <x v="0"/>
    <n v="33000"/>
    <n v="18000"/>
    <n v="66000"/>
    <n v="36000"/>
    <n v="29790"/>
    <n v="209.99999999999997"/>
    <s v="58 mns"/>
    <x v="3"/>
    <n v="4"/>
    <x v="3"/>
  </r>
  <r>
    <d v="2023-04-13T00:00:00"/>
    <x v="2"/>
    <x v="2"/>
    <n v="2"/>
    <x v="0"/>
    <n v="33000"/>
    <n v="18000"/>
    <n v="66000"/>
    <n v="36000"/>
    <n v="29790"/>
    <n v="209.99999999999997"/>
    <s v="30 mns"/>
    <x v="2"/>
    <n v="4"/>
    <x v="3"/>
  </r>
  <r>
    <d v="2023-04-13T00:00:00"/>
    <x v="2"/>
    <x v="2"/>
    <n v="2"/>
    <x v="1"/>
    <n v="60000"/>
    <n v="31000"/>
    <n v="120000"/>
    <n v="62000"/>
    <n v="57594"/>
    <n v="405.99999999999994"/>
    <s v="30 mns"/>
    <x v="3"/>
    <n v="4"/>
    <x v="3"/>
  </r>
  <r>
    <d v="2023-04-13T00:00:00"/>
    <x v="3"/>
    <x v="3"/>
    <n v="2"/>
    <x v="0"/>
    <n v="33000"/>
    <n v="18000"/>
    <n v="66000"/>
    <n v="36000"/>
    <n v="29790"/>
    <n v="209.99999999999997"/>
    <s v="35 mns"/>
    <x v="3"/>
    <n v="4"/>
    <x v="3"/>
  </r>
  <r>
    <d v="2023-04-13T00:00:00"/>
    <x v="3"/>
    <x v="3"/>
    <n v="2"/>
    <x v="1"/>
    <n v="60000"/>
    <n v="31000"/>
    <n v="120000"/>
    <n v="62000"/>
    <n v="57594"/>
    <n v="405.99999999999994"/>
    <s v="35 mns"/>
    <x v="1"/>
    <n v="4"/>
    <x v="3"/>
  </r>
  <r>
    <d v="2023-04-13T00:00:00"/>
    <x v="3"/>
    <x v="3"/>
    <n v="2"/>
    <x v="2"/>
    <n v="89000"/>
    <n v="65000"/>
    <n v="178000"/>
    <n v="130000"/>
    <n v="47664"/>
    <n v="335.99999999999994"/>
    <s v="35 mns"/>
    <x v="3"/>
    <n v="4"/>
    <x v="3"/>
  </r>
  <r>
    <d v="2023-04-14T00:00:00"/>
    <x v="0"/>
    <x v="0"/>
    <n v="1"/>
    <x v="0"/>
    <n v="33000"/>
    <n v="18000"/>
    <n v="33000"/>
    <n v="18000"/>
    <n v="14895"/>
    <n v="104.99999999999999"/>
    <s v="11 mns"/>
    <x v="0"/>
    <n v="4"/>
    <x v="3"/>
  </r>
  <r>
    <d v="2023-04-14T00:00:00"/>
    <x v="0"/>
    <x v="0"/>
    <n v="1"/>
    <x v="1"/>
    <n v="60000"/>
    <n v="31000"/>
    <n v="60000"/>
    <n v="31000"/>
    <n v="28797"/>
    <n v="202.99999999999997"/>
    <s v="11 mns"/>
    <x v="1"/>
    <n v="4"/>
    <x v="3"/>
  </r>
  <r>
    <d v="2023-04-14T00:00:00"/>
    <x v="0"/>
    <x v="0"/>
    <n v="1"/>
    <x v="2"/>
    <n v="89000"/>
    <n v="65000"/>
    <n v="89000"/>
    <n v="65000"/>
    <n v="23832"/>
    <n v="167.99999999999997"/>
    <s v="11 mns"/>
    <x v="3"/>
    <n v="4"/>
    <x v="3"/>
  </r>
  <r>
    <d v="2023-04-14T00:00:00"/>
    <x v="1"/>
    <x v="1"/>
    <n v="1"/>
    <x v="0"/>
    <n v="33000"/>
    <n v="18000"/>
    <n v="33000"/>
    <n v="18000"/>
    <n v="14895"/>
    <n v="104.99999999999999"/>
    <s v="58 mns"/>
    <x v="1"/>
    <n v="4"/>
    <x v="3"/>
  </r>
  <r>
    <d v="2023-04-14T00:00:00"/>
    <x v="2"/>
    <x v="2"/>
    <n v="1"/>
    <x v="0"/>
    <n v="33000"/>
    <n v="18000"/>
    <n v="33000"/>
    <n v="18000"/>
    <n v="14895"/>
    <n v="104.99999999999999"/>
    <s v="30 mns"/>
    <x v="3"/>
    <n v="4"/>
    <x v="3"/>
  </r>
  <r>
    <d v="2023-04-14T00:00:00"/>
    <x v="2"/>
    <x v="2"/>
    <n v="1"/>
    <x v="1"/>
    <n v="60000"/>
    <n v="31000"/>
    <n v="60000"/>
    <n v="31000"/>
    <n v="28797"/>
    <n v="202.99999999999997"/>
    <s v="30 mns"/>
    <x v="0"/>
    <n v="4"/>
    <x v="3"/>
  </r>
  <r>
    <d v="2023-04-14T00:00:00"/>
    <x v="3"/>
    <x v="3"/>
    <n v="1"/>
    <x v="0"/>
    <n v="33000"/>
    <n v="18000"/>
    <n v="33000"/>
    <n v="18000"/>
    <n v="14895"/>
    <n v="104.99999999999999"/>
    <s v="35 mns"/>
    <x v="1"/>
    <n v="4"/>
    <x v="3"/>
  </r>
  <r>
    <d v="2023-04-14T00:00:00"/>
    <x v="3"/>
    <x v="3"/>
    <n v="1"/>
    <x v="1"/>
    <n v="60000"/>
    <n v="31000"/>
    <n v="60000"/>
    <n v="31000"/>
    <n v="28797"/>
    <n v="202.99999999999997"/>
    <s v="35 mns"/>
    <x v="3"/>
    <n v="4"/>
    <x v="3"/>
  </r>
  <r>
    <d v="2023-04-14T00:00:00"/>
    <x v="3"/>
    <x v="3"/>
    <n v="1"/>
    <x v="2"/>
    <n v="89000"/>
    <n v="65000"/>
    <n v="89000"/>
    <n v="65000"/>
    <n v="23832"/>
    <n v="167.99999999999997"/>
    <s v="35 mns"/>
    <x v="0"/>
    <n v="4"/>
    <x v="3"/>
  </r>
  <r>
    <d v="2023-04-15T00:00:00"/>
    <x v="0"/>
    <x v="0"/>
    <n v="1"/>
    <x v="0"/>
    <n v="33000"/>
    <n v="18000"/>
    <n v="33000"/>
    <n v="18000"/>
    <n v="14895"/>
    <n v="104.99999999999999"/>
    <s v="11 mns"/>
    <x v="3"/>
    <n v="4"/>
    <x v="3"/>
  </r>
  <r>
    <d v="2023-04-15T00:00:00"/>
    <x v="0"/>
    <x v="0"/>
    <n v="1"/>
    <x v="1"/>
    <n v="60000"/>
    <n v="31000"/>
    <n v="60000"/>
    <n v="31000"/>
    <n v="28797"/>
    <n v="202.99999999999997"/>
    <s v="11 mns"/>
    <x v="3"/>
    <n v="4"/>
    <x v="3"/>
  </r>
  <r>
    <d v="2023-04-15T00:00:00"/>
    <x v="0"/>
    <x v="0"/>
    <n v="1"/>
    <x v="2"/>
    <n v="89000"/>
    <n v="65000"/>
    <n v="89000"/>
    <n v="65000"/>
    <n v="23832"/>
    <n v="167.99999999999997"/>
    <s v="11 mns"/>
    <x v="0"/>
    <n v="4"/>
    <x v="3"/>
  </r>
  <r>
    <d v="2023-04-15T00:00:00"/>
    <x v="1"/>
    <x v="1"/>
    <n v="1"/>
    <x v="0"/>
    <n v="33000"/>
    <n v="18000"/>
    <n v="33000"/>
    <n v="18000"/>
    <n v="14895"/>
    <n v="104.99999999999999"/>
    <s v="58 mns"/>
    <x v="0"/>
    <n v="4"/>
    <x v="3"/>
  </r>
  <r>
    <d v="2023-04-15T00:00:00"/>
    <x v="2"/>
    <x v="2"/>
    <n v="1"/>
    <x v="0"/>
    <n v="33000"/>
    <n v="18000"/>
    <n v="33000"/>
    <n v="18000"/>
    <n v="14895"/>
    <n v="104.99999999999999"/>
    <s v="30 mns"/>
    <x v="1"/>
    <n v="4"/>
    <x v="3"/>
  </r>
  <r>
    <d v="2023-04-15T00:00:00"/>
    <x v="2"/>
    <x v="2"/>
    <n v="1"/>
    <x v="1"/>
    <n v="60000"/>
    <n v="31000"/>
    <n v="60000"/>
    <n v="31000"/>
    <n v="28797"/>
    <n v="202.99999999999997"/>
    <s v="30 mns"/>
    <x v="1"/>
    <n v="4"/>
    <x v="3"/>
  </r>
  <r>
    <d v="2023-04-15T00:00:00"/>
    <x v="3"/>
    <x v="3"/>
    <n v="1"/>
    <x v="0"/>
    <n v="33000"/>
    <n v="18000"/>
    <n v="33000"/>
    <n v="18000"/>
    <n v="14895"/>
    <n v="104.99999999999999"/>
    <s v="35 mns"/>
    <x v="1"/>
    <n v="4"/>
    <x v="3"/>
  </r>
  <r>
    <d v="2023-04-15T00:00:00"/>
    <x v="3"/>
    <x v="3"/>
    <n v="1"/>
    <x v="1"/>
    <n v="60000"/>
    <n v="31000"/>
    <n v="60000"/>
    <n v="31000"/>
    <n v="28797"/>
    <n v="202.99999999999997"/>
    <s v="35 mns"/>
    <x v="1"/>
    <n v="4"/>
    <x v="3"/>
  </r>
  <r>
    <d v="2023-04-15T00:00:00"/>
    <x v="3"/>
    <x v="3"/>
    <n v="1"/>
    <x v="2"/>
    <n v="89000"/>
    <n v="65000"/>
    <n v="89000"/>
    <n v="65000"/>
    <n v="23832"/>
    <n v="167.99999999999997"/>
    <s v="35 mns"/>
    <x v="0"/>
    <n v="4"/>
    <x v="3"/>
  </r>
  <r>
    <d v="2023-04-16T00:00:00"/>
    <x v="0"/>
    <x v="0"/>
    <n v="2"/>
    <x v="0"/>
    <n v="33000"/>
    <n v="18000"/>
    <n v="66000"/>
    <n v="36000"/>
    <n v="29790"/>
    <n v="209.99999999999997"/>
    <s v="11 mns"/>
    <x v="3"/>
    <n v="4"/>
    <x v="3"/>
  </r>
  <r>
    <d v="2023-04-16T00:00:00"/>
    <x v="0"/>
    <x v="0"/>
    <n v="2"/>
    <x v="1"/>
    <n v="60000"/>
    <n v="31000"/>
    <n v="120000"/>
    <n v="62000"/>
    <n v="57594"/>
    <n v="405.99999999999994"/>
    <s v="11 mns"/>
    <x v="3"/>
    <n v="4"/>
    <x v="3"/>
  </r>
  <r>
    <d v="2023-04-16T00:00:00"/>
    <x v="0"/>
    <x v="0"/>
    <n v="2"/>
    <x v="2"/>
    <n v="89000"/>
    <n v="65000"/>
    <n v="178000"/>
    <n v="130000"/>
    <n v="47664"/>
    <n v="335.99999999999994"/>
    <s v="11 mns"/>
    <x v="0"/>
    <n v="4"/>
    <x v="3"/>
  </r>
  <r>
    <d v="2023-04-16T00:00:00"/>
    <x v="1"/>
    <x v="1"/>
    <n v="2"/>
    <x v="0"/>
    <n v="33000"/>
    <n v="18000"/>
    <n v="66000"/>
    <n v="36000"/>
    <n v="29790"/>
    <n v="209.99999999999997"/>
    <s v="58 mns"/>
    <x v="1"/>
    <n v="4"/>
    <x v="3"/>
  </r>
  <r>
    <d v="2023-04-16T00:00:00"/>
    <x v="2"/>
    <x v="2"/>
    <n v="2"/>
    <x v="0"/>
    <n v="33000"/>
    <n v="18000"/>
    <n v="66000"/>
    <n v="36000"/>
    <n v="29790"/>
    <n v="209.99999999999997"/>
    <s v="30 mns"/>
    <x v="3"/>
    <n v="4"/>
    <x v="3"/>
  </r>
  <r>
    <d v="2023-04-16T00:00:00"/>
    <x v="3"/>
    <x v="3"/>
    <n v="2"/>
    <x v="0"/>
    <n v="33000"/>
    <n v="18000"/>
    <n v="66000"/>
    <n v="36000"/>
    <n v="29790"/>
    <n v="209.99999999999997"/>
    <s v="35 mns"/>
    <x v="1"/>
    <n v="4"/>
    <x v="3"/>
  </r>
  <r>
    <d v="2023-04-16T00:00:00"/>
    <x v="3"/>
    <x v="3"/>
    <n v="2"/>
    <x v="1"/>
    <n v="60000"/>
    <n v="31000"/>
    <n v="120000"/>
    <n v="62000"/>
    <n v="57594"/>
    <n v="405.99999999999994"/>
    <s v="35 mns"/>
    <x v="0"/>
    <n v="4"/>
    <x v="3"/>
  </r>
  <r>
    <d v="2023-04-16T00:00:00"/>
    <x v="3"/>
    <x v="3"/>
    <n v="2"/>
    <x v="2"/>
    <n v="89000"/>
    <n v="65000"/>
    <n v="178000"/>
    <n v="130000"/>
    <n v="47664"/>
    <n v="335.99999999999994"/>
    <s v="35 mns"/>
    <x v="0"/>
    <n v="4"/>
    <x v="3"/>
  </r>
  <r>
    <d v="2023-04-17T00:00:00"/>
    <x v="0"/>
    <x v="0"/>
    <n v="1"/>
    <x v="0"/>
    <n v="33000"/>
    <n v="18000"/>
    <n v="33000"/>
    <n v="18000"/>
    <n v="14895"/>
    <n v="104.99999999999999"/>
    <s v="11 mns"/>
    <x v="3"/>
    <n v="4"/>
    <x v="3"/>
  </r>
  <r>
    <d v="2023-04-17T00:00:00"/>
    <x v="0"/>
    <x v="0"/>
    <n v="1"/>
    <x v="1"/>
    <n v="60000"/>
    <n v="31000"/>
    <n v="60000"/>
    <n v="31000"/>
    <n v="28797"/>
    <n v="202.99999999999997"/>
    <s v="11 mns"/>
    <x v="0"/>
    <n v="4"/>
    <x v="3"/>
  </r>
  <r>
    <d v="2023-04-17T00:00:00"/>
    <x v="0"/>
    <x v="0"/>
    <n v="1"/>
    <x v="2"/>
    <n v="89000"/>
    <n v="65000"/>
    <n v="89000"/>
    <n v="65000"/>
    <n v="23832"/>
    <n v="167.99999999999997"/>
    <s v="11 mns"/>
    <x v="1"/>
    <n v="4"/>
    <x v="3"/>
  </r>
  <r>
    <d v="2023-04-17T00:00:00"/>
    <x v="1"/>
    <x v="1"/>
    <n v="1"/>
    <x v="0"/>
    <n v="33000"/>
    <n v="18000"/>
    <n v="33000"/>
    <n v="18000"/>
    <n v="14895"/>
    <n v="104.99999999999999"/>
    <s v="58 mns"/>
    <x v="0"/>
    <n v="4"/>
    <x v="3"/>
  </r>
  <r>
    <d v="2023-04-17T00:00:00"/>
    <x v="2"/>
    <x v="2"/>
    <n v="1"/>
    <x v="0"/>
    <n v="33000"/>
    <n v="18000"/>
    <n v="33000"/>
    <n v="18000"/>
    <n v="14895"/>
    <n v="104.99999999999999"/>
    <s v="30 mns"/>
    <x v="1"/>
    <n v="4"/>
    <x v="3"/>
  </r>
  <r>
    <d v="2023-04-17T00:00:00"/>
    <x v="3"/>
    <x v="3"/>
    <n v="1"/>
    <x v="0"/>
    <n v="33000"/>
    <n v="18000"/>
    <n v="33000"/>
    <n v="18000"/>
    <n v="14895"/>
    <n v="104.99999999999999"/>
    <s v="35 mns"/>
    <x v="3"/>
    <n v="4"/>
    <x v="3"/>
  </r>
  <r>
    <d v="2023-04-17T00:00:00"/>
    <x v="3"/>
    <x v="3"/>
    <n v="1"/>
    <x v="1"/>
    <n v="60000"/>
    <n v="31000"/>
    <n v="60000"/>
    <n v="31000"/>
    <n v="28797"/>
    <n v="202.99999999999997"/>
    <s v="35 mns"/>
    <x v="3"/>
    <n v="4"/>
    <x v="3"/>
  </r>
  <r>
    <d v="2023-04-17T00:00:00"/>
    <x v="3"/>
    <x v="3"/>
    <n v="1"/>
    <x v="2"/>
    <n v="89000"/>
    <n v="65000"/>
    <n v="89000"/>
    <n v="65000"/>
    <n v="23832"/>
    <n v="167.99999999999997"/>
    <s v="35 mns"/>
    <x v="1"/>
    <n v="4"/>
    <x v="3"/>
  </r>
  <r>
    <d v="2023-04-18T00:00:00"/>
    <x v="0"/>
    <x v="0"/>
    <n v="1"/>
    <x v="0"/>
    <n v="33000"/>
    <n v="18000"/>
    <n v="33000"/>
    <n v="18000"/>
    <n v="14895"/>
    <n v="104.99999999999999"/>
    <s v="11 mns"/>
    <x v="0"/>
    <n v="4"/>
    <x v="3"/>
  </r>
  <r>
    <d v="2023-04-18T00:00:00"/>
    <x v="0"/>
    <x v="0"/>
    <n v="1"/>
    <x v="1"/>
    <n v="60000"/>
    <n v="31000"/>
    <n v="60000"/>
    <n v="31000"/>
    <n v="28797"/>
    <n v="202.99999999999997"/>
    <s v="11 mns"/>
    <x v="1"/>
    <n v="4"/>
    <x v="3"/>
  </r>
  <r>
    <d v="2023-04-18T00:00:00"/>
    <x v="0"/>
    <x v="0"/>
    <n v="1"/>
    <x v="2"/>
    <n v="89000"/>
    <n v="65000"/>
    <n v="89000"/>
    <n v="65000"/>
    <n v="23832"/>
    <n v="167.99999999999997"/>
    <s v="11 mns"/>
    <x v="3"/>
    <n v="4"/>
    <x v="3"/>
  </r>
  <r>
    <d v="2023-04-18T00:00:00"/>
    <x v="1"/>
    <x v="1"/>
    <n v="1"/>
    <x v="0"/>
    <n v="33000"/>
    <n v="18000"/>
    <n v="33000"/>
    <n v="18000"/>
    <n v="14895"/>
    <n v="104.99999999999999"/>
    <s v="58 mns"/>
    <x v="0"/>
    <n v="4"/>
    <x v="3"/>
  </r>
  <r>
    <d v="2023-04-18T00:00:00"/>
    <x v="2"/>
    <x v="2"/>
    <n v="1"/>
    <x v="0"/>
    <n v="33000"/>
    <n v="18000"/>
    <n v="33000"/>
    <n v="18000"/>
    <n v="14895"/>
    <n v="104.99999999999999"/>
    <s v="30 mns"/>
    <x v="0"/>
    <n v="4"/>
    <x v="3"/>
  </r>
  <r>
    <d v="2023-04-18T00:00:00"/>
    <x v="3"/>
    <x v="3"/>
    <n v="1"/>
    <x v="0"/>
    <n v="33000"/>
    <n v="18000"/>
    <n v="33000"/>
    <n v="18000"/>
    <n v="14895"/>
    <n v="104.99999999999999"/>
    <s v="35 mns"/>
    <x v="1"/>
    <n v="4"/>
    <x v="3"/>
  </r>
  <r>
    <d v="2023-04-18T00:00:00"/>
    <x v="3"/>
    <x v="3"/>
    <n v="1"/>
    <x v="1"/>
    <n v="60000"/>
    <n v="31000"/>
    <n v="60000"/>
    <n v="31000"/>
    <n v="28797"/>
    <n v="202.99999999999997"/>
    <s v="35 mns"/>
    <x v="1"/>
    <n v="4"/>
    <x v="3"/>
  </r>
  <r>
    <d v="2023-04-18T00:00:00"/>
    <x v="3"/>
    <x v="3"/>
    <n v="1"/>
    <x v="2"/>
    <n v="89000"/>
    <n v="65000"/>
    <n v="89000"/>
    <n v="65000"/>
    <n v="23832"/>
    <n v="167.99999999999997"/>
    <s v="35 mns"/>
    <x v="1"/>
    <n v="4"/>
    <x v="3"/>
  </r>
  <r>
    <d v="2023-04-19T00:00:00"/>
    <x v="0"/>
    <x v="0"/>
    <n v="1"/>
    <x v="0"/>
    <n v="33000"/>
    <n v="18000"/>
    <n v="33000"/>
    <n v="18000"/>
    <n v="14895"/>
    <n v="104.99999999999999"/>
    <s v="11 mns"/>
    <x v="1"/>
    <n v="4"/>
    <x v="3"/>
  </r>
  <r>
    <d v="2023-04-19T00:00:00"/>
    <x v="0"/>
    <x v="0"/>
    <n v="1"/>
    <x v="1"/>
    <n v="60000"/>
    <n v="31000"/>
    <n v="60000"/>
    <n v="31000"/>
    <n v="28797"/>
    <n v="202.99999999999997"/>
    <s v="11 mns"/>
    <x v="3"/>
    <n v="4"/>
    <x v="3"/>
  </r>
  <r>
    <d v="2023-04-19T00:00:00"/>
    <x v="0"/>
    <x v="0"/>
    <n v="1"/>
    <x v="2"/>
    <n v="89000"/>
    <n v="65000"/>
    <n v="89000"/>
    <n v="65000"/>
    <n v="23832"/>
    <n v="167.99999999999997"/>
    <s v="11 mns"/>
    <x v="0"/>
    <n v="4"/>
    <x v="3"/>
  </r>
  <r>
    <d v="2023-04-19T00:00:00"/>
    <x v="1"/>
    <x v="1"/>
    <n v="1"/>
    <x v="0"/>
    <n v="33000"/>
    <n v="18000"/>
    <n v="33000"/>
    <n v="18000"/>
    <n v="14895"/>
    <n v="104.99999999999999"/>
    <s v="58 mns"/>
    <x v="0"/>
    <n v="4"/>
    <x v="3"/>
  </r>
  <r>
    <d v="2023-04-19T00:00:00"/>
    <x v="2"/>
    <x v="2"/>
    <n v="1"/>
    <x v="0"/>
    <n v="33000"/>
    <n v="18000"/>
    <n v="33000"/>
    <n v="18000"/>
    <n v="14895"/>
    <n v="104.99999999999999"/>
    <s v="30 mns"/>
    <x v="2"/>
    <n v="4"/>
    <x v="3"/>
  </r>
  <r>
    <d v="2023-04-19T00:00:00"/>
    <x v="3"/>
    <x v="3"/>
    <n v="1"/>
    <x v="0"/>
    <n v="33000"/>
    <n v="18000"/>
    <n v="33000"/>
    <n v="18000"/>
    <n v="14895"/>
    <n v="104.99999999999999"/>
    <s v="35 mns"/>
    <x v="3"/>
    <n v="4"/>
    <x v="3"/>
  </r>
  <r>
    <d v="2023-04-19T00:00:00"/>
    <x v="3"/>
    <x v="3"/>
    <n v="1"/>
    <x v="1"/>
    <n v="60000"/>
    <n v="31000"/>
    <n v="60000"/>
    <n v="31000"/>
    <n v="28797"/>
    <n v="202.99999999999997"/>
    <s v="35 mns"/>
    <x v="3"/>
    <n v="4"/>
    <x v="3"/>
  </r>
  <r>
    <d v="2023-04-19T00:00:00"/>
    <x v="3"/>
    <x v="3"/>
    <n v="1"/>
    <x v="2"/>
    <n v="89000"/>
    <n v="65000"/>
    <n v="89000"/>
    <n v="65000"/>
    <n v="23832"/>
    <n v="167.99999999999997"/>
    <s v="35 mns"/>
    <x v="0"/>
    <n v="4"/>
    <x v="3"/>
  </r>
  <r>
    <d v="2023-04-20T00:00:00"/>
    <x v="0"/>
    <x v="0"/>
    <n v="1"/>
    <x v="0"/>
    <n v="33000"/>
    <n v="18000"/>
    <n v="33000"/>
    <n v="18000"/>
    <n v="14895"/>
    <n v="104.99999999999999"/>
    <s v="11 mns"/>
    <x v="3"/>
    <n v="4"/>
    <x v="3"/>
  </r>
  <r>
    <d v="2023-04-20T00:00:00"/>
    <x v="0"/>
    <x v="0"/>
    <n v="1"/>
    <x v="1"/>
    <n v="60000"/>
    <n v="31000"/>
    <n v="60000"/>
    <n v="31000"/>
    <n v="28797"/>
    <n v="202.99999999999997"/>
    <s v="11 mns"/>
    <x v="1"/>
    <n v="4"/>
    <x v="3"/>
  </r>
  <r>
    <d v="2023-04-20T00:00:00"/>
    <x v="0"/>
    <x v="0"/>
    <n v="1"/>
    <x v="2"/>
    <n v="89000"/>
    <n v="65000"/>
    <n v="89000"/>
    <n v="65000"/>
    <n v="23832"/>
    <n v="167.99999999999997"/>
    <s v="11 mns"/>
    <x v="0"/>
    <n v="4"/>
    <x v="3"/>
  </r>
  <r>
    <d v="2023-04-20T00:00:00"/>
    <x v="1"/>
    <x v="1"/>
    <n v="1"/>
    <x v="0"/>
    <n v="33000"/>
    <n v="18000"/>
    <n v="33000"/>
    <n v="18000"/>
    <n v="14895"/>
    <n v="104.99999999999999"/>
    <s v="58 mns"/>
    <x v="3"/>
    <n v="4"/>
    <x v="3"/>
  </r>
  <r>
    <d v="2023-04-20T00:00:00"/>
    <x v="2"/>
    <x v="2"/>
    <n v="1"/>
    <x v="0"/>
    <n v="33000"/>
    <n v="18000"/>
    <n v="33000"/>
    <n v="18000"/>
    <n v="14895"/>
    <n v="104.99999999999999"/>
    <s v="30 mns"/>
    <x v="3"/>
    <n v="4"/>
    <x v="3"/>
  </r>
  <r>
    <d v="2023-04-20T00:00:00"/>
    <x v="3"/>
    <x v="3"/>
    <n v="1"/>
    <x v="0"/>
    <n v="33000"/>
    <n v="18000"/>
    <n v="33000"/>
    <n v="18000"/>
    <n v="14895"/>
    <n v="104.99999999999999"/>
    <s v="35 mns"/>
    <x v="1"/>
    <n v="4"/>
    <x v="3"/>
  </r>
  <r>
    <d v="2023-04-20T00:00:00"/>
    <x v="3"/>
    <x v="3"/>
    <n v="1"/>
    <x v="1"/>
    <n v="60000"/>
    <n v="31000"/>
    <n v="60000"/>
    <n v="31000"/>
    <n v="28797"/>
    <n v="202.99999999999997"/>
    <s v="35 mns"/>
    <x v="0"/>
    <n v="4"/>
    <x v="3"/>
  </r>
  <r>
    <d v="2023-04-20T00:00:00"/>
    <x v="3"/>
    <x v="3"/>
    <n v="1"/>
    <x v="2"/>
    <n v="89000"/>
    <n v="65000"/>
    <n v="89000"/>
    <n v="65000"/>
    <n v="23832"/>
    <n v="167.99999999999997"/>
    <s v="35 mns"/>
    <x v="1"/>
    <n v="4"/>
    <x v="3"/>
  </r>
  <r>
    <d v="2023-04-21T00:00:00"/>
    <x v="0"/>
    <x v="0"/>
    <n v="1"/>
    <x v="0"/>
    <n v="33000"/>
    <n v="18000"/>
    <n v="33000"/>
    <n v="18000"/>
    <n v="14895"/>
    <n v="104.99999999999999"/>
    <s v="11 mns"/>
    <x v="2"/>
    <n v="4"/>
    <x v="3"/>
  </r>
  <r>
    <d v="2023-04-21T00:00:00"/>
    <x v="0"/>
    <x v="0"/>
    <n v="1"/>
    <x v="1"/>
    <n v="60000"/>
    <n v="31000"/>
    <n v="60000"/>
    <n v="31000"/>
    <n v="28797"/>
    <n v="202.99999999999997"/>
    <s v="11 mns"/>
    <x v="1"/>
    <n v="4"/>
    <x v="3"/>
  </r>
  <r>
    <d v="2023-04-21T00:00:00"/>
    <x v="0"/>
    <x v="0"/>
    <n v="1"/>
    <x v="2"/>
    <n v="89000"/>
    <n v="65000"/>
    <n v="89000"/>
    <n v="65000"/>
    <n v="23832"/>
    <n v="167.99999999999997"/>
    <s v="11 mns"/>
    <x v="3"/>
    <n v="4"/>
    <x v="3"/>
  </r>
  <r>
    <d v="2023-04-21T00:00:00"/>
    <x v="1"/>
    <x v="1"/>
    <n v="1"/>
    <x v="0"/>
    <n v="33000"/>
    <n v="18000"/>
    <n v="33000"/>
    <n v="18000"/>
    <n v="14895"/>
    <n v="104.99999999999999"/>
    <s v="58 mns"/>
    <x v="1"/>
    <n v="4"/>
    <x v="3"/>
  </r>
  <r>
    <d v="2023-04-21T00:00:00"/>
    <x v="2"/>
    <x v="2"/>
    <n v="1"/>
    <x v="0"/>
    <n v="33000"/>
    <n v="18000"/>
    <n v="33000"/>
    <n v="18000"/>
    <n v="14895"/>
    <n v="104.99999999999999"/>
    <s v="30 mns"/>
    <x v="1"/>
    <n v="4"/>
    <x v="3"/>
  </r>
  <r>
    <d v="2023-04-21T00:00:00"/>
    <x v="3"/>
    <x v="3"/>
    <n v="1"/>
    <x v="0"/>
    <n v="33000"/>
    <n v="18000"/>
    <n v="33000"/>
    <n v="18000"/>
    <n v="14895"/>
    <n v="104.99999999999999"/>
    <s v="35 mns"/>
    <x v="0"/>
    <n v="4"/>
    <x v="3"/>
  </r>
  <r>
    <d v="2023-04-21T00:00:00"/>
    <x v="3"/>
    <x v="3"/>
    <n v="1"/>
    <x v="1"/>
    <n v="60000"/>
    <n v="31000"/>
    <n v="60000"/>
    <n v="31000"/>
    <n v="28797"/>
    <n v="202.99999999999997"/>
    <s v="35 mns"/>
    <x v="2"/>
    <n v="4"/>
    <x v="3"/>
  </r>
  <r>
    <d v="2023-04-21T00:00:00"/>
    <x v="3"/>
    <x v="3"/>
    <n v="1"/>
    <x v="2"/>
    <n v="89000"/>
    <n v="65000"/>
    <n v="89000"/>
    <n v="65000"/>
    <n v="23832"/>
    <n v="167.99999999999997"/>
    <s v="35 mns"/>
    <x v="3"/>
    <n v="4"/>
    <x v="3"/>
  </r>
  <r>
    <d v="2023-04-22T00:00:00"/>
    <x v="0"/>
    <x v="0"/>
    <n v="1"/>
    <x v="0"/>
    <n v="33000"/>
    <n v="18000"/>
    <n v="33000"/>
    <n v="18000"/>
    <n v="14895"/>
    <n v="104.99999999999999"/>
    <s v="11 mns"/>
    <x v="3"/>
    <n v="4"/>
    <x v="3"/>
  </r>
  <r>
    <d v="2023-04-22T00:00:00"/>
    <x v="0"/>
    <x v="0"/>
    <n v="1"/>
    <x v="1"/>
    <n v="60000"/>
    <n v="31000"/>
    <n v="60000"/>
    <n v="31000"/>
    <n v="28797"/>
    <n v="202.99999999999997"/>
    <s v="11 mns"/>
    <x v="3"/>
    <n v="4"/>
    <x v="3"/>
  </r>
  <r>
    <d v="2023-04-22T00:00:00"/>
    <x v="0"/>
    <x v="0"/>
    <n v="1"/>
    <x v="2"/>
    <n v="89000"/>
    <n v="65000"/>
    <n v="89000"/>
    <n v="65000"/>
    <n v="23832"/>
    <n v="167.99999999999997"/>
    <s v="11 mns"/>
    <x v="1"/>
    <n v="4"/>
    <x v="3"/>
  </r>
  <r>
    <d v="2023-04-22T00:00:00"/>
    <x v="1"/>
    <x v="1"/>
    <n v="1"/>
    <x v="0"/>
    <n v="33000"/>
    <n v="18000"/>
    <n v="33000"/>
    <n v="18000"/>
    <n v="14895"/>
    <n v="104.99999999999999"/>
    <s v="58 mns"/>
    <x v="0"/>
    <n v="4"/>
    <x v="3"/>
  </r>
  <r>
    <d v="2023-04-22T00:00:00"/>
    <x v="2"/>
    <x v="2"/>
    <n v="1"/>
    <x v="0"/>
    <n v="33000"/>
    <n v="18000"/>
    <n v="33000"/>
    <n v="18000"/>
    <n v="14895"/>
    <n v="104.99999999999999"/>
    <s v="30 mns"/>
    <x v="0"/>
    <n v="4"/>
    <x v="3"/>
  </r>
  <r>
    <d v="2023-04-22T00:00:00"/>
    <x v="2"/>
    <x v="2"/>
    <n v="1"/>
    <x v="1"/>
    <n v="60000"/>
    <n v="31000"/>
    <n v="60000"/>
    <n v="31000"/>
    <n v="28797"/>
    <n v="202.99999999999997"/>
    <s v="30 mns"/>
    <x v="3"/>
    <n v="4"/>
    <x v="3"/>
  </r>
  <r>
    <d v="2023-04-22T00:00:00"/>
    <x v="3"/>
    <x v="3"/>
    <n v="1"/>
    <x v="0"/>
    <n v="33000"/>
    <n v="18000"/>
    <n v="33000"/>
    <n v="18000"/>
    <n v="14895"/>
    <n v="104.99999999999999"/>
    <s v="35 mns"/>
    <x v="1"/>
    <n v="4"/>
    <x v="3"/>
  </r>
  <r>
    <d v="2023-04-22T00:00:00"/>
    <x v="3"/>
    <x v="3"/>
    <n v="1"/>
    <x v="1"/>
    <n v="60000"/>
    <n v="31000"/>
    <n v="60000"/>
    <n v="31000"/>
    <n v="28797"/>
    <n v="202.99999999999997"/>
    <s v="35 mns"/>
    <x v="1"/>
    <n v="4"/>
    <x v="3"/>
  </r>
  <r>
    <d v="2023-04-22T00:00:00"/>
    <x v="3"/>
    <x v="3"/>
    <n v="1"/>
    <x v="2"/>
    <n v="89000"/>
    <n v="65000"/>
    <n v="89000"/>
    <n v="65000"/>
    <n v="23832"/>
    <n v="167.99999999999997"/>
    <s v="35 mns"/>
    <x v="1"/>
    <n v="4"/>
    <x v="3"/>
  </r>
  <r>
    <d v="2023-04-23T00:00:00"/>
    <x v="0"/>
    <x v="0"/>
    <n v="1"/>
    <x v="0"/>
    <n v="33000"/>
    <n v="18000"/>
    <n v="33000"/>
    <n v="18000"/>
    <n v="14895"/>
    <n v="104.99999999999999"/>
    <s v="11 mns"/>
    <x v="3"/>
    <n v="4"/>
    <x v="3"/>
  </r>
  <r>
    <d v="2023-04-23T00:00:00"/>
    <x v="0"/>
    <x v="0"/>
    <n v="1"/>
    <x v="1"/>
    <n v="60000"/>
    <n v="31000"/>
    <n v="60000"/>
    <n v="31000"/>
    <n v="28797"/>
    <n v="202.99999999999997"/>
    <s v="11 mns"/>
    <x v="1"/>
    <n v="4"/>
    <x v="3"/>
  </r>
  <r>
    <d v="2023-04-23T00:00:00"/>
    <x v="0"/>
    <x v="0"/>
    <n v="1"/>
    <x v="2"/>
    <n v="89000"/>
    <n v="65000"/>
    <n v="89000"/>
    <n v="65000"/>
    <n v="23832"/>
    <n v="167.99999999999997"/>
    <s v="11 mns"/>
    <x v="0"/>
    <n v="4"/>
    <x v="3"/>
  </r>
  <r>
    <d v="2023-04-23T00:00:00"/>
    <x v="1"/>
    <x v="1"/>
    <n v="1"/>
    <x v="0"/>
    <n v="33000"/>
    <n v="18000"/>
    <n v="33000"/>
    <n v="18000"/>
    <n v="14895"/>
    <n v="104.99999999999999"/>
    <s v="58 mns"/>
    <x v="3"/>
    <n v="4"/>
    <x v="3"/>
  </r>
  <r>
    <d v="2023-04-23T00:00:00"/>
    <x v="2"/>
    <x v="2"/>
    <n v="1"/>
    <x v="0"/>
    <n v="33000"/>
    <n v="18000"/>
    <n v="33000"/>
    <n v="18000"/>
    <n v="14895"/>
    <n v="104.99999999999999"/>
    <s v="30 mns"/>
    <x v="0"/>
    <n v="4"/>
    <x v="3"/>
  </r>
  <r>
    <d v="2023-04-23T00:00:00"/>
    <x v="3"/>
    <x v="3"/>
    <n v="1"/>
    <x v="0"/>
    <n v="33000"/>
    <n v="18000"/>
    <n v="33000"/>
    <n v="18000"/>
    <n v="14895"/>
    <n v="104.99999999999999"/>
    <s v="35 mns"/>
    <x v="1"/>
    <n v="4"/>
    <x v="3"/>
  </r>
  <r>
    <d v="2023-04-23T00:00:00"/>
    <x v="3"/>
    <x v="3"/>
    <n v="1"/>
    <x v="1"/>
    <n v="60000"/>
    <n v="31000"/>
    <n v="60000"/>
    <n v="31000"/>
    <n v="28797"/>
    <n v="202.99999999999997"/>
    <s v="35 mns"/>
    <x v="1"/>
    <n v="4"/>
    <x v="3"/>
  </r>
  <r>
    <d v="2023-04-23T00:00:00"/>
    <x v="3"/>
    <x v="3"/>
    <n v="1"/>
    <x v="2"/>
    <n v="89000"/>
    <n v="65000"/>
    <n v="89000"/>
    <n v="65000"/>
    <n v="23832"/>
    <n v="167.99999999999997"/>
    <s v="35 mns"/>
    <x v="1"/>
    <n v="4"/>
    <x v="3"/>
  </r>
  <r>
    <d v="2023-04-24T00:00:00"/>
    <x v="0"/>
    <x v="0"/>
    <n v="1"/>
    <x v="0"/>
    <n v="33000"/>
    <n v="18000"/>
    <n v="33000"/>
    <n v="18000"/>
    <n v="14895"/>
    <n v="104.99999999999999"/>
    <s v="11 mns"/>
    <x v="3"/>
    <n v="4"/>
    <x v="3"/>
  </r>
  <r>
    <d v="2023-04-24T00:00:00"/>
    <x v="0"/>
    <x v="0"/>
    <n v="1"/>
    <x v="1"/>
    <n v="60000"/>
    <n v="31000"/>
    <n v="60000"/>
    <n v="31000"/>
    <n v="28797"/>
    <n v="202.99999999999997"/>
    <s v="11 mns"/>
    <x v="3"/>
    <n v="4"/>
    <x v="3"/>
  </r>
  <r>
    <d v="2023-04-24T00:00:00"/>
    <x v="0"/>
    <x v="0"/>
    <n v="1"/>
    <x v="2"/>
    <n v="89000"/>
    <n v="65000"/>
    <n v="89000"/>
    <n v="65000"/>
    <n v="23832"/>
    <n v="167.99999999999997"/>
    <s v="11 mns"/>
    <x v="1"/>
    <n v="4"/>
    <x v="3"/>
  </r>
  <r>
    <d v="2023-04-24T00:00:00"/>
    <x v="1"/>
    <x v="1"/>
    <n v="1"/>
    <x v="0"/>
    <n v="33000"/>
    <n v="18000"/>
    <n v="33000"/>
    <n v="18000"/>
    <n v="14895"/>
    <n v="104.99999999999999"/>
    <s v="58 mns"/>
    <x v="1"/>
    <n v="4"/>
    <x v="3"/>
  </r>
  <r>
    <d v="2023-04-24T00:00:00"/>
    <x v="2"/>
    <x v="2"/>
    <n v="1"/>
    <x v="1"/>
    <n v="60000"/>
    <n v="31000"/>
    <n v="60000"/>
    <n v="31000"/>
    <n v="28797"/>
    <n v="202.99999999999997"/>
    <s v="30 mns"/>
    <x v="1"/>
    <n v="4"/>
    <x v="3"/>
  </r>
  <r>
    <d v="2023-04-24T00:00:00"/>
    <x v="2"/>
    <x v="2"/>
    <n v="1"/>
    <x v="2"/>
    <n v="89000"/>
    <n v="65000"/>
    <n v="89000"/>
    <n v="65000"/>
    <n v="23832"/>
    <n v="167.99999999999997"/>
    <s v="30 mns"/>
    <x v="0"/>
    <n v="4"/>
    <x v="3"/>
  </r>
  <r>
    <d v="2023-04-24T00:00:00"/>
    <x v="3"/>
    <x v="3"/>
    <n v="1"/>
    <x v="0"/>
    <n v="33000"/>
    <n v="18000"/>
    <n v="33000"/>
    <n v="18000"/>
    <n v="14895"/>
    <n v="104.99999999999999"/>
    <s v="35 mns"/>
    <x v="3"/>
    <n v="4"/>
    <x v="3"/>
  </r>
  <r>
    <d v="2023-04-24T00:00:00"/>
    <x v="3"/>
    <x v="3"/>
    <n v="1"/>
    <x v="1"/>
    <n v="60000"/>
    <n v="31000"/>
    <n v="60000"/>
    <n v="31000"/>
    <n v="28797"/>
    <n v="202.99999999999997"/>
    <s v="35 mns"/>
    <x v="2"/>
    <n v="4"/>
    <x v="3"/>
  </r>
  <r>
    <d v="2023-04-24T00:00:00"/>
    <x v="3"/>
    <x v="3"/>
    <n v="1"/>
    <x v="2"/>
    <n v="89000"/>
    <n v="65000"/>
    <n v="89000"/>
    <n v="65000"/>
    <n v="23832"/>
    <n v="167.99999999999997"/>
    <s v="35 mns"/>
    <x v="1"/>
    <n v="4"/>
    <x v="3"/>
  </r>
  <r>
    <d v="2023-04-25T00:00:00"/>
    <x v="0"/>
    <x v="0"/>
    <n v="1"/>
    <x v="0"/>
    <n v="33000"/>
    <n v="18000"/>
    <n v="33000"/>
    <n v="18000"/>
    <n v="14895"/>
    <n v="104.99999999999999"/>
    <s v="11 mns"/>
    <x v="1"/>
    <n v="4"/>
    <x v="3"/>
  </r>
  <r>
    <d v="2023-04-25T00:00:00"/>
    <x v="0"/>
    <x v="0"/>
    <n v="1"/>
    <x v="1"/>
    <n v="60000"/>
    <n v="31000"/>
    <n v="60000"/>
    <n v="31000"/>
    <n v="28797"/>
    <n v="202.99999999999997"/>
    <s v="11 mns"/>
    <x v="3"/>
    <n v="4"/>
    <x v="3"/>
  </r>
  <r>
    <d v="2023-04-25T00:00:00"/>
    <x v="0"/>
    <x v="0"/>
    <n v="1"/>
    <x v="2"/>
    <n v="89000"/>
    <n v="65000"/>
    <n v="89000"/>
    <n v="65000"/>
    <n v="23832"/>
    <n v="167.99999999999997"/>
    <s v="11 mns"/>
    <x v="3"/>
    <n v="4"/>
    <x v="3"/>
  </r>
  <r>
    <d v="2023-04-25T00:00:00"/>
    <x v="1"/>
    <x v="1"/>
    <n v="1"/>
    <x v="0"/>
    <n v="33000"/>
    <n v="18000"/>
    <n v="33000"/>
    <n v="18000"/>
    <n v="14895"/>
    <n v="104.99999999999999"/>
    <s v="58 mns"/>
    <x v="1"/>
    <n v="4"/>
    <x v="3"/>
  </r>
  <r>
    <d v="2023-04-25T00:00:00"/>
    <x v="2"/>
    <x v="2"/>
    <n v="1"/>
    <x v="0"/>
    <n v="33000"/>
    <n v="18000"/>
    <n v="33000"/>
    <n v="18000"/>
    <n v="14895"/>
    <n v="104.99999999999999"/>
    <s v="30 mns"/>
    <x v="3"/>
    <n v="4"/>
    <x v="3"/>
  </r>
  <r>
    <d v="2023-04-25T00:00:00"/>
    <x v="2"/>
    <x v="2"/>
    <n v="1"/>
    <x v="1"/>
    <n v="60000"/>
    <n v="31000"/>
    <n v="60000"/>
    <n v="31000"/>
    <n v="28797"/>
    <n v="202.99999999999997"/>
    <s v="30 mns"/>
    <x v="3"/>
    <n v="4"/>
    <x v="3"/>
  </r>
  <r>
    <d v="2023-04-25T00:00:00"/>
    <x v="2"/>
    <x v="2"/>
    <n v="1"/>
    <x v="2"/>
    <n v="89000"/>
    <n v="65000"/>
    <n v="89000"/>
    <n v="65000"/>
    <n v="23832"/>
    <n v="167.99999999999997"/>
    <s v="30 mns"/>
    <x v="1"/>
    <n v="4"/>
    <x v="3"/>
  </r>
  <r>
    <d v="2023-04-25T00:00:00"/>
    <x v="3"/>
    <x v="3"/>
    <n v="1"/>
    <x v="0"/>
    <n v="33000"/>
    <n v="18000"/>
    <n v="33000"/>
    <n v="18000"/>
    <n v="14895"/>
    <n v="104.99999999999999"/>
    <s v="35 mns"/>
    <x v="3"/>
    <n v="4"/>
    <x v="3"/>
  </r>
  <r>
    <d v="2023-04-25T00:00:00"/>
    <x v="3"/>
    <x v="3"/>
    <n v="1"/>
    <x v="1"/>
    <n v="60000"/>
    <n v="31000"/>
    <n v="60000"/>
    <n v="31000"/>
    <n v="28797"/>
    <n v="202.99999999999997"/>
    <s v="35 mns"/>
    <x v="3"/>
    <n v="4"/>
    <x v="3"/>
  </r>
  <r>
    <d v="2023-04-25T00:00:00"/>
    <x v="3"/>
    <x v="3"/>
    <n v="1"/>
    <x v="2"/>
    <n v="89000"/>
    <n v="65000"/>
    <n v="89000"/>
    <n v="65000"/>
    <n v="23832"/>
    <n v="167.99999999999997"/>
    <s v="35 mns"/>
    <x v="1"/>
    <n v="4"/>
    <x v="3"/>
  </r>
  <r>
    <d v="2023-04-26T00:00:00"/>
    <x v="0"/>
    <x v="0"/>
    <n v="1"/>
    <x v="0"/>
    <n v="33000"/>
    <n v="18000"/>
    <n v="33000"/>
    <n v="18000"/>
    <n v="14895"/>
    <n v="104.99999999999999"/>
    <s v="11 mns"/>
    <x v="0"/>
    <n v="4"/>
    <x v="3"/>
  </r>
  <r>
    <d v="2023-04-26T00:00:00"/>
    <x v="0"/>
    <x v="0"/>
    <n v="1"/>
    <x v="1"/>
    <n v="60000"/>
    <n v="31000"/>
    <n v="60000"/>
    <n v="31000"/>
    <n v="28797"/>
    <n v="202.99999999999997"/>
    <s v="11 mns"/>
    <x v="1"/>
    <n v="4"/>
    <x v="3"/>
  </r>
  <r>
    <d v="2023-04-26T00:00:00"/>
    <x v="0"/>
    <x v="0"/>
    <n v="1"/>
    <x v="2"/>
    <n v="89000"/>
    <n v="65000"/>
    <n v="89000"/>
    <n v="65000"/>
    <n v="23832"/>
    <n v="167.99999999999997"/>
    <s v="11 mns"/>
    <x v="3"/>
    <n v="4"/>
    <x v="3"/>
  </r>
  <r>
    <d v="2023-04-26T00:00:00"/>
    <x v="1"/>
    <x v="1"/>
    <n v="1"/>
    <x v="0"/>
    <n v="33000"/>
    <n v="18000"/>
    <n v="33000"/>
    <n v="18000"/>
    <n v="14895"/>
    <n v="104.99999999999999"/>
    <s v="58 mns"/>
    <x v="1"/>
    <n v="4"/>
    <x v="3"/>
  </r>
  <r>
    <d v="2023-04-26T00:00:00"/>
    <x v="2"/>
    <x v="2"/>
    <n v="1"/>
    <x v="1"/>
    <n v="60000"/>
    <n v="31000"/>
    <n v="60000"/>
    <n v="31000"/>
    <n v="28797"/>
    <n v="202.99999999999997"/>
    <s v="30 mns"/>
    <x v="1"/>
    <n v="4"/>
    <x v="3"/>
  </r>
  <r>
    <d v="2023-04-26T00:00:00"/>
    <x v="2"/>
    <x v="2"/>
    <n v="1"/>
    <x v="2"/>
    <n v="89000"/>
    <n v="65000"/>
    <n v="89000"/>
    <n v="65000"/>
    <n v="23832"/>
    <n v="167.99999999999997"/>
    <s v="30 mns"/>
    <x v="1"/>
    <n v="4"/>
    <x v="3"/>
  </r>
  <r>
    <d v="2023-04-26T00:00:00"/>
    <x v="3"/>
    <x v="3"/>
    <n v="1"/>
    <x v="0"/>
    <n v="33000"/>
    <n v="18000"/>
    <n v="33000"/>
    <n v="18000"/>
    <n v="14895"/>
    <n v="104.99999999999999"/>
    <s v="35 mns"/>
    <x v="1"/>
    <n v="4"/>
    <x v="3"/>
  </r>
  <r>
    <d v="2023-04-26T00:00:00"/>
    <x v="3"/>
    <x v="3"/>
    <n v="1"/>
    <x v="1"/>
    <n v="60000"/>
    <n v="31000"/>
    <n v="60000"/>
    <n v="31000"/>
    <n v="28797"/>
    <n v="202.99999999999997"/>
    <s v="35 mns"/>
    <x v="2"/>
    <n v="4"/>
    <x v="3"/>
  </r>
  <r>
    <d v="2023-04-26T00:00:00"/>
    <x v="3"/>
    <x v="3"/>
    <n v="1"/>
    <x v="2"/>
    <n v="89000"/>
    <n v="65000"/>
    <n v="89000"/>
    <n v="65000"/>
    <n v="23832"/>
    <n v="167.99999999999997"/>
    <s v="35 mns"/>
    <x v="1"/>
    <n v="4"/>
    <x v="3"/>
  </r>
  <r>
    <d v="2023-04-27T00:00:00"/>
    <x v="0"/>
    <x v="0"/>
    <n v="1"/>
    <x v="0"/>
    <n v="33000"/>
    <n v="18000"/>
    <n v="33000"/>
    <n v="18000"/>
    <n v="14895"/>
    <n v="104.99999999999999"/>
    <s v="11 mns"/>
    <x v="1"/>
    <n v="4"/>
    <x v="3"/>
  </r>
  <r>
    <d v="2023-04-27T00:00:00"/>
    <x v="0"/>
    <x v="0"/>
    <n v="1"/>
    <x v="1"/>
    <n v="60000"/>
    <n v="31000"/>
    <n v="60000"/>
    <n v="31000"/>
    <n v="28797"/>
    <n v="202.99999999999997"/>
    <s v="11 mns"/>
    <x v="1"/>
    <n v="4"/>
    <x v="3"/>
  </r>
  <r>
    <d v="2023-04-27T00:00:00"/>
    <x v="0"/>
    <x v="0"/>
    <n v="1"/>
    <x v="2"/>
    <n v="89000"/>
    <n v="65000"/>
    <n v="89000"/>
    <n v="65000"/>
    <n v="23832"/>
    <n v="167.99999999999997"/>
    <s v="11 mns"/>
    <x v="0"/>
    <n v="4"/>
    <x v="3"/>
  </r>
  <r>
    <d v="2023-04-27T00:00:00"/>
    <x v="1"/>
    <x v="1"/>
    <n v="1"/>
    <x v="0"/>
    <n v="33000"/>
    <n v="18000"/>
    <n v="33000"/>
    <n v="18000"/>
    <n v="14895"/>
    <n v="104.99999999999999"/>
    <s v="58 mns"/>
    <x v="3"/>
    <n v="4"/>
    <x v="3"/>
  </r>
  <r>
    <d v="2023-04-27T00:00:00"/>
    <x v="2"/>
    <x v="2"/>
    <n v="1"/>
    <x v="0"/>
    <n v="33000"/>
    <n v="18000"/>
    <n v="33000"/>
    <n v="18000"/>
    <n v="14895"/>
    <n v="104.99999999999999"/>
    <s v="30 mns"/>
    <x v="3"/>
    <n v="4"/>
    <x v="3"/>
  </r>
  <r>
    <d v="2023-04-27T00:00:00"/>
    <x v="2"/>
    <x v="2"/>
    <n v="1"/>
    <x v="1"/>
    <n v="60000"/>
    <n v="31000"/>
    <n v="60000"/>
    <n v="31000"/>
    <n v="28797"/>
    <n v="202.99999999999997"/>
    <s v="30 mns"/>
    <x v="3"/>
    <n v="4"/>
    <x v="3"/>
  </r>
  <r>
    <d v="2023-04-27T00:00:00"/>
    <x v="2"/>
    <x v="2"/>
    <n v="1"/>
    <x v="2"/>
    <n v="89000"/>
    <n v="65000"/>
    <n v="89000"/>
    <n v="65000"/>
    <n v="23832"/>
    <n v="167.99999999999997"/>
    <s v="30 mns"/>
    <x v="1"/>
    <n v="4"/>
    <x v="3"/>
  </r>
  <r>
    <d v="2023-04-27T00:00:00"/>
    <x v="3"/>
    <x v="3"/>
    <n v="1"/>
    <x v="0"/>
    <n v="33000"/>
    <n v="18000"/>
    <n v="33000"/>
    <n v="18000"/>
    <n v="14895"/>
    <n v="104.99999999999999"/>
    <s v="35 mns"/>
    <x v="0"/>
    <n v="4"/>
    <x v="3"/>
  </r>
  <r>
    <d v="2023-04-27T00:00:00"/>
    <x v="3"/>
    <x v="3"/>
    <n v="1"/>
    <x v="1"/>
    <n v="60000"/>
    <n v="31000"/>
    <n v="60000"/>
    <n v="31000"/>
    <n v="28797"/>
    <n v="202.99999999999997"/>
    <s v="35 mns"/>
    <x v="1"/>
    <n v="4"/>
    <x v="3"/>
  </r>
  <r>
    <d v="2023-04-27T00:00:00"/>
    <x v="3"/>
    <x v="3"/>
    <n v="1"/>
    <x v="2"/>
    <n v="89000"/>
    <n v="65000"/>
    <n v="89000"/>
    <n v="65000"/>
    <n v="23832"/>
    <n v="167.99999999999997"/>
    <s v="35 mns"/>
    <x v="0"/>
    <n v="4"/>
    <x v="3"/>
  </r>
  <r>
    <d v="2023-04-28T00:00:00"/>
    <x v="0"/>
    <x v="0"/>
    <n v="1"/>
    <x v="0"/>
    <n v="33000"/>
    <n v="18000"/>
    <n v="33000"/>
    <n v="18000"/>
    <n v="14895"/>
    <n v="104.99999999999999"/>
    <s v="11 mns"/>
    <x v="1"/>
    <n v="4"/>
    <x v="3"/>
  </r>
  <r>
    <d v="2023-04-28T00:00:00"/>
    <x v="0"/>
    <x v="0"/>
    <n v="1"/>
    <x v="1"/>
    <n v="60000"/>
    <n v="31000"/>
    <n v="60000"/>
    <n v="31000"/>
    <n v="28797"/>
    <n v="202.99999999999997"/>
    <s v="11 mns"/>
    <x v="1"/>
    <n v="4"/>
    <x v="3"/>
  </r>
  <r>
    <d v="2023-04-28T00:00:00"/>
    <x v="0"/>
    <x v="0"/>
    <n v="1"/>
    <x v="2"/>
    <n v="89000"/>
    <n v="65000"/>
    <n v="89000"/>
    <n v="65000"/>
    <n v="23832"/>
    <n v="167.99999999999997"/>
    <s v="11 mns"/>
    <x v="2"/>
    <n v="4"/>
    <x v="3"/>
  </r>
  <r>
    <d v="2023-04-28T00:00:00"/>
    <x v="1"/>
    <x v="1"/>
    <n v="1"/>
    <x v="0"/>
    <n v="33000"/>
    <n v="18000"/>
    <n v="33000"/>
    <n v="18000"/>
    <n v="14895"/>
    <n v="104.99999999999999"/>
    <s v="58 mns"/>
    <x v="1"/>
    <n v="4"/>
    <x v="3"/>
  </r>
  <r>
    <d v="2023-04-28T00:00:00"/>
    <x v="2"/>
    <x v="2"/>
    <n v="1"/>
    <x v="0"/>
    <n v="33000"/>
    <n v="18000"/>
    <n v="33000"/>
    <n v="18000"/>
    <n v="14895"/>
    <n v="104.99999999999999"/>
    <s v="30 mns"/>
    <x v="1"/>
    <n v="4"/>
    <x v="3"/>
  </r>
  <r>
    <d v="2023-04-28T00:00:00"/>
    <x v="2"/>
    <x v="2"/>
    <n v="1"/>
    <x v="1"/>
    <n v="60000"/>
    <n v="31000"/>
    <n v="60000"/>
    <n v="31000"/>
    <n v="28797"/>
    <n v="202.99999999999997"/>
    <s v="30 mns"/>
    <x v="1"/>
    <n v="4"/>
    <x v="3"/>
  </r>
  <r>
    <d v="2023-04-28T00:00:00"/>
    <x v="2"/>
    <x v="2"/>
    <n v="1"/>
    <x v="2"/>
    <n v="89000"/>
    <n v="65000"/>
    <n v="89000"/>
    <n v="65000"/>
    <n v="23832"/>
    <n v="167.99999999999997"/>
    <s v="30 mns"/>
    <x v="1"/>
    <n v="4"/>
    <x v="3"/>
  </r>
  <r>
    <d v="2023-04-28T00:00:00"/>
    <x v="3"/>
    <x v="3"/>
    <n v="1"/>
    <x v="0"/>
    <n v="33000"/>
    <n v="18000"/>
    <n v="33000"/>
    <n v="18000"/>
    <n v="14895"/>
    <n v="104.99999999999999"/>
    <s v="35 mns"/>
    <x v="0"/>
    <n v="4"/>
    <x v="3"/>
  </r>
  <r>
    <d v="2023-04-28T00:00:00"/>
    <x v="3"/>
    <x v="3"/>
    <n v="1"/>
    <x v="1"/>
    <n v="60000"/>
    <n v="31000"/>
    <n v="60000"/>
    <n v="31000"/>
    <n v="28797"/>
    <n v="202.99999999999997"/>
    <s v="35 mns"/>
    <x v="3"/>
    <n v="4"/>
    <x v="3"/>
  </r>
  <r>
    <d v="2023-04-28T00:00:00"/>
    <x v="3"/>
    <x v="3"/>
    <n v="1"/>
    <x v="2"/>
    <n v="89000"/>
    <n v="65000"/>
    <n v="89000"/>
    <n v="65000"/>
    <n v="23832"/>
    <n v="167.99999999999997"/>
    <s v="35 mns"/>
    <x v="2"/>
    <n v="4"/>
    <x v="3"/>
  </r>
  <r>
    <d v="2023-04-29T00:00:00"/>
    <x v="0"/>
    <x v="0"/>
    <n v="1"/>
    <x v="0"/>
    <n v="33000"/>
    <n v="18000"/>
    <n v="33000"/>
    <n v="18000"/>
    <n v="14895"/>
    <n v="104.99999999999999"/>
    <s v="11 mns"/>
    <x v="1"/>
    <n v="4"/>
    <x v="3"/>
  </r>
  <r>
    <d v="2023-04-29T00:00:00"/>
    <x v="0"/>
    <x v="0"/>
    <n v="1"/>
    <x v="1"/>
    <n v="60000"/>
    <n v="31000"/>
    <n v="60000"/>
    <n v="31000"/>
    <n v="28797"/>
    <n v="202.99999999999997"/>
    <s v="11 mns"/>
    <x v="1"/>
    <n v="4"/>
    <x v="3"/>
  </r>
  <r>
    <d v="2023-04-29T00:00:00"/>
    <x v="0"/>
    <x v="0"/>
    <n v="1"/>
    <x v="2"/>
    <n v="89000"/>
    <n v="65000"/>
    <n v="89000"/>
    <n v="65000"/>
    <n v="23832"/>
    <n v="167.99999999999997"/>
    <s v="11 mns"/>
    <x v="3"/>
    <n v="4"/>
    <x v="3"/>
  </r>
  <r>
    <d v="2023-04-29T00:00:00"/>
    <x v="1"/>
    <x v="1"/>
    <n v="1"/>
    <x v="0"/>
    <n v="33000"/>
    <n v="18000"/>
    <n v="33000"/>
    <n v="18000"/>
    <n v="14895"/>
    <n v="104.99999999999999"/>
    <s v="58 mns"/>
    <x v="0"/>
    <n v="4"/>
    <x v="3"/>
  </r>
  <r>
    <d v="2023-04-29T00:00:00"/>
    <x v="2"/>
    <x v="2"/>
    <n v="1"/>
    <x v="0"/>
    <n v="33000"/>
    <n v="18000"/>
    <n v="33000"/>
    <n v="18000"/>
    <n v="14895"/>
    <n v="104.99999999999999"/>
    <s v="30 mns"/>
    <x v="0"/>
    <n v="4"/>
    <x v="3"/>
  </r>
  <r>
    <d v="2023-04-29T00:00:00"/>
    <x v="2"/>
    <x v="2"/>
    <n v="1"/>
    <x v="1"/>
    <n v="60000"/>
    <n v="31000"/>
    <n v="60000"/>
    <n v="31000"/>
    <n v="28797"/>
    <n v="202.99999999999997"/>
    <s v="30 mns"/>
    <x v="0"/>
    <n v="4"/>
    <x v="3"/>
  </r>
  <r>
    <d v="2023-04-29T00:00:00"/>
    <x v="2"/>
    <x v="2"/>
    <n v="1"/>
    <x v="2"/>
    <n v="89000"/>
    <n v="65000"/>
    <n v="89000"/>
    <n v="65000"/>
    <n v="23832"/>
    <n v="167.99999999999997"/>
    <s v="30 mns"/>
    <x v="3"/>
    <n v="4"/>
    <x v="3"/>
  </r>
  <r>
    <d v="2023-04-29T00:00:00"/>
    <x v="3"/>
    <x v="3"/>
    <n v="1"/>
    <x v="0"/>
    <n v="33000"/>
    <n v="18000"/>
    <n v="33000"/>
    <n v="18000"/>
    <n v="14895"/>
    <n v="104.99999999999999"/>
    <s v="35 mns"/>
    <x v="0"/>
    <n v="4"/>
    <x v="3"/>
  </r>
  <r>
    <d v="2023-04-29T00:00:00"/>
    <x v="3"/>
    <x v="3"/>
    <n v="1"/>
    <x v="1"/>
    <n v="60000"/>
    <n v="31000"/>
    <n v="60000"/>
    <n v="31000"/>
    <n v="28797"/>
    <n v="202.99999999999997"/>
    <s v="35 mns"/>
    <x v="3"/>
    <n v="4"/>
    <x v="3"/>
  </r>
  <r>
    <d v="2023-04-29T00:00:00"/>
    <x v="3"/>
    <x v="3"/>
    <n v="1"/>
    <x v="2"/>
    <n v="89000"/>
    <n v="65000"/>
    <n v="89000"/>
    <n v="65000"/>
    <n v="23832"/>
    <n v="167.99999999999997"/>
    <s v="35 mns"/>
    <x v="0"/>
    <n v="4"/>
    <x v="3"/>
  </r>
  <r>
    <d v="2023-04-30T00:00:00"/>
    <x v="0"/>
    <x v="0"/>
    <n v="1"/>
    <x v="0"/>
    <n v="33000"/>
    <n v="18000"/>
    <n v="33000"/>
    <n v="18000"/>
    <n v="14895"/>
    <n v="104.99999999999999"/>
    <s v="11 mns"/>
    <x v="0"/>
    <n v="4"/>
    <x v="3"/>
  </r>
  <r>
    <d v="2023-04-30T00:00:00"/>
    <x v="0"/>
    <x v="0"/>
    <n v="1"/>
    <x v="1"/>
    <n v="60000"/>
    <n v="31000"/>
    <n v="60000"/>
    <n v="31000"/>
    <n v="28797"/>
    <n v="202.99999999999997"/>
    <s v="11 mns"/>
    <x v="0"/>
    <n v="4"/>
    <x v="3"/>
  </r>
  <r>
    <d v="2023-04-30T00:00:00"/>
    <x v="0"/>
    <x v="0"/>
    <n v="1"/>
    <x v="2"/>
    <n v="89000"/>
    <n v="65000"/>
    <n v="89000"/>
    <n v="65000"/>
    <n v="23832"/>
    <n v="167.99999999999997"/>
    <s v="11 mns"/>
    <x v="1"/>
    <n v="4"/>
    <x v="3"/>
  </r>
  <r>
    <d v="2023-04-30T00:00:00"/>
    <x v="1"/>
    <x v="1"/>
    <n v="1"/>
    <x v="0"/>
    <n v="33000"/>
    <n v="18000"/>
    <n v="33000"/>
    <n v="18000"/>
    <n v="14895"/>
    <n v="104.99999999999999"/>
    <s v="58 mns"/>
    <x v="1"/>
    <n v="4"/>
    <x v="3"/>
  </r>
  <r>
    <d v="2023-04-30T00:00:00"/>
    <x v="2"/>
    <x v="2"/>
    <n v="1"/>
    <x v="0"/>
    <n v="33000"/>
    <n v="18000"/>
    <n v="33000"/>
    <n v="18000"/>
    <n v="14895"/>
    <n v="104.99999999999999"/>
    <s v="30 mns"/>
    <x v="1"/>
    <n v="4"/>
    <x v="3"/>
  </r>
  <r>
    <d v="2023-04-30T00:00:00"/>
    <x v="2"/>
    <x v="2"/>
    <n v="1"/>
    <x v="1"/>
    <n v="60000"/>
    <n v="31000"/>
    <n v="60000"/>
    <n v="31000"/>
    <n v="28797"/>
    <n v="202.99999999999997"/>
    <s v="30 mns"/>
    <x v="0"/>
    <n v="4"/>
    <x v="3"/>
  </r>
  <r>
    <d v="2023-04-30T00:00:00"/>
    <x v="2"/>
    <x v="2"/>
    <n v="1"/>
    <x v="2"/>
    <n v="89000"/>
    <n v="65000"/>
    <n v="89000"/>
    <n v="65000"/>
    <n v="23832"/>
    <n v="167.99999999999997"/>
    <s v="30 mns"/>
    <x v="0"/>
    <n v="4"/>
    <x v="3"/>
  </r>
  <r>
    <d v="2023-04-30T00:00:00"/>
    <x v="3"/>
    <x v="3"/>
    <n v="1"/>
    <x v="0"/>
    <n v="33000"/>
    <n v="18000"/>
    <n v="33000"/>
    <n v="18000"/>
    <n v="14895"/>
    <n v="104.99999999999999"/>
    <s v="35 mns"/>
    <x v="1"/>
    <n v="4"/>
    <x v="3"/>
  </r>
  <r>
    <d v="2023-04-30T00:00:00"/>
    <x v="3"/>
    <x v="3"/>
    <n v="1"/>
    <x v="1"/>
    <n v="60000"/>
    <n v="31000"/>
    <n v="60000"/>
    <n v="31000"/>
    <n v="28797"/>
    <n v="202.99999999999997"/>
    <s v="35 mns"/>
    <x v="1"/>
    <n v="4"/>
    <x v="3"/>
  </r>
  <r>
    <d v="2023-04-30T00:00:00"/>
    <x v="3"/>
    <x v="3"/>
    <n v="1"/>
    <x v="2"/>
    <n v="89000"/>
    <n v="65000"/>
    <n v="89000"/>
    <n v="65000"/>
    <n v="23832"/>
    <n v="167.99999999999997"/>
    <s v="35 mns"/>
    <x v="1"/>
    <n v="4"/>
    <x v="3"/>
  </r>
  <r>
    <d v="2023-05-01T00:00:00"/>
    <x v="0"/>
    <x v="0"/>
    <n v="2"/>
    <x v="0"/>
    <n v="33000"/>
    <n v="18000"/>
    <n v="66000"/>
    <n v="36000"/>
    <n v="29790"/>
    <n v="209.99999999999997"/>
    <s v="11 mns"/>
    <x v="1"/>
    <n v="5"/>
    <x v="4"/>
  </r>
  <r>
    <d v="2023-05-01T00:00:00"/>
    <x v="0"/>
    <x v="0"/>
    <n v="2"/>
    <x v="1"/>
    <n v="60000"/>
    <n v="31000"/>
    <n v="120000"/>
    <n v="62000"/>
    <n v="57594"/>
    <n v="405.99999999999994"/>
    <s v="11 mns"/>
    <x v="0"/>
    <n v="5"/>
    <x v="4"/>
  </r>
  <r>
    <d v="2023-05-01T00:00:00"/>
    <x v="0"/>
    <x v="0"/>
    <n v="2"/>
    <x v="2"/>
    <n v="89000"/>
    <n v="65000"/>
    <n v="178000"/>
    <n v="130000"/>
    <n v="47664"/>
    <n v="335.99999999999994"/>
    <s v="11 mns"/>
    <x v="3"/>
    <n v="5"/>
    <x v="4"/>
  </r>
  <r>
    <d v="2023-05-01T00:00:00"/>
    <x v="2"/>
    <x v="2"/>
    <n v="2"/>
    <x v="0"/>
    <n v="33000"/>
    <n v="18000"/>
    <n v="66000"/>
    <n v="36000"/>
    <n v="29790"/>
    <n v="209.99999999999997"/>
    <s v="30 mns"/>
    <x v="0"/>
    <n v="5"/>
    <x v="4"/>
  </r>
  <r>
    <d v="2023-05-01T00:00:00"/>
    <x v="2"/>
    <x v="2"/>
    <n v="2"/>
    <x v="1"/>
    <n v="60000"/>
    <n v="31000"/>
    <n v="120000"/>
    <n v="62000"/>
    <n v="57594"/>
    <n v="405.99999999999994"/>
    <s v="30 mns"/>
    <x v="3"/>
    <n v="5"/>
    <x v="4"/>
  </r>
  <r>
    <d v="2023-05-01T00:00:00"/>
    <x v="2"/>
    <x v="2"/>
    <n v="2"/>
    <x v="2"/>
    <n v="89000"/>
    <n v="65000"/>
    <n v="178000"/>
    <n v="130000"/>
    <n v="47664"/>
    <n v="335.99999999999994"/>
    <s v="30 mns"/>
    <x v="3"/>
    <n v="5"/>
    <x v="4"/>
  </r>
  <r>
    <d v="2023-05-01T00:00:00"/>
    <x v="3"/>
    <x v="3"/>
    <n v="2"/>
    <x v="0"/>
    <n v="33000"/>
    <n v="18000"/>
    <n v="66000"/>
    <n v="36000"/>
    <n v="29790"/>
    <n v="209.99999999999997"/>
    <s v="35 mns"/>
    <x v="2"/>
    <n v="5"/>
    <x v="4"/>
  </r>
  <r>
    <d v="2023-05-01T00:00:00"/>
    <x v="3"/>
    <x v="3"/>
    <n v="2"/>
    <x v="1"/>
    <n v="60000"/>
    <n v="31000"/>
    <n v="120000"/>
    <n v="62000"/>
    <n v="57594"/>
    <n v="405.99999999999994"/>
    <s v="35 mns"/>
    <x v="0"/>
    <n v="5"/>
    <x v="4"/>
  </r>
  <r>
    <d v="2023-05-01T00:00:00"/>
    <x v="3"/>
    <x v="3"/>
    <n v="2"/>
    <x v="2"/>
    <n v="89000"/>
    <n v="65000"/>
    <n v="178000"/>
    <n v="130000"/>
    <n v="47664"/>
    <n v="335.99999999999994"/>
    <s v="35 mns"/>
    <x v="1"/>
    <n v="5"/>
    <x v="4"/>
  </r>
  <r>
    <d v="2023-05-02T00:00:00"/>
    <x v="0"/>
    <x v="0"/>
    <n v="1"/>
    <x v="0"/>
    <n v="33000"/>
    <n v="18000"/>
    <n v="33000"/>
    <n v="18000"/>
    <n v="14895"/>
    <n v="104.99999999999999"/>
    <s v="11 mns"/>
    <x v="3"/>
    <n v="5"/>
    <x v="4"/>
  </r>
  <r>
    <d v="2023-05-02T00:00:00"/>
    <x v="0"/>
    <x v="0"/>
    <n v="1"/>
    <x v="1"/>
    <n v="60000"/>
    <n v="31000"/>
    <n v="60000"/>
    <n v="31000"/>
    <n v="28797"/>
    <n v="202.99999999999997"/>
    <s v="11 mns"/>
    <x v="0"/>
    <n v="5"/>
    <x v="4"/>
  </r>
  <r>
    <d v="2023-05-02T00:00:00"/>
    <x v="0"/>
    <x v="0"/>
    <n v="1"/>
    <x v="2"/>
    <n v="89000"/>
    <n v="65000"/>
    <n v="89000"/>
    <n v="65000"/>
    <n v="23832"/>
    <n v="167.99999999999997"/>
    <s v="11 mns"/>
    <x v="1"/>
    <n v="5"/>
    <x v="4"/>
  </r>
  <r>
    <d v="2023-05-02T00:00:00"/>
    <x v="2"/>
    <x v="2"/>
    <n v="1"/>
    <x v="0"/>
    <n v="33000"/>
    <n v="18000"/>
    <n v="33000"/>
    <n v="18000"/>
    <n v="14895"/>
    <n v="104.99999999999999"/>
    <s v="30 mns"/>
    <x v="3"/>
    <n v="5"/>
    <x v="4"/>
  </r>
  <r>
    <d v="2023-05-02T00:00:00"/>
    <x v="2"/>
    <x v="2"/>
    <n v="1"/>
    <x v="1"/>
    <n v="60000"/>
    <n v="31000"/>
    <n v="60000"/>
    <n v="31000"/>
    <n v="28797"/>
    <n v="202.99999999999997"/>
    <s v="30 mns"/>
    <x v="1"/>
    <n v="5"/>
    <x v="4"/>
  </r>
  <r>
    <d v="2023-05-02T00:00:00"/>
    <x v="2"/>
    <x v="2"/>
    <n v="1"/>
    <x v="2"/>
    <n v="89000"/>
    <n v="65000"/>
    <n v="89000"/>
    <n v="65000"/>
    <n v="23832"/>
    <n v="167.99999999999997"/>
    <s v="30 mns"/>
    <x v="1"/>
    <n v="5"/>
    <x v="4"/>
  </r>
  <r>
    <d v="2023-05-02T00:00:00"/>
    <x v="3"/>
    <x v="3"/>
    <n v="1"/>
    <x v="0"/>
    <n v="33000"/>
    <n v="18000"/>
    <n v="33000"/>
    <n v="18000"/>
    <n v="14895"/>
    <n v="104.99999999999999"/>
    <s v="35 mns"/>
    <x v="1"/>
    <n v="5"/>
    <x v="4"/>
  </r>
  <r>
    <d v="2023-05-02T00:00:00"/>
    <x v="3"/>
    <x v="3"/>
    <n v="1"/>
    <x v="1"/>
    <n v="60000"/>
    <n v="31000"/>
    <n v="60000"/>
    <n v="31000"/>
    <n v="28797"/>
    <n v="202.99999999999997"/>
    <s v="35 mns"/>
    <x v="3"/>
    <n v="5"/>
    <x v="4"/>
  </r>
  <r>
    <d v="2023-05-02T00:00:00"/>
    <x v="3"/>
    <x v="3"/>
    <n v="1"/>
    <x v="2"/>
    <n v="89000"/>
    <n v="65000"/>
    <n v="89000"/>
    <n v="65000"/>
    <n v="23832"/>
    <n v="167.99999999999997"/>
    <s v="35 mns"/>
    <x v="1"/>
    <n v="5"/>
    <x v="4"/>
  </r>
  <r>
    <d v="2023-05-03T00:00:00"/>
    <x v="0"/>
    <x v="0"/>
    <n v="2"/>
    <x v="0"/>
    <n v="33000"/>
    <n v="18000"/>
    <n v="66000"/>
    <n v="36000"/>
    <n v="29790"/>
    <n v="209.99999999999997"/>
    <s v="11 mns"/>
    <x v="2"/>
    <n v="5"/>
    <x v="4"/>
  </r>
  <r>
    <d v="2023-05-03T00:00:00"/>
    <x v="0"/>
    <x v="0"/>
    <n v="2"/>
    <x v="1"/>
    <n v="60000"/>
    <n v="31000"/>
    <n v="120000"/>
    <n v="62000"/>
    <n v="57594"/>
    <n v="405.99999999999994"/>
    <s v="11 mns"/>
    <x v="3"/>
    <n v="5"/>
    <x v="4"/>
  </r>
  <r>
    <d v="2023-05-03T00:00:00"/>
    <x v="0"/>
    <x v="0"/>
    <n v="2"/>
    <x v="2"/>
    <n v="89000"/>
    <n v="65000"/>
    <n v="178000"/>
    <n v="130000"/>
    <n v="47664"/>
    <n v="335.99999999999994"/>
    <s v="11 mns"/>
    <x v="3"/>
    <n v="5"/>
    <x v="4"/>
  </r>
  <r>
    <d v="2023-05-03T00:00:00"/>
    <x v="2"/>
    <x v="2"/>
    <n v="2"/>
    <x v="0"/>
    <n v="33000"/>
    <n v="18000"/>
    <n v="66000"/>
    <n v="36000"/>
    <n v="29790"/>
    <n v="209.99999999999997"/>
    <s v="30 mns"/>
    <x v="3"/>
    <n v="5"/>
    <x v="4"/>
  </r>
  <r>
    <d v="2023-05-03T00:00:00"/>
    <x v="2"/>
    <x v="2"/>
    <n v="2"/>
    <x v="1"/>
    <n v="60000"/>
    <n v="31000"/>
    <n v="120000"/>
    <n v="62000"/>
    <n v="57594"/>
    <n v="405.99999999999994"/>
    <s v="30 mns"/>
    <x v="1"/>
    <n v="5"/>
    <x v="4"/>
  </r>
  <r>
    <d v="2023-05-03T00:00:00"/>
    <x v="2"/>
    <x v="2"/>
    <n v="2"/>
    <x v="2"/>
    <n v="89000"/>
    <n v="65000"/>
    <n v="178000"/>
    <n v="130000"/>
    <n v="47664"/>
    <n v="335.99999999999994"/>
    <s v="30 mns"/>
    <x v="3"/>
    <n v="5"/>
    <x v="4"/>
  </r>
  <r>
    <d v="2023-05-03T00:00:00"/>
    <x v="3"/>
    <x v="3"/>
    <n v="2"/>
    <x v="0"/>
    <n v="33000"/>
    <n v="18000"/>
    <n v="66000"/>
    <n v="36000"/>
    <n v="29790"/>
    <n v="209.99999999999997"/>
    <s v="35 mns"/>
    <x v="3"/>
    <n v="5"/>
    <x v="4"/>
  </r>
  <r>
    <d v="2023-05-03T00:00:00"/>
    <x v="3"/>
    <x v="3"/>
    <n v="2"/>
    <x v="1"/>
    <n v="60000"/>
    <n v="31000"/>
    <n v="120000"/>
    <n v="62000"/>
    <n v="57594"/>
    <n v="405.99999999999994"/>
    <s v="35 mns"/>
    <x v="1"/>
    <n v="5"/>
    <x v="4"/>
  </r>
  <r>
    <d v="2023-05-03T00:00:00"/>
    <x v="3"/>
    <x v="3"/>
    <n v="2"/>
    <x v="2"/>
    <n v="89000"/>
    <n v="65000"/>
    <n v="178000"/>
    <n v="130000"/>
    <n v="47664"/>
    <n v="335.99999999999994"/>
    <s v="35 mns"/>
    <x v="1"/>
    <n v="5"/>
    <x v="4"/>
  </r>
  <r>
    <d v="2023-05-04T00:00:00"/>
    <x v="0"/>
    <x v="0"/>
    <n v="1"/>
    <x v="0"/>
    <n v="33000"/>
    <n v="18000"/>
    <n v="33000"/>
    <n v="18000"/>
    <n v="14895"/>
    <n v="104.99999999999999"/>
    <s v="11 mns"/>
    <x v="1"/>
    <n v="5"/>
    <x v="4"/>
  </r>
  <r>
    <d v="2023-05-04T00:00:00"/>
    <x v="0"/>
    <x v="0"/>
    <n v="1"/>
    <x v="1"/>
    <n v="60000"/>
    <n v="31000"/>
    <n v="60000"/>
    <n v="31000"/>
    <n v="28797"/>
    <n v="202.99999999999997"/>
    <s v="11 mns"/>
    <x v="1"/>
    <n v="5"/>
    <x v="4"/>
  </r>
  <r>
    <d v="2023-05-04T00:00:00"/>
    <x v="0"/>
    <x v="0"/>
    <n v="1"/>
    <x v="2"/>
    <n v="89000"/>
    <n v="65000"/>
    <n v="89000"/>
    <n v="65000"/>
    <n v="23832"/>
    <n v="167.99999999999997"/>
    <s v="11 mns"/>
    <x v="3"/>
    <n v="5"/>
    <x v="4"/>
  </r>
  <r>
    <d v="2023-05-04T00:00:00"/>
    <x v="2"/>
    <x v="2"/>
    <n v="1"/>
    <x v="0"/>
    <n v="33000"/>
    <n v="18000"/>
    <n v="33000"/>
    <n v="18000"/>
    <n v="14895"/>
    <n v="104.99999999999999"/>
    <s v="30 mns"/>
    <x v="1"/>
    <n v="5"/>
    <x v="4"/>
  </r>
  <r>
    <d v="2023-05-04T00:00:00"/>
    <x v="2"/>
    <x v="2"/>
    <n v="1"/>
    <x v="1"/>
    <n v="60000"/>
    <n v="31000"/>
    <n v="60000"/>
    <n v="31000"/>
    <n v="28797"/>
    <n v="202.99999999999997"/>
    <s v="30 mns"/>
    <x v="3"/>
    <n v="5"/>
    <x v="4"/>
  </r>
  <r>
    <d v="2023-05-04T00:00:00"/>
    <x v="2"/>
    <x v="2"/>
    <n v="1"/>
    <x v="2"/>
    <n v="89000"/>
    <n v="65000"/>
    <n v="89000"/>
    <n v="65000"/>
    <n v="23832"/>
    <n v="167.99999999999997"/>
    <s v="30 mns"/>
    <x v="0"/>
    <n v="5"/>
    <x v="4"/>
  </r>
  <r>
    <d v="2023-05-04T00:00:00"/>
    <x v="3"/>
    <x v="3"/>
    <n v="1"/>
    <x v="0"/>
    <n v="33000"/>
    <n v="18000"/>
    <n v="33000"/>
    <n v="18000"/>
    <n v="14895"/>
    <n v="104.99999999999999"/>
    <s v="35 mns"/>
    <x v="3"/>
    <n v="5"/>
    <x v="4"/>
  </r>
  <r>
    <d v="2023-05-04T00:00:00"/>
    <x v="3"/>
    <x v="3"/>
    <n v="1"/>
    <x v="1"/>
    <n v="60000"/>
    <n v="31000"/>
    <n v="60000"/>
    <n v="31000"/>
    <n v="28797"/>
    <n v="202.99999999999997"/>
    <s v="35 mns"/>
    <x v="2"/>
    <n v="5"/>
    <x v="4"/>
  </r>
  <r>
    <d v="2023-05-04T00:00:00"/>
    <x v="3"/>
    <x v="3"/>
    <n v="1"/>
    <x v="2"/>
    <n v="89000"/>
    <n v="65000"/>
    <n v="89000"/>
    <n v="65000"/>
    <n v="23832"/>
    <n v="167.99999999999997"/>
    <s v="35 mns"/>
    <x v="1"/>
    <n v="5"/>
    <x v="4"/>
  </r>
  <r>
    <d v="2023-05-05T00:00:00"/>
    <x v="0"/>
    <x v="0"/>
    <n v="1"/>
    <x v="0"/>
    <n v="33000"/>
    <n v="18000"/>
    <n v="33000"/>
    <n v="18000"/>
    <n v="14895"/>
    <n v="104.99999999999999"/>
    <s v="11 mns"/>
    <x v="0"/>
    <n v="5"/>
    <x v="4"/>
  </r>
  <r>
    <d v="2023-05-05T00:00:00"/>
    <x v="0"/>
    <x v="0"/>
    <n v="1"/>
    <x v="1"/>
    <n v="60000"/>
    <n v="31000"/>
    <n v="60000"/>
    <n v="31000"/>
    <n v="28797"/>
    <n v="202.99999999999997"/>
    <s v="11 mns"/>
    <x v="1"/>
    <n v="5"/>
    <x v="4"/>
  </r>
  <r>
    <d v="2023-05-05T00:00:00"/>
    <x v="0"/>
    <x v="0"/>
    <n v="1"/>
    <x v="2"/>
    <n v="89000"/>
    <n v="65000"/>
    <n v="89000"/>
    <n v="65000"/>
    <n v="23832"/>
    <n v="167.99999999999997"/>
    <s v="11 mns"/>
    <x v="3"/>
    <n v="5"/>
    <x v="4"/>
  </r>
  <r>
    <d v="2023-05-05T00:00:00"/>
    <x v="2"/>
    <x v="2"/>
    <n v="1"/>
    <x v="0"/>
    <n v="33000"/>
    <n v="18000"/>
    <n v="33000"/>
    <n v="18000"/>
    <n v="14895"/>
    <n v="104.99999999999999"/>
    <s v="30 mns"/>
    <x v="2"/>
    <n v="5"/>
    <x v="4"/>
  </r>
  <r>
    <d v="2023-05-05T00:00:00"/>
    <x v="2"/>
    <x v="2"/>
    <n v="1"/>
    <x v="1"/>
    <n v="60000"/>
    <n v="31000"/>
    <n v="60000"/>
    <n v="31000"/>
    <n v="28797"/>
    <n v="202.99999999999997"/>
    <s v="30 mns"/>
    <x v="1"/>
    <n v="5"/>
    <x v="4"/>
  </r>
  <r>
    <d v="2023-05-05T00:00:00"/>
    <x v="2"/>
    <x v="2"/>
    <n v="1"/>
    <x v="2"/>
    <n v="89000"/>
    <n v="65000"/>
    <n v="89000"/>
    <n v="65000"/>
    <n v="23832"/>
    <n v="167.99999999999997"/>
    <s v="30 mns"/>
    <x v="0"/>
    <n v="5"/>
    <x v="4"/>
  </r>
  <r>
    <d v="2023-05-05T00:00:00"/>
    <x v="3"/>
    <x v="3"/>
    <n v="1"/>
    <x v="0"/>
    <n v="33000"/>
    <n v="18000"/>
    <n v="33000"/>
    <n v="18000"/>
    <n v="14895"/>
    <n v="104.99999999999999"/>
    <s v="35 mns"/>
    <x v="0"/>
    <n v="5"/>
    <x v="4"/>
  </r>
  <r>
    <d v="2023-05-05T00:00:00"/>
    <x v="3"/>
    <x v="3"/>
    <n v="1"/>
    <x v="1"/>
    <n v="60000"/>
    <n v="31000"/>
    <n v="60000"/>
    <n v="31000"/>
    <n v="28797"/>
    <n v="202.99999999999997"/>
    <s v="35 mns"/>
    <x v="3"/>
    <n v="5"/>
    <x v="4"/>
  </r>
  <r>
    <d v="2023-05-05T00:00:00"/>
    <x v="3"/>
    <x v="3"/>
    <n v="1"/>
    <x v="2"/>
    <n v="89000"/>
    <n v="65000"/>
    <n v="89000"/>
    <n v="65000"/>
    <n v="23832"/>
    <n v="167.99999999999997"/>
    <s v="35 mns"/>
    <x v="3"/>
    <n v="5"/>
    <x v="4"/>
  </r>
  <r>
    <d v="2023-05-06T00:00:00"/>
    <x v="0"/>
    <x v="0"/>
    <n v="2"/>
    <x v="0"/>
    <n v="33000"/>
    <n v="18000"/>
    <n v="66000"/>
    <n v="36000"/>
    <n v="29790"/>
    <n v="209.99999999999997"/>
    <s v="11 mns"/>
    <x v="3"/>
    <n v="5"/>
    <x v="4"/>
  </r>
  <r>
    <d v="2023-05-06T00:00:00"/>
    <x v="0"/>
    <x v="0"/>
    <n v="2"/>
    <x v="1"/>
    <n v="60000"/>
    <n v="31000"/>
    <n v="120000"/>
    <n v="62000"/>
    <n v="57594"/>
    <n v="405.99999999999994"/>
    <s v="11 mns"/>
    <x v="3"/>
    <n v="5"/>
    <x v="4"/>
  </r>
  <r>
    <d v="2023-05-06T00:00:00"/>
    <x v="0"/>
    <x v="0"/>
    <n v="2"/>
    <x v="2"/>
    <n v="89000"/>
    <n v="65000"/>
    <n v="178000"/>
    <n v="130000"/>
    <n v="47664"/>
    <n v="335.99999999999994"/>
    <s v="11 mns"/>
    <x v="3"/>
    <n v="5"/>
    <x v="4"/>
  </r>
  <r>
    <d v="2023-05-06T00:00:00"/>
    <x v="2"/>
    <x v="2"/>
    <n v="2"/>
    <x v="0"/>
    <n v="33000"/>
    <n v="18000"/>
    <n v="66000"/>
    <n v="36000"/>
    <n v="29790"/>
    <n v="209.99999999999997"/>
    <s v="30 mns"/>
    <x v="3"/>
    <n v="5"/>
    <x v="4"/>
  </r>
  <r>
    <d v="2023-05-06T00:00:00"/>
    <x v="2"/>
    <x v="2"/>
    <n v="2"/>
    <x v="1"/>
    <n v="60000"/>
    <n v="31000"/>
    <n v="120000"/>
    <n v="62000"/>
    <n v="57594"/>
    <n v="405.99999999999994"/>
    <s v="30 mns"/>
    <x v="3"/>
    <n v="5"/>
    <x v="4"/>
  </r>
  <r>
    <d v="2023-05-06T00:00:00"/>
    <x v="2"/>
    <x v="2"/>
    <n v="2"/>
    <x v="2"/>
    <n v="89000"/>
    <n v="65000"/>
    <n v="178000"/>
    <n v="130000"/>
    <n v="47664"/>
    <n v="335.99999999999994"/>
    <s v="30 mns"/>
    <x v="3"/>
    <n v="5"/>
    <x v="4"/>
  </r>
  <r>
    <d v="2023-05-06T00:00:00"/>
    <x v="3"/>
    <x v="3"/>
    <n v="2"/>
    <x v="0"/>
    <n v="33000"/>
    <n v="18000"/>
    <n v="66000"/>
    <n v="36000"/>
    <n v="29790"/>
    <n v="209.99999999999997"/>
    <s v="35 mns"/>
    <x v="0"/>
    <n v="5"/>
    <x v="4"/>
  </r>
  <r>
    <d v="2023-05-06T00:00:00"/>
    <x v="3"/>
    <x v="3"/>
    <n v="2"/>
    <x v="1"/>
    <n v="60000"/>
    <n v="31000"/>
    <n v="120000"/>
    <n v="62000"/>
    <n v="57594"/>
    <n v="405.99999999999994"/>
    <s v="35 mns"/>
    <x v="0"/>
    <n v="5"/>
    <x v="4"/>
  </r>
  <r>
    <d v="2023-05-06T00:00:00"/>
    <x v="3"/>
    <x v="3"/>
    <n v="2"/>
    <x v="2"/>
    <n v="89000"/>
    <n v="65000"/>
    <n v="178000"/>
    <n v="130000"/>
    <n v="47664"/>
    <n v="335.99999999999994"/>
    <s v="35 mns"/>
    <x v="3"/>
    <n v="5"/>
    <x v="4"/>
  </r>
  <r>
    <d v="2023-05-07T00:00:00"/>
    <x v="0"/>
    <x v="0"/>
    <n v="1"/>
    <x v="0"/>
    <n v="33000"/>
    <n v="18000"/>
    <n v="33000"/>
    <n v="18000"/>
    <n v="14895"/>
    <n v="104.99999999999999"/>
    <s v="11 mns"/>
    <x v="0"/>
    <n v="5"/>
    <x v="4"/>
  </r>
  <r>
    <d v="2023-05-07T00:00:00"/>
    <x v="0"/>
    <x v="0"/>
    <n v="1"/>
    <x v="1"/>
    <n v="60000"/>
    <n v="31000"/>
    <n v="60000"/>
    <n v="31000"/>
    <n v="28797"/>
    <n v="202.99999999999997"/>
    <s v="11 mns"/>
    <x v="0"/>
    <n v="5"/>
    <x v="4"/>
  </r>
  <r>
    <d v="2023-05-07T00:00:00"/>
    <x v="0"/>
    <x v="0"/>
    <n v="1"/>
    <x v="2"/>
    <n v="89000"/>
    <n v="65000"/>
    <n v="89000"/>
    <n v="65000"/>
    <n v="23832"/>
    <n v="167.99999999999997"/>
    <s v="11 mns"/>
    <x v="0"/>
    <n v="5"/>
    <x v="4"/>
  </r>
  <r>
    <d v="2023-05-07T00:00:00"/>
    <x v="2"/>
    <x v="2"/>
    <n v="1"/>
    <x v="0"/>
    <n v="33000"/>
    <n v="18000"/>
    <n v="33000"/>
    <n v="18000"/>
    <n v="14895"/>
    <n v="104.99999999999999"/>
    <s v="30 mns"/>
    <x v="3"/>
    <n v="5"/>
    <x v="4"/>
  </r>
  <r>
    <d v="2023-05-07T00:00:00"/>
    <x v="2"/>
    <x v="2"/>
    <n v="1"/>
    <x v="1"/>
    <n v="60000"/>
    <n v="31000"/>
    <n v="60000"/>
    <n v="31000"/>
    <n v="28797"/>
    <n v="202.99999999999997"/>
    <s v="30 mns"/>
    <x v="3"/>
    <n v="5"/>
    <x v="4"/>
  </r>
  <r>
    <d v="2023-05-07T00:00:00"/>
    <x v="2"/>
    <x v="2"/>
    <n v="1"/>
    <x v="2"/>
    <n v="89000"/>
    <n v="65000"/>
    <n v="89000"/>
    <n v="65000"/>
    <n v="23832"/>
    <n v="167.99999999999997"/>
    <s v="30 mns"/>
    <x v="1"/>
    <n v="5"/>
    <x v="4"/>
  </r>
  <r>
    <d v="2023-05-07T00:00:00"/>
    <x v="3"/>
    <x v="3"/>
    <n v="1"/>
    <x v="0"/>
    <n v="33000"/>
    <n v="18000"/>
    <n v="33000"/>
    <n v="18000"/>
    <n v="14895"/>
    <n v="104.99999999999999"/>
    <s v="35 mns"/>
    <x v="1"/>
    <n v="5"/>
    <x v="4"/>
  </r>
  <r>
    <d v="2023-05-07T00:00:00"/>
    <x v="3"/>
    <x v="3"/>
    <n v="1"/>
    <x v="1"/>
    <n v="60000"/>
    <n v="31000"/>
    <n v="60000"/>
    <n v="31000"/>
    <n v="28797"/>
    <n v="202.99999999999997"/>
    <s v="35 mns"/>
    <x v="3"/>
    <n v="5"/>
    <x v="4"/>
  </r>
  <r>
    <d v="2023-05-07T00:00:00"/>
    <x v="3"/>
    <x v="3"/>
    <n v="1"/>
    <x v="2"/>
    <n v="89000"/>
    <n v="65000"/>
    <n v="89000"/>
    <n v="65000"/>
    <n v="23832"/>
    <n v="167.99999999999997"/>
    <s v="35 mns"/>
    <x v="0"/>
    <n v="5"/>
    <x v="4"/>
  </r>
  <r>
    <d v="2023-05-08T00:00:00"/>
    <x v="0"/>
    <x v="0"/>
    <n v="2"/>
    <x v="0"/>
    <n v="33000"/>
    <n v="18000"/>
    <n v="66000"/>
    <n v="36000"/>
    <n v="29790"/>
    <n v="209.99999999999997"/>
    <s v="11 mns"/>
    <x v="3"/>
    <n v="5"/>
    <x v="4"/>
  </r>
  <r>
    <d v="2023-05-08T00:00:00"/>
    <x v="0"/>
    <x v="0"/>
    <n v="2"/>
    <x v="1"/>
    <n v="60000"/>
    <n v="31000"/>
    <n v="120000"/>
    <n v="62000"/>
    <n v="57594"/>
    <n v="405.99999999999994"/>
    <s v="11 mns"/>
    <x v="2"/>
    <n v="5"/>
    <x v="4"/>
  </r>
  <r>
    <d v="2023-05-08T00:00:00"/>
    <x v="0"/>
    <x v="0"/>
    <n v="2"/>
    <x v="2"/>
    <n v="89000"/>
    <n v="65000"/>
    <n v="178000"/>
    <n v="130000"/>
    <n v="47664"/>
    <n v="335.99999999999994"/>
    <s v="11 mns"/>
    <x v="3"/>
    <n v="5"/>
    <x v="4"/>
  </r>
  <r>
    <d v="2023-05-08T00:00:00"/>
    <x v="2"/>
    <x v="2"/>
    <n v="2"/>
    <x v="0"/>
    <n v="33000"/>
    <n v="18000"/>
    <n v="66000"/>
    <n v="36000"/>
    <n v="29790"/>
    <n v="209.99999999999997"/>
    <s v="30 mns"/>
    <x v="2"/>
    <n v="5"/>
    <x v="4"/>
  </r>
  <r>
    <d v="2023-05-08T00:00:00"/>
    <x v="2"/>
    <x v="2"/>
    <n v="2"/>
    <x v="1"/>
    <n v="60000"/>
    <n v="31000"/>
    <n v="120000"/>
    <n v="62000"/>
    <n v="57594"/>
    <n v="405.99999999999994"/>
    <s v="30 mns"/>
    <x v="3"/>
    <n v="5"/>
    <x v="4"/>
  </r>
  <r>
    <d v="2023-05-08T00:00:00"/>
    <x v="2"/>
    <x v="2"/>
    <n v="2"/>
    <x v="2"/>
    <n v="89000"/>
    <n v="65000"/>
    <n v="178000"/>
    <n v="130000"/>
    <n v="47664"/>
    <n v="335.99999999999994"/>
    <s v="30 mns"/>
    <x v="1"/>
    <n v="5"/>
    <x v="4"/>
  </r>
  <r>
    <d v="2023-05-08T00:00:00"/>
    <x v="3"/>
    <x v="3"/>
    <n v="2"/>
    <x v="0"/>
    <n v="33000"/>
    <n v="18000"/>
    <n v="66000"/>
    <n v="36000"/>
    <n v="29790"/>
    <n v="209.99999999999997"/>
    <s v="35 mns"/>
    <x v="1"/>
    <n v="5"/>
    <x v="4"/>
  </r>
  <r>
    <d v="2023-05-08T00:00:00"/>
    <x v="3"/>
    <x v="3"/>
    <n v="2"/>
    <x v="1"/>
    <n v="60000"/>
    <n v="31000"/>
    <n v="120000"/>
    <n v="62000"/>
    <n v="57594"/>
    <n v="405.99999999999994"/>
    <s v="35 mns"/>
    <x v="0"/>
    <n v="5"/>
    <x v="4"/>
  </r>
  <r>
    <d v="2023-05-08T00:00:00"/>
    <x v="3"/>
    <x v="3"/>
    <n v="2"/>
    <x v="2"/>
    <n v="89000"/>
    <n v="65000"/>
    <n v="178000"/>
    <n v="130000"/>
    <n v="47664"/>
    <n v="335.99999999999994"/>
    <s v="35 mns"/>
    <x v="1"/>
    <n v="5"/>
    <x v="4"/>
  </r>
  <r>
    <d v="2023-05-09T00:00:00"/>
    <x v="0"/>
    <x v="0"/>
    <n v="1"/>
    <x v="0"/>
    <n v="33000"/>
    <n v="18000"/>
    <n v="33000"/>
    <n v="18000"/>
    <n v="14895"/>
    <n v="104.99999999999999"/>
    <s v="11 mns"/>
    <x v="0"/>
    <n v="5"/>
    <x v="4"/>
  </r>
  <r>
    <d v="2023-05-09T00:00:00"/>
    <x v="0"/>
    <x v="0"/>
    <n v="1"/>
    <x v="1"/>
    <n v="60000"/>
    <n v="31000"/>
    <n v="60000"/>
    <n v="31000"/>
    <n v="28797"/>
    <n v="202.99999999999997"/>
    <s v="11 mns"/>
    <x v="3"/>
    <n v="5"/>
    <x v="4"/>
  </r>
  <r>
    <d v="2023-05-09T00:00:00"/>
    <x v="0"/>
    <x v="0"/>
    <n v="1"/>
    <x v="2"/>
    <n v="89000"/>
    <n v="65000"/>
    <n v="89000"/>
    <n v="65000"/>
    <n v="23832"/>
    <n v="167.99999999999997"/>
    <s v="11 mns"/>
    <x v="2"/>
    <n v="5"/>
    <x v="4"/>
  </r>
  <r>
    <d v="2023-05-09T00:00:00"/>
    <x v="2"/>
    <x v="2"/>
    <n v="1"/>
    <x v="0"/>
    <n v="33000"/>
    <n v="18000"/>
    <n v="33000"/>
    <n v="18000"/>
    <n v="14895"/>
    <n v="104.99999999999999"/>
    <s v="30 mns"/>
    <x v="3"/>
    <n v="5"/>
    <x v="4"/>
  </r>
  <r>
    <d v="2023-05-09T00:00:00"/>
    <x v="2"/>
    <x v="2"/>
    <n v="1"/>
    <x v="1"/>
    <n v="60000"/>
    <n v="31000"/>
    <n v="60000"/>
    <n v="31000"/>
    <n v="28797"/>
    <n v="202.99999999999997"/>
    <s v="30 mns"/>
    <x v="3"/>
    <n v="5"/>
    <x v="4"/>
  </r>
  <r>
    <d v="2023-05-09T00:00:00"/>
    <x v="2"/>
    <x v="2"/>
    <n v="1"/>
    <x v="2"/>
    <n v="89000"/>
    <n v="65000"/>
    <n v="89000"/>
    <n v="65000"/>
    <n v="23832"/>
    <n v="167.99999999999997"/>
    <s v="30 mns"/>
    <x v="0"/>
    <n v="5"/>
    <x v="4"/>
  </r>
  <r>
    <d v="2023-05-09T00:00:00"/>
    <x v="3"/>
    <x v="3"/>
    <n v="1"/>
    <x v="0"/>
    <n v="33000"/>
    <n v="18000"/>
    <n v="33000"/>
    <n v="18000"/>
    <n v="14895"/>
    <n v="104.99999999999999"/>
    <s v="35 mns"/>
    <x v="3"/>
    <n v="5"/>
    <x v="4"/>
  </r>
  <r>
    <d v="2023-05-09T00:00:00"/>
    <x v="3"/>
    <x v="3"/>
    <n v="1"/>
    <x v="1"/>
    <n v="60000"/>
    <n v="31000"/>
    <n v="60000"/>
    <n v="31000"/>
    <n v="28797"/>
    <n v="202.99999999999997"/>
    <s v="35 mns"/>
    <x v="0"/>
    <n v="5"/>
    <x v="4"/>
  </r>
  <r>
    <d v="2023-05-09T00:00:00"/>
    <x v="3"/>
    <x v="3"/>
    <n v="1"/>
    <x v="2"/>
    <n v="89000"/>
    <n v="65000"/>
    <n v="89000"/>
    <n v="65000"/>
    <n v="23832"/>
    <n v="167.99999999999997"/>
    <s v="35 mns"/>
    <x v="0"/>
    <n v="5"/>
    <x v="4"/>
  </r>
  <r>
    <d v="2023-05-10T00:00:00"/>
    <x v="0"/>
    <x v="0"/>
    <n v="1"/>
    <x v="0"/>
    <n v="33000"/>
    <n v="18000"/>
    <n v="33000"/>
    <n v="18000"/>
    <n v="14895"/>
    <n v="104.99999999999999"/>
    <s v="11 mns"/>
    <x v="3"/>
    <n v="5"/>
    <x v="4"/>
  </r>
  <r>
    <d v="2023-05-10T00:00:00"/>
    <x v="0"/>
    <x v="0"/>
    <n v="1"/>
    <x v="1"/>
    <n v="60000"/>
    <n v="31000"/>
    <n v="60000"/>
    <n v="31000"/>
    <n v="28797"/>
    <n v="202.99999999999997"/>
    <s v="11 mns"/>
    <x v="1"/>
    <n v="5"/>
    <x v="4"/>
  </r>
  <r>
    <d v="2023-05-10T00:00:00"/>
    <x v="0"/>
    <x v="0"/>
    <n v="1"/>
    <x v="2"/>
    <n v="89000"/>
    <n v="65000"/>
    <n v="89000"/>
    <n v="65000"/>
    <n v="23832"/>
    <n v="167.99999999999997"/>
    <s v="11 mns"/>
    <x v="2"/>
    <n v="5"/>
    <x v="4"/>
  </r>
  <r>
    <d v="2023-05-10T00:00:00"/>
    <x v="2"/>
    <x v="2"/>
    <n v="1"/>
    <x v="0"/>
    <n v="33000"/>
    <n v="18000"/>
    <n v="33000"/>
    <n v="18000"/>
    <n v="14895"/>
    <n v="104.99999999999999"/>
    <s v="30 mns"/>
    <x v="1"/>
    <n v="5"/>
    <x v="4"/>
  </r>
  <r>
    <d v="2023-05-10T00:00:00"/>
    <x v="2"/>
    <x v="2"/>
    <n v="1"/>
    <x v="1"/>
    <n v="60000"/>
    <n v="31000"/>
    <n v="60000"/>
    <n v="31000"/>
    <n v="28797"/>
    <n v="202.99999999999997"/>
    <s v="30 mns"/>
    <x v="3"/>
    <n v="5"/>
    <x v="4"/>
  </r>
  <r>
    <d v="2023-05-10T00:00:00"/>
    <x v="2"/>
    <x v="2"/>
    <n v="1"/>
    <x v="2"/>
    <n v="89000"/>
    <n v="65000"/>
    <n v="89000"/>
    <n v="65000"/>
    <n v="23832"/>
    <n v="167.99999999999997"/>
    <s v="30 mns"/>
    <x v="3"/>
    <n v="5"/>
    <x v="4"/>
  </r>
  <r>
    <d v="2023-05-10T00:00:00"/>
    <x v="3"/>
    <x v="3"/>
    <n v="1"/>
    <x v="0"/>
    <n v="33000"/>
    <n v="18000"/>
    <n v="33000"/>
    <n v="18000"/>
    <n v="14895"/>
    <n v="104.99999999999999"/>
    <s v="35 mns"/>
    <x v="1"/>
    <n v="5"/>
    <x v="4"/>
  </r>
  <r>
    <d v="2023-05-10T00:00:00"/>
    <x v="3"/>
    <x v="3"/>
    <n v="1"/>
    <x v="1"/>
    <n v="60000"/>
    <n v="31000"/>
    <n v="60000"/>
    <n v="31000"/>
    <n v="28797"/>
    <n v="202.99999999999997"/>
    <s v="35 mns"/>
    <x v="3"/>
    <n v="5"/>
    <x v="4"/>
  </r>
  <r>
    <d v="2023-05-10T00:00:00"/>
    <x v="3"/>
    <x v="3"/>
    <n v="1"/>
    <x v="2"/>
    <n v="89000"/>
    <n v="65000"/>
    <n v="89000"/>
    <n v="65000"/>
    <n v="23832"/>
    <n v="167.99999999999997"/>
    <s v="35 mns"/>
    <x v="1"/>
    <n v="5"/>
    <x v="4"/>
  </r>
  <r>
    <d v="2023-05-11T00:00:00"/>
    <x v="0"/>
    <x v="0"/>
    <n v="1"/>
    <x v="0"/>
    <n v="33000"/>
    <n v="18000"/>
    <n v="33000"/>
    <n v="18000"/>
    <n v="14895"/>
    <n v="104.99999999999999"/>
    <s v="11 mns"/>
    <x v="3"/>
    <n v="5"/>
    <x v="4"/>
  </r>
  <r>
    <d v="2023-05-11T00:00:00"/>
    <x v="0"/>
    <x v="0"/>
    <n v="1"/>
    <x v="1"/>
    <n v="60000"/>
    <n v="31000"/>
    <n v="60000"/>
    <n v="31000"/>
    <n v="28797"/>
    <n v="202.99999999999997"/>
    <s v="11 mns"/>
    <x v="2"/>
    <n v="5"/>
    <x v="4"/>
  </r>
  <r>
    <d v="2023-05-11T00:00:00"/>
    <x v="0"/>
    <x v="0"/>
    <n v="1"/>
    <x v="2"/>
    <n v="89000"/>
    <n v="65000"/>
    <n v="89000"/>
    <n v="65000"/>
    <n v="23832"/>
    <n v="167.99999999999997"/>
    <s v="11 mns"/>
    <x v="3"/>
    <n v="5"/>
    <x v="4"/>
  </r>
  <r>
    <d v="2023-05-11T00:00:00"/>
    <x v="2"/>
    <x v="2"/>
    <n v="1"/>
    <x v="0"/>
    <n v="33000"/>
    <n v="18000"/>
    <n v="33000"/>
    <n v="18000"/>
    <n v="14895"/>
    <n v="104.99999999999999"/>
    <s v="30 mns"/>
    <x v="1"/>
    <n v="5"/>
    <x v="4"/>
  </r>
  <r>
    <d v="2023-05-11T00:00:00"/>
    <x v="2"/>
    <x v="2"/>
    <n v="1"/>
    <x v="1"/>
    <n v="60000"/>
    <n v="31000"/>
    <n v="60000"/>
    <n v="31000"/>
    <n v="28797"/>
    <n v="202.99999999999997"/>
    <s v="30 mns"/>
    <x v="3"/>
    <n v="5"/>
    <x v="4"/>
  </r>
  <r>
    <d v="2023-05-11T00:00:00"/>
    <x v="2"/>
    <x v="2"/>
    <n v="1"/>
    <x v="2"/>
    <n v="89000"/>
    <n v="65000"/>
    <n v="89000"/>
    <n v="65000"/>
    <n v="23832"/>
    <n v="167.99999999999997"/>
    <s v="30 mns"/>
    <x v="0"/>
    <n v="5"/>
    <x v="4"/>
  </r>
  <r>
    <d v="2023-05-11T00:00:00"/>
    <x v="3"/>
    <x v="3"/>
    <n v="1"/>
    <x v="0"/>
    <n v="33000"/>
    <n v="18000"/>
    <n v="33000"/>
    <n v="18000"/>
    <n v="14895"/>
    <n v="104.99999999999999"/>
    <s v="35 mns"/>
    <x v="0"/>
    <n v="5"/>
    <x v="4"/>
  </r>
  <r>
    <d v="2023-05-11T00:00:00"/>
    <x v="3"/>
    <x v="3"/>
    <n v="1"/>
    <x v="1"/>
    <n v="60000"/>
    <n v="31000"/>
    <n v="60000"/>
    <n v="31000"/>
    <n v="28797"/>
    <n v="202.99999999999997"/>
    <s v="35 mns"/>
    <x v="3"/>
    <n v="5"/>
    <x v="4"/>
  </r>
  <r>
    <d v="2023-05-11T00:00:00"/>
    <x v="3"/>
    <x v="3"/>
    <n v="1"/>
    <x v="2"/>
    <n v="89000"/>
    <n v="65000"/>
    <n v="89000"/>
    <n v="65000"/>
    <n v="23832"/>
    <n v="167.99999999999997"/>
    <s v="35 mns"/>
    <x v="0"/>
    <n v="5"/>
    <x v="4"/>
  </r>
  <r>
    <d v="2023-05-12T00:00:00"/>
    <x v="0"/>
    <x v="0"/>
    <n v="1"/>
    <x v="0"/>
    <n v="33000"/>
    <n v="18000"/>
    <n v="33000"/>
    <n v="18000"/>
    <n v="14895"/>
    <n v="104.99999999999999"/>
    <s v="11 mns"/>
    <x v="0"/>
    <n v="5"/>
    <x v="4"/>
  </r>
  <r>
    <d v="2023-05-12T00:00:00"/>
    <x v="0"/>
    <x v="0"/>
    <n v="1"/>
    <x v="1"/>
    <n v="60000"/>
    <n v="31000"/>
    <n v="60000"/>
    <n v="31000"/>
    <n v="28797"/>
    <n v="202.99999999999997"/>
    <s v="11 mns"/>
    <x v="1"/>
    <n v="5"/>
    <x v="4"/>
  </r>
  <r>
    <d v="2023-05-12T00:00:00"/>
    <x v="0"/>
    <x v="0"/>
    <n v="1"/>
    <x v="2"/>
    <n v="89000"/>
    <n v="65000"/>
    <n v="89000"/>
    <n v="65000"/>
    <n v="23832"/>
    <n v="167.99999999999997"/>
    <s v="11 mns"/>
    <x v="3"/>
    <n v="5"/>
    <x v="4"/>
  </r>
  <r>
    <d v="2023-05-12T00:00:00"/>
    <x v="2"/>
    <x v="2"/>
    <n v="1"/>
    <x v="0"/>
    <n v="33000"/>
    <n v="18000"/>
    <n v="33000"/>
    <n v="18000"/>
    <n v="14895"/>
    <n v="104.99999999999999"/>
    <s v="30 mns"/>
    <x v="3"/>
    <n v="5"/>
    <x v="4"/>
  </r>
  <r>
    <d v="2023-05-12T00:00:00"/>
    <x v="2"/>
    <x v="2"/>
    <n v="1"/>
    <x v="1"/>
    <n v="60000"/>
    <n v="31000"/>
    <n v="60000"/>
    <n v="31000"/>
    <n v="28797"/>
    <n v="202.99999999999997"/>
    <s v="30 mns"/>
    <x v="2"/>
    <n v="5"/>
    <x v="4"/>
  </r>
  <r>
    <d v="2023-05-12T00:00:00"/>
    <x v="2"/>
    <x v="2"/>
    <n v="1"/>
    <x v="2"/>
    <n v="89000"/>
    <n v="65000"/>
    <n v="89000"/>
    <n v="65000"/>
    <n v="23832"/>
    <n v="167.99999999999997"/>
    <s v="30 mns"/>
    <x v="1"/>
    <n v="5"/>
    <x v="4"/>
  </r>
  <r>
    <d v="2023-05-12T00:00:00"/>
    <x v="3"/>
    <x v="3"/>
    <n v="1"/>
    <x v="0"/>
    <n v="33000"/>
    <n v="18000"/>
    <n v="33000"/>
    <n v="18000"/>
    <n v="14895"/>
    <n v="104.99999999999999"/>
    <s v="35 mns"/>
    <x v="3"/>
    <n v="5"/>
    <x v="4"/>
  </r>
  <r>
    <d v="2023-05-12T00:00:00"/>
    <x v="3"/>
    <x v="3"/>
    <n v="1"/>
    <x v="1"/>
    <n v="60000"/>
    <n v="31000"/>
    <n v="60000"/>
    <n v="31000"/>
    <n v="28797"/>
    <n v="202.99999999999997"/>
    <s v="35 mns"/>
    <x v="1"/>
    <n v="5"/>
    <x v="4"/>
  </r>
  <r>
    <d v="2023-05-12T00:00:00"/>
    <x v="3"/>
    <x v="3"/>
    <n v="1"/>
    <x v="2"/>
    <n v="89000"/>
    <n v="65000"/>
    <n v="89000"/>
    <n v="65000"/>
    <n v="23832"/>
    <n v="167.99999999999997"/>
    <s v="35 mns"/>
    <x v="3"/>
    <n v="5"/>
    <x v="4"/>
  </r>
  <r>
    <d v="2023-05-13T00:00:00"/>
    <x v="0"/>
    <x v="0"/>
    <n v="1"/>
    <x v="0"/>
    <n v="33000"/>
    <n v="18000"/>
    <n v="33000"/>
    <n v="18000"/>
    <n v="14895"/>
    <n v="104.99999999999999"/>
    <s v="11 mns"/>
    <x v="3"/>
    <n v="5"/>
    <x v="4"/>
  </r>
  <r>
    <d v="2023-05-13T00:00:00"/>
    <x v="0"/>
    <x v="0"/>
    <n v="1"/>
    <x v="1"/>
    <n v="60000"/>
    <n v="31000"/>
    <n v="60000"/>
    <n v="31000"/>
    <n v="28797"/>
    <n v="202.99999999999997"/>
    <s v="11 mns"/>
    <x v="1"/>
    <n v="5"/>
    <x v="4"/>
  </r>
  <r>
    <d v="2023-05-13T00:00:00"/>
    <x v="0"/>
    <x v="0"/>
    <n v="1"/>
    <x v="2"/>
    <n v="89000"/>
    <n v="65000"/>
    <n v="89000"/>
    <n v="65000"/>
    <n v="23832"/>
    <n v="167.99999999999997"/>
    <s v="11 mns"/>
    <x v="0"/>
    <n v="5"/>
    <x v="4"/>
  </r>
  <r>
    <d v="2023-05-13T00:00:00"/>
    <x v="2"/>
    <x v="2"/>
    <n v="1"/>
    <x v="0"/>
    <n v="33000"/>
    <n v="18000"/>
    <n v="33000"/>
    <n v="18000"/>
    <n v="14895"/>
    <n v="104.99999999999999"/>
    <s v="30 mns"/>
    <x v="0"/>
    <n v="5"/>
    <x v="4"/>
  </r>
  <r>
    <d v="2023-05-13T00:00:00"/>
    <x v="2"/>
    <x v="2"/>
    <n v="1"/>
    <x v="1"/>
    <n v="60000"/>
    <n v="31000"/>
    <n v="60000"/>
    <n v="31000"/>
    <n v="28797"/>
    <n v="202.99999999999997"/>
    <s v="30 mns"/>
    <x v="1"/>
    <n v="5"/>
    <x v="4"/>
  </r>
  <r>
    <d v="2023-05-13T00:00:00"/>
    <x v="2"/>
    <x v="2"/>
    <n v="1"/>
    <x v="2"/>
    <n v="89000"/>
    <n v="65000"/>
    <n v="89000"/>
    <n v="65000"/>
    <n v="23832"/>
    <n v="167.99999999999997"/>
    <s v="30 mns"/>
    <x v="3"/>
    <n v="5"/>
    <x v="4"/>
  </r>
  <r>
    <d v="2023-05-13T00:00:00"/>
    <x v="3"/>
    <x v="3"/>
    <n v="1"/>
    <x v="0"/>
    <n v="33000"/>
    <n v="18000"/>
    <n v="33000"/>
    <n v="18000"/>
    <n v="14895"/>
    <n v="104.99999999999999"/>
    <s v="35 mns"/>
    <x v="1"/>
    <n v="5"/>
    <x v="4"/>
  </r>
  <r>
    <d v="2023-05-13T00:00:00"/>
    <x v="3"/>
    <x v="3"/>
    <n v="1"/>
    <x v="1"/>
    <n v="60000"/>
    <n v="31000"/>
    <n v="60000"/>
    <n v="31000"/>
    <n v="28797"/>
    <n v="202.99999999999997"/>
    <s v="35 mns"/>
    <x v="1"/>
    <n v="5"/>
    <x v="4"/>
  </r>
  <r>
    <d v="2023-05-13T00:00:00"/>
    <x v="3"/>
    <x v="3"/>
    <n v="1"/>
    <x v="2"/>
    <n v="89000"/>
    <n v="65000"/>
    <n v="89000"/>
    <n v="65000"/>
    <n v="23832"/>
    <n v="167.99999999999997"/>
    <s v="35 mns"/>
    <x v="1"/>
    <n v="5"/>
    <x v="4"/>
  </r>
  <r>
    <d v="2023-05-14T00:00:00"/>
    <x v="0"/>
    <x v="0"/>
    <n v="2"/>
    <x v="0"/>
    <n v="33000"/>
    <n v="18000"/>
    <n v="66000"/>
    <n v="36000"/>
    <n v="29790"/>
    <n v="209.99999999999997"/>
    <s v="11 mns"/>
    <x v="1"/>
    <n v="5"/>
    <x v="4"/>
  </r>
  <r>
    <d v="2023-05-14T00:00:00"/>
    <x v="0"/>
    <x v="0"/>
    <n v="2"/>
    <x v="1"/>
    <n v="60000"/>
    <n v="31000"/>
    <n v="120000"/>
    <n v="62000"/>
    <n v="57594"/>
    <n v="405.99999999999994"/>
    <s v="11 mns"/>
    <x v="1"/>
    <n v="5"/>
    <x v="4"/>
  </r>
  <r>
    <d v="2023-05-14T00:00:00"/>
    <x v="0"/>
    <x v="0"/>
    <n v="2"/>
    <x v="2"/>
    <n v="89000"/>
    <n v="65000"/>
    <n v="178000"/>
    <n v="130000"/>
    <n v="47664"/>
    <n v="335.99999999999994"/>
    <s v="11 mns"/>
    <x v="1"/>
    <n v="5"/>
    <x v="4"/>
  </r>
  <r>
    <d v="2023-05-14T00:00:00"/>
    <x v="2"/>
    <x v="2"/>
    <n v="2"/>
    <x v="0"/>
    <n v="33000"/>
    <n v="18000"/>
    <n v="66000"/>
    <n v="36000"/>
    <n v="29790"/>
    <n v="209.99999999999997"/>
    <s v="30 mns"/>
    <x v="0"/>
    <n v="5"/>
    <x v="4"/>
  </r>
  <r>
    <d v="2023-05-14T00:00:00"/>
    <x v="2"/>
    <x v="2"/>
    <n v="2"/>
    <x v="1"/>
    <n v="60000"/>
    <n v="31000"/>
    <n v="120000"/>
    <n v="62000"/>
    <n v="57594"/>
    <n v="405.99999999999994"/>
    <s v="30 mns"/>
    <x v="3"/>
    <n v="5"/>
    <x v="4"/>
  </r>
  <r>
    <d v="2023-05-14T00:00:00"/>
    <x v="2"/>
    <x v="2"/>
    <n v="2"/>
    <x v="2"/>
    <n v="89000"/>
    <n v="65000"/>
    <n v="178000"/>
    <n v="130000"/>
    <n v="47664"/>
    <n v="335.99999999999994"/>
    <s v="30 mns"/>
    <x v="0"/>
    <n v="5"/>
    <x v="4"/>
  </r>
  <r>
    <d v="2023-05-14T00:00:00"/>
    <x v="3"/>
    <x v="3"/>
    <n v="2"/>
    <x v="0"/>
    <n v="33000"/>
    <n v="18000"/>
    <n v="66000"/>
    <n v="36000"/>
    <n v="29790"/>
    <n v="209.99999999999997"/>
    <s v="35 mns"/>
    <x v="0"/>
    <n v="5"/>
    <x v="4"/>
  </r>
  <r>
    <d v="2023-05-14T00:00:00"/>
    <x v="3"/>
    <x v="3"/>
    <n v="2"/>
    <x v="1"/>
    <n v="60000"/>
    <n v="31000"/>
    <n v="120000"/>
    <n v="62000"/>
    <n v="57594"/>
    <n v="405.99999999999994"/>
    <s v="35 mns"/>
    <x v="3"/>
    <n v="5"/>
    <x v="4"/>
  </r>
  <r>
    <d v="2023-05-14T00:00:00"/>
    <x v="3"/>
    <x v="3"/>
    <n v="2"/>
    <x v="2"/>
    <n v="89000"/>
    <n v="65000"/>
    <n v="178000"/>
    <n v="130000"/>
    <n v="47664"/>
    <n v="335.99999999999994"/>
    <s v="35 mns"/>
    <x v="3"/>
    <n v="5"/>
    <x v="4"/>
  </r>
  <r>
    <d v="2023-05-15T00:00:00"/>
    <x v="0"/>
    <x v="0"/>
    <n v="1"/>
    <x v="0"/>
    <n v="33000"/>
    <n v="18000"/>
    <n v="33000"/>
    <n v="18000"/>
    <n v="14895"/>
    <n v="104.99999999999999"/>
    <s v="11 mns"/>
    <x v="3"/>
    <n v="5"/>
    <x v="4"/>
  </r>
  <r>
    <d v="2023-05-15T00:00:00"/>
    <x v="0"/>
    <x v="0"/>
    <n v="1"/>
    <x v="1"/>
    <n v="60000"/>
    <n v="31000"/>
    <n v="60000"/>
    <n v="31000"/>
    <n v="28797"/>
    <n v="202.99999999999997"/>
    <s v="11 mns"/>
    <x v="0"/>
    <n v="5"/>
    <x v="4"/>
  </r>
  <r>
    <d v="2023-05-15T00:00:00"/>
    <x v="0"/>
    <x v="0"/>
    <n v="1"/>
    <x v="2"/>
    <n v="89000"/>
    <n v="65000"/>
    <n v="89000"/>
    <n v="65000"/>
    <n v="23832"/>
    <n v="167.99999999999997"/>
    <s v="11 mns"/>
    <x v="3"/>
    <n v="5"/>
    <x v="4"/>
  </r>
  <r>
    <d v="2023-05-15T00:00:00"/>
    <x v="2"/>
    <x v="2"/>
    <n v="1"/>
    <x v="0"/>
    <n v="33000"/>
    <n v="18000"/>
    <n v="33000"/>
    <n v="18000"/>
    <n v="14895"/>
    <n v="104.99999999999999"/>
    <s v="30 mns"/>
    <x v="1"/>
    <n v="5"/>
    <x v="4"/>
  </r>
  <r>
    <d v="2023-05-15T00:00:00"/>
    <x v="2"/>
    <x v="2"/>
    <n v="1"/>
    <x v="1"/>
    <n v="60000"/>
    <n v="31000"/>
    <n v="60000"/>
    <n v="31000"/>
    <n v="28797"/>
    <n v="202.99999999999997"/>
    <s v="30 mns"/>
    <x v="3"/>
    <n v="5"/>
    <x v="4"/>
  </r>
  <r>
    <d v="2023-05-15T00:00:00"/>
    <x v="2"/>
    <x v="2"/>
    <n v="1"/>
    <x v="2"/>
    <n v="89000"/>
    <n v="65000"/>
    <n v="89000"/>
    <n v="65000"/>
    <n v="23832"/>
    <n v="167.99999999999997"/>
    <s v="30 mns"/>
    <x v="0"/>
    <n v="5"/>
    <x v="4"/>
  </r>
  <r>
    <d v="2023-05-15T00:00:00"/>
    <x v="3"/>
    <x v="3"/>
    <n v="1"/>
    <x v="0"/>
    <n v="33000"/>
    <n v="18000"/>
    <n v="33000"/>
    <n v="18000"/>
    <n v="14895"/>
    <n v="104.99999999999999"/>
    <s v="35 mns"/>
    <x v="3"/>
    <n v="5"/>
    <x v="4"/>
  </r>
  <r>
    <d v="2023-05-15T00:00:00"/>
    <x v="3"/>
    <x v="3"/>
    <n v="1"/>
    <x v="1"/>
    <n v="60000"/>
    <n v="31000"/>
    <n v="60000"/>
    <n v="31000"/>
    <n v="28797"/>
    <n v="202.99999999999997"/>
    <s v="35 mns"/>
    <x v="1"/>
    <n v="5"/>
    <x v="4"/>
  </r>
  <r>
    <d v="2023-05-15T00:00:00"/>
    <x v="3"/>
    <x v="3"/>
    <n v="1"/>
    <x v="2"/>
    <n v="89000"/>
    <n v="65000"/>
    <n v="89000"/>
    <n v="65000"/>
    <n v="23832"/>
    <n v="167.99999999999997"/>
    <s v="35 mns"/>
    <x v="1"/>
    <n v="5"/>
    <x v="4"/>
  </r>
  <r>
    <d v="2023-05-16T00:00:00"/>
    <x v="0"/>
    <x v="0"/>
    <n v="1"/>
    <x v="0"/>
    <n v="33000"/>
    <n v="18000"/>
    <n v="33000"/>
    <n v="18000"/>
    <n v="14895"/>
    <n v="104.99999999999999"/>
    <s v="11 mns"/>
    <x v="1"/>
    <n v="5"/>
    <x v="4"/>
  </r>
  <r>
    <d v="2023-05-16T00:00:00"/>
    <x v="0"/>
    <x v="0"/>
    <n v="1"/>
    <x v="1"/>
    <n v="60000"/>
    <n v="31000"/>
    <n v="60000"/>
    <n v="31000"/>
    <n v="28797"/>
    <n v="202.99999999999997"/>
    <s v="11 mns"/>
    <x v="3"/>
    <n v="5"/>
    <x v="4"/>
  </r>
  <r>
    <d v="2023-05-16T00:00:00"/>
    <x v="0"/>
    <x v="0"/>
    <n v="1"/>
    <x v="2"/>
    <n v="89000"/>
    <n v="65000"/>
    <n v="89000"/>
    <n v="65000"/>
    <n v="23832"/>
    <n v="167.99999999999997"/>
    <s v="11 mns"/>
    <x v="1"/>
    <n v="5"/>
    <x v="4"/>
  </r>
  <r>
    <d v="2023-05-16T00:00:00"/>
    <x v="2"/>
    <x v="2"/>
    <n v="1"/>
    <x v="0"/>
    <n v="33000"/>
    <n v="18000"/>
    <n v="33000"/>
    <n v="18000"/>
    <n v="14895"/>
    <n v="104.99999999999999"/>
    <s v="30 mns"/>
    <x v="1"/>
    <n v="5"/>
    <x v="4"/>
  </r>
  <r>
    <d v="2023-05-16T00:00:00"/>
    <x v="2"/>
    <x v="2"/>
    <n v="1"/>
    <x v="1"/>
    <n v="60000"/>
    <n v="31000"/>
    <n v="60000"/>
    <n v="31000"/>
    <n v="28797"/>
    <n v="202.99999999999997"/>
    <s v="30 mns"/>
    <x v="3"/>
    <n v="5"/>
    <x v="4"/>
  </r>
  <r>
    <d v="2023-05-16T00:00:00"/>
    <x v="2"/>
    <x v="2"/>
    <n v="1"/>
    <x v="2"/>
    <n v="89000"/>
    <n v="65000"/>
    <n v="89000"/>
    <n v="65000"/>
    <n v="23832"/>
    <n v="167.99999999999997"/>
    <s v="30 mns"/>
    <x v="1"/>
    <n v="5"/>
    <x v="4"/>
  </r>
  <r>
    <d v="2023-05-16T00:00:00"/>
    <x v="3"/>
    <x v="3"/>
    <n v="1"/>
    <x v="0"/>
    <n v="33000"/>
    <n v="18000"/>
    <n v="33000"/>
    <n v="18000"/>
    <n v="14895"/>
    <n v="104.99999999999999"/>
    <s v="35 mns"/>
    <x v="3"/>
    <n v="5"/>
    <x v="4"/>
  </r>
  <r>
    <d v="2023-05-16T00:00:00"/>
    <x v="3"/>
    <x v="3"/>
    <n v="1"/>
    <x v="1"/>
    <n v="60000"/>
    <n v="31000"/>
    <n v="60000"/>
    <n v="31000"/>
    <n v="28797"/>
    <n v="202.99999999999997"/>
    <s v="35 mns"/>
    <x v="0"/>
    <n v="5"/>
    <x v="4"/>
  </r>
  <r>
    <d v="2023-05-16T00:00:00"/>
    <x v="3"/>
    <x v="3"/>
    <n v="1"/>
    <x v="2"/>
    <n v="89000"/>
    <n v="65000"/>
    <n v="89000"/>
    <n v="65000"/>
    <n v="23832"/>
    <n v="167.99999999999997"/>
    <s v="35 mns"/>
    <x v="0"/>
    <n v="5"/>
    <x v="4"/>
  </r>
  <r>
    <d v="2023-05-17T00:00:00"/>
    <x v="0"/>
    <x v="0"/>
    <n v="1"/>
    <x v="0"/>
    <n v="33000"/>
    <n v="18000"/>
    <n v="33000"/>
    <n v="18000"/>
    <n v="14895"/>
    <n v="104.99999999999999"/>
    <s v="11 mns"/>
    <x v="0"/>
    <n v="5"/>
    <x v="4"/>
  </r>
  <r>
    <d v="2023-05-17T00:00:00"/>
    <x v="0"/>
    <x v="0"/>
    <n v="1"/>
    <x v="1"/>
    <n v="60000"/>
    <n v="31000"/>
    <n v="60000"/>
    <n v="31000"/>
    <n v="28797"/>
    <n v="202.99999999999997"/>
    <s v="11 mns"/>
    <x v="2"/>
    <n v="5"/>
    <x v="4"/>
  </r>
  <r>
    <d v="2023-05-17T00:00:00"/>
    <x v="0"/>
    <x v="0"/>
    <n v="1"/>
    <x v="2"/>
    <n v="89000"/>
    <n v="65000"/>
    <n v="89000"/>
    <n v="65000"/>
    <n v="23832"/>
    <n v="167.99999999999997"/>
    <s v="11 mns"/>
    <x v="1"/>
    <n v="5"/>
    <x v="4"/>
  </r>
  <r>
    <d v="2023-05-17T00:00:00"/>
    <x v="2"/>
    <x v="2"/>
    <n v="1"/>
    <x v="0"/>
    <n v="33000"/>
    <n v="18000"/>
    <n v="33000"/>
    <n v="18000"/>
    <n v="14895"/>
    <n v="104.99999999999999"/>
    <s v="30 mns"/>
    <x v="3"/>
    <n v="5"/>
    <x v="4"/>
  </r>
  <r>
    <d v="2023-05-17T00:00:00"/>
    <x v="2"/>
    <x v="2"/>
    <n v="1"/>
    <x v="1"/>
    <n v="60000"/>
    <n v="31000"/>
    <n v="60000"/>
    <n v="31000"/>
    <n v="28797"/>
    <n v="202.99999999999997"/>
    <s v="30 mns"/>
    <x v="0"/>
    <n v="5"/>
    <x v="4"/>
  </r>
  <r>
    <d v="2023-05-17T00:00:00"/>
    <x v="2"/>
    <x v="2"/>
    <n v="1"/>
    <x v="2"/>
    <n v="89000"/>
    <n v="65000"/>
    <n v="89000"/>
    <n v="65000"/>
    <n v="23832"/>
    <n v="167.99999999999997"/>
    <s v="30 mns"/>
    <x v="1"/>
    <n v="5"/>
    <x v="4"/>
  </r>
  <r>
    <d v="2023-05-17T00:00:00"/>
    <x v="3"/>
    <x v="3"/>
    <n v="1"/>
    <x v="0"/>
    <n v="33000"/>
    <n v="18000"/>
    <n v="33000"/>
    <n v="18000"/>
    <n v="14895"/>
    <n v="104.99999999999999"/>
    <s v="35 mns"/>
    <x v="0"/>
    <n v="5"/>
    <x v="4"/>
  </r>
  <r>
    <d v="2023-05-17T00:00:00"/>
    <x v="3"/>
    <x v="3"/>
    <n v="1"/>
    <x v="1"/>
    <n v="60000"/>
    <n v="31000"/>
    <n v="60000"/>
    <n v="31000"/>
    <n v="28797"/>
    <n v="202.99999999999997"/>
    <s v="35 mns"/>
    <x v="0"/>
    <n v="5"/>
    <x v="4"/>
  </r>
  <r>
    <d v="2023-05-17T00:00:00"/>
    <x v="3"/>
    <x v="3"/>
    <n v="1"/>
    <x v="2"/>
    <n v="89000"/>
    <n v="65000"/>
    <n v="89000"/>
    <n v="65000"/>
    <n v="23832"/>
    <n v="167.99999999999997"/>
    <s v="35 mns"/>
    <x v="0"/>
    <n v="5"/>
    <x v="4"/>
  </r>
  <r>
    <d v="2023-05-18T00:00:00"/>
    <x v="0"/>
    <x v="0"/>
    <n v="1"/>
    <x v="0"/>
    <n v="33000"/>
    <n v="18000"/>
    <n v="33000"/>
    <n v="18000"/>
    <n v="14895"/>
    <n v="104.99999999999999"/>
    <s v="11 mns"/>
    <x v="1"/>
    <n v="5"/>
    <x v="4"/>
  </r>
  <r>
    <d v="2023-05-18T00:00:00"/>
    <x v="0"/>
    <x v="0"/>
    <n v="1"/>
    <x v="1"/>
    <n v="60000"/>
    <n v="31000"/>
    <n v="60000"/>
    <n v="31000"/>
    <n v="28797"/>
    <n v="202.99999999999997"/>
    <s v="11 mns"/>
    <x v="3"/>
    <n v="5"/>
    <x v="4"/>
  </r>
  <r>
    <d v="2023-05-18T00:00:00"/>
    <x v="0"/>
    <x v="0"/>
    <n v="1"/>
    <x v="2"/>
    <n v="89000"/>
    <n v="65000"/>
    <n v="89000"/>
    <n v="65000"/>
    <n v="23832"/>
    <n v="167.99999999999997"/>
    <s v="11 mns"/>
    <x v="3"/>
    <n v="5"/>
    <x v="4"/>
  </r>
  <r>
    <d v="2023-05-18T00:00:00"/>
    <x v="2"/>
    <x v="2"/>
    <n v="1"/>
    <x v="0"/>
    <n v="33000"/>
    <n v="18000"/>
    <n v="33000"/>
    <n v="18000"/>
    <n v="14895"/>
    <n v="104.99999999999999"/>
    <s v="30 mns"/>
    <x v="2"/>
    <n v="5"/>
    <x v="4"/>
  </r>
  <r>
    <d v="2023-05-18T00:00:00"/>
    <x v="2"/>
    <x v="2"/>
    <n v="1"/>
    <x v="1"/>
    <n v="60000"/>
    <n v="31000"/>
    <n v="60000"/>
    <n v="31000"/>
    <n v="28797"/>
    <n v="202.99999999999997"/>
    <s v="30 mns"/>
    <x v="0"/>
    <n v="5"/>
    <x v="4"/>
  </r>
  <r>
    <d v="2023-05-18T00:00:00"/>
    <x v="2"/>
    <x v="2"/>
    <n v="1"/>
    <x v="2"/>
    <n v="89000"/>
    <n v="65000"/>
    <n v="89000"/>
    <n v="65000"/>
    <n v="23832"/>
    <n v="167.99999999999997"/>
    <s v="30 mns"/>
    <x v="1"/>
    <n v="5"/>
    <x v="4"/>
  </r>
  <r>
    <d v="2023-05-18T00:00:00"/>
    <x v="3"/>
    <x v="3"/>
    <n v="1"/>
    <x v="0"/>
    <n v="33000"/>
    <n v="18000"/>
    <n v="33000"/>
    <n v="18000"/>
    <n v="14895"/>
    <n v="104.99999999999999"/>
    <s v="35 mns"/>
    <x v="0"/>
    <n v="5"/>
    <x v="4"/>
  </r>
  <r>
    <d v="2023-05-18T00:00:00"/>
    <x v="3"/>
    <x v="3"/>
    <n v="1"/>
    <x v="1"/>
    <n v="60000"/>
    <n v="31000"/>
    <n v="60000"/>
    <n v="31000"/>
    <n v="28797"/>
    <n v="202.99999999999997"/>
    <s v="35 mns"/>
    <x v="3"/>
    <n v="5"/>
    <x v="4"/>
  </r>
  <r>
    <d v="2023-05-18T00:00:00"/>
    <x v="3"/>
    <x v="3"/>
    <n v="1"/>
    <x v="2"/>
    <n v="89000"/>
    <n v="65000"/>
    <n v="89000"/>
    <n v="65000"/>
    <n v="23832"/>
    <n v="167.99999999999997"/>
    <s v="35 mns"/>
    <x v="3"/>
    <n v="5"/>
    <x v="4"/>
  </r>
  <r>
    <d v="2023-05-19T00:00:00"/>
    <x v="0"/>
    <x v="0"/>
    <n v="1"/>
    <x v="0"/>
    <n v="33000"/>
    <n v="18000"/>
    <n v="33000"/>
    <n v="18000"/>
    <n v="14895"/>
    <n v="104.99999999999999"/>
    <s v="11 mns"/>
    <x v="2"/>
    <n v="5"/>
    <x v="4"/>
  </r>
  <r>
    <d v="2023-05-19T00:00:00"/>
    <x v="0"/>
    <x v="0"/>
    <n v="1"/>
    <x v="1"/>
    <n v="60000"/>
    <n v="31000"/>
    <n v="60000"/>
    <n v="31000"/>
    <n v="28797"/>
    <n v="202.99999999999997"/>
    <s v="11 mns"/>
    <x v="0"/>
    <n v="5"/>
    <x v="4"/>
  </r>
  <r>
    <d v="2023-05-19T00:00:00"/>
    <x v="0"/>
    <x v="0"/>
    <n v="1"/>
    <x v="2"/>
    <n v="89000"/>
    <n v="65000"/>
    <n v="89000"/>
    <n v="65000"/>
    <n v="23832"/>
    <n v="167.99999999999997"/>
    <s v="11 mns"/>
    <x v="0"/>
    <n v="5"/>
    <x v="4"/>
  </r>
  <r>
    <d v="2023-05-19T00:00:00"/>
    <x v="2"/>
    <x v="2"/>
    <n v="1"/>
    <x v="0"/>
    <n v="33000"/>
    <n v="18000"/>
    <n v="33000"/>
    <n v="18000"/>
    <n v="14895"/>
    <n v="104.99999999999999"/>
    <s v="30 mns"/>
    <x v="1"/>
    <n v="5"/>
    <x v="4"/>
  </r>
  <r>
    <d v="2023-05-19T00:00:00"/>
    <x v="2"/>
    <x v="2"/>
    <n v="1"/>
    <x v="1"/>
    <n v="60000"/>
    <n v="31000"/>
    <n v="60000"/>
    <n v="31000"/>
    <n v="28797"/>
    <n v="202.99999999999997"/>
    <s v="30 mns"/>
    <x v="0"/>
    <n v="5"/>
    <x v="4"/>
  </r>
  <r>
    <d v="2023-05-19T00:00:00"/>
    <x v="2"/>
    <x v="2"/>
    <n v="1"/>
    <x v="2"/>
    <n v="89000"/>
    <n v="65000"/>
    <n v="89000"/>
    <n v="65000"/>
    <n v="23832"/>
    <n v="167.99999999999997"/>
    <s v="30 mns"/>
    <x v="0"/>
    <n v="5"/>
    <x v="4"/>
  </r>
  <r>
    <d v="2023-05-19T00:00:00"/>
    <x v="3"/>
    <x v="3"/>
    <n v="1"/>
    <x v="0"/>
    <n v="33000"/>
    <n v="18000"/>
    <n v="33000"/>
    <n v="18000"/>
    <n v="14895"/>
    <n v="104.99999999999999"/>
    <s v="35 mns"/>
    <x v="3"/>
    <n v="5"/>
    <x v="4"/>
  </r>
  <r>
    <d v="2023-05-19T00:00:00"/>
    <x v="3"/>
    <x v="3"/>
    <n v="1"/>
    <x v="1"/>
    <n v="60000"/>
    <n v="31000"/>
    <n v="60000"/>
    <n v="31000"/>
    <n v="28797"/>
    <n v="202.99999999999997"/>
    <s v="35 mns"/>
    <x v="1"/>
    <n v="5"/>
    <x v="4"/>
  </r>
  <r>
    <d v="2023-05-19T00:00:00"/>
    <x v="3"/>
    <x v="3"/>
    <n v="1"/>
    <x v="2"/>
    <n v="89000"/>
    <n v="65000"/>
    <n v="89000"/>
    <n v="65000"/>
    <n v="23832"/>
    <n v="167.99999999999997"/>
    <s v="35 mns"/>
    <x v="3"/>
    <n v="5"/>
    <x v="4"/>
  </r>
  <r>
    <d v="2023-05-20T00:00:00"/>
    <x v="0"/>
    <x v="0"/>
    <n v="2"/>
    <x v="0"/>
    <n v="33000"/>
    <n v="18000"/>
    <n v="66000"/>
    <n v="36000"/>
    <n v="29790"/>
    <n v="209.99999999999997"/>
    <s v="11 mns"/>
    <x v="1"/>
    <n v="5"/>
    <x v="4"/>
  </r>
  <r>
    <d v="2023-05-20T00:00:00"/>
    <x v="0"/>
    <x v="0"/>
    <n v="2"/>
    <x v="1"/>
    <n v="60000"/>
    <n v="31000"/>
    <n v="120000"/>
    <n v="62000"/>
    <n v="57594"/>
    <n v="405.99999999999994"/>
    <s v="11 mns"/>
    <x v="3"/>
    <n v="5"/>
    <x v="4"/>
  </r>
  <r>
    <d v="2023-05-20T00:00:00"/>
    <x v="0"/>
    <x v="0"/>
    <n v="2"/>
    <x v="2"/>
    <n v="89000"/>
    <n v="65000"/>
    <n v="178000"/>
    <n v="130000"/>
    <n v="47664"/>
    <n v="335.99999999999994"/>
    <s v="11 mns"/>
    <x v="1"/>
    <n v="5"/>
    <x v="4"/>
  </r>
  <r>
    <d v="2023-05-20T00:00:00"/>
    <x v="1"/>
    <x v="1"/>
    <n v="2"/>
    <x v="0"/>
    <n v="33000"/>
    <n v="18000"/>
    <n v="66000"/>
    <n v="36000"/>
    <n v="29790"/>
    <n v="209.99999999999997"/>
    <s v="58 mns"/>
    <x v="1"/>
    <n v="5"/>
    <x v="4"/>
  </r>
  <r>
    <d v="2023-05-20T00:00:00"/>
    <x v="2"/>
    <x v="2"/>
    <n v="2"/>
    <x v="0"/>
    <n v="33000"/>
    <n v="18000"/>
    <n v="66000"/>
    <n v="36000"/>
    <n v="29790"/>
    <n v="209.99999999999997"/>
    <s v="30 mns"/>
    <x v="1"/>
    <n v="5"/>
    <x v="4"/>
  </r>
  <r>
    <d v="2023-05-20T00:00:00"/>
    <x v="2"/>
    <x v="2"/>
    <n v="2"/>
    <x v="1"/>
    <n v="60000"/>
    <n v="31000"/>
    <n v="120000"/>
    <n v="62000"/>
    <n v="57594"/>
    <n v="405.99999999999994"/>
    <s v="30 mns"/>
    <x v="0"/>
    <n v="5"/>
    <x v="4"/>
  </r>
  <r>
    <d v="2023-05-20T00:00:00"/>
    <x v="2"/>
    <x v="2"/>
    <n v="2"/>
    <x v="2"/>
    <n v="89000"/>
    <n v="65000"/>
    <n v="178000"/>
    <n v="130000"/>
    <n v="47664"/>
    <n v="335.99999999999994"/>
    <s v="30 mns"/>
    <x v="3"/>
    <n v="5"/>
    <x v="4"/>
  </r>
  <r>
    <d v="2023-05-20T00:00:00"/>
    <x v="3"/>
    <x v="3"/>
    <n v="2"/>
    <x v="0"/>
    <n v="33000"/>
    <n v="18000"/>
    <n v="66000"/>
    <n v="36000"/>
    <n v="29790"/>
    <n v="209.99999999999997"/>
    <s v="35 mns"/>
    <x v="3"/>
    <n v="5"/>
    <x v="4"/>
  </r>
  <r>
    <d v="2023-05-20T00:00:00"/>
    <x v="3"/>
    <x v="3"/>
    <n v="2"/>
    <x v="1"/>
    <n v="60000"/>
    <n v="31000"/>
    <n v="120000"/>
    <n v="62000"/>
    <n v="57594"/>
    <n v="405.99999999999994"/>
    <s v="35 mns"/>
    <x v="0"/>
    <n v="5"/>
    <x v="4"/>
  </r>
  <r>
    <d v="2023-05-20T00:00:00"/>
    <x v="3"/>
    <x v="3"/>
    <n v="2"/>
    <x v="2"/>
    <n v="89000"/>
    <n v="65000"/>
    <n v="178000"/>
    <n v="130000"/>
    <n v="47664"/>
    <n v="335.99999999999994"/>
    <s v="35 mns"/>
    <x v="3"/>
    <n v="5"/>
    <x v="4"/>
  </r>
  <r>
    <d v="2023-05-21T00:00:00"/>
    <x v="0"/>
    <x v="0"/>
    <n v="1"/>
    <x v="0"/>
    <n v="33000"/>
    <n v="18000"/>
    <n v="33000"/>
    <n v="18000"/>
    <n v="14895"/>
    <n v="104.99999999999999"/>
    <s v="11 mns"/>
    <x v="0"/>
    <n v="5"/>
    <x v="4"/>
  </r>
  <r>
    <d v="2023-05-21T00:00:00"/>
    <x v="0"/>
    <x v="0"/>
    <n v="1"/>
    <x v="1"/>
    <n v="60000"/>
    <n v="31000"/>
    <n v="60000"/>
    <n v="31000"/>
    <n v="28797"/>
    <n v="202.99999999999997"/>
    <s v="11 mns"/>
    <x v="3"/>
    <n v="5"/>
    <x v="4"/>
  </r>
  <r>
    <d v="2023-05-21T00:00:00"/>
    <x v="0"/>
    <x v="0"/>
    <n v="1"/>
    <x v="2"/>
    <n v="89000"/>
    <n v="65000"/>
    <n v="89000"/>
    <n v="65000"/>
    <n v="23832"/>
    <n v="167.99999999999997"/>
    <s v="11 mns"/>
    <x v="1"/>
    <n v="5"/>
    <x v="4"/>
  </r>
  <r>
    <d v="2023-05-21T00:00:00"/>
    <x v="1"/>
    <x v="1"/>
    <n v="1"/>
    <x v="0"/>
    <n v="33000"/>
    <n v="18000"/>
    <n v="33000"/>
    <n v="18000"/>
    <n v="14895"/>
    <n v="104.99999999999999"/>
    <s v="58 mns"/>
    <x v="1"/>
    <n v="5"/>
    <x v="4"/>
  </r>
  <r>
    <d v="2023-05-21T00:00:00"/>
    <x v="2"/>
    <x v="2"/>
    <n v="1"/>
    <x v="0"/>
    <n v="33000"/>
    <n v="18000"/>
    <n v="33000"/>
    <n v="18000"/>
    <n v="14895"/>
    <n v="104.99999999999999"/>
    <s v="30 mns"/>
    <x v="0"/>
    <n v="5"/>
    <x v="4"/>
  </r>
  <r>
    <d v="2023-05-21T00:00:00"/>
    <x v="2"/>
    <x v="2"/>
    <n v="1"/>
    <x v="1"/>
    <n v="60000"/>
    <n v="31000"/>
    <n v="60000"/>
    <n v="31000"/>
    <n v="28797"/>
    <n v="202.99999999999997"/>
    <s v="30 mns"/>
    <x v="1"/>
    <n v="5"/>
    <x v="4"/>
  </r>
  <r>
    <d v="2023-05-21T00:00:00"/>
    <x v="2"/>
    <x v="2"/>
    <n v="1"/>
    <x v="2"/>
    <n v="89000"/>
    <n v="65000"/>
    <n v="89000"/>
    <n v="65000"/>
    <n v="23832"/>
    <n v="167.99999999999997"/>
    <s v="30 mns"/>
    <x v="3"/>
    <n v="5"/>
    <x v="4"/>
  </r>
  <r>
    <d v="2023-05-21T00:00:00"/>
    <x v="3"/>
    <x v="3"/>
    <n v="1"/>
    <x v="0"/>
    <n v="33000"/>
    <n v="18000"/>
    <n v="33000"/>
    <n v="18000"/>
    <n v="14895"/>
    <n v="104.99999999999999"/>
    <s v="35 mns"/>
    <x v="3"/>
    <n v="5"/>
    <x v="4"/>
  </r>
  <r>
    <d v="2023-05-21T00:00:00"/>
    <x v="3"/>
    <x v="3"/>
    <n v="1"/>
    <x v="1"/>
    <n v="60000"/>
    <n v="31000"/>
    <n v="60000"/>
    <n v="31000"/>
    <n v="28797"/>
    <n v="202.99999999999997"/>
    <s v="35 mns"/>
    <x v="1"/>
    <n v="5"/>
    <x v="4"/>
  </r>
  <r>
    <d v="2023-05-21T00:00:00"/>
    <x v="3"/>
    <x v="3"/>
    <n v="1"/>
    <x v="2"/>
    <n v="89000"/>
    <n v="65000"/>
    <n v="89000"/>
    <n v="65000"/>
    <n v="23832"/>
    <n v="167.99999999999997"/>
    <s v="35 mns"/>
    <x v="1"/>
    <n v="5"/>
    <x v="4"/>
  </r>
  <r>
    <d v="2023-05-22T00:00:00"/>
    <x v="0"/>
    <x v="0"/>
    <n v="1"/>
    <x v="0"/>
    <n v="33000"/>
    <n v="18000"/>
    <n v="33000"/>
    <n v="18000"/>
    <n v="14895"/>
    <n v="104.99999999999999"/>
    <s v="11 mns"/>
    <x v="1"/>
    <n v="5"/>
    <x v="4"/>
  </r>
  <r>
    <d v="2023-05-22T00:00:00"/>
    <x v="0"/>
    <x v="0"/>
    <n v="1"/>
    <x v="1"/>
    <n v="60000"/>
    <n v="31000"/>
    <n v="60000"/>
    <n v="31000"/>
    <n v="28797"/>
    <n v="202.99999999999997"/>
    <s v="11 mns"/>
    <x v="1"/>
    <n v="5"/>
    <x v="4"/>
  </r>
  <r>
    <d v="2023-05-22T00:00:00"/>
    <x v="0"/>
    <x v="0"/>
    <n v="1"/>
    <x v="2"/>
    <n v="89000"/>
    <n v="65000"/>
    <n v="89000"/>
    <n v="65000"/>
    <n v="23832"/>
    <n v="167.99999999999997"/>
    <s v="11 mns"/>
    <x v="1"/>
    <n v="5"/>
    <x v="4"/>
  </r>
  <r>
    <d v="2023-05-22T00:00:00"/>
    <x v="1"/>
    <x v="1"/>
    <n v="1"/>
    <x v="0"/>
    <n v="33000"/>
    <n v="18000"/>
    <n v="33000"/>
    <n v="18000"/>
    <n v="14895"/>
    <n v="104.99999999999999"/>
    <s v="58 mns"/>
    <x v="3"/>
    <n v="5"/>
    <x v="4"/>
  </r>
  <r>
    <d v="2023-05-22T00:00:00"/>
    <x v="2"/>
    <x v="2"/>
    <n v="1"/>
    <x v="0"/>
    <n v="33000"/>
    <n v="18000"/>
    <n v="33000"/>
    <n v="18000"/>
    <n v="14895"/>
    <n v="104.99999999999999"/>
    <s v="30 mns"/>
    <x v="3"/>
    <n v="5"/>
    <x v="4"/>
  </r>
  <r>
    <d v="2023-05-22T00:00:00"/>
    <x v="2"/>
    <x v="2"/>
    <n v="1"/>
    <x v="1"/>
    <n v="60000"/>
    <n v="31000"/>
    <n v="60000"/>
    <n v="31000"/>
    <n v="28797"/>
    <n v="202.99999999999997"/>
    <s v="30 mns"/>
    <x v="3"/>
    <n v="5"/>
    <x v="4"/>
  </r>
  <r>
    <d v="2023-05-22T00:00:00"/>
    <x v="2"/>
    <x v="2"/>
    <n v="1"/>
    <x v="2"/>
    <n v="89000"/>
    <n v="65000"/>
    <n v="89000"/>
    <n v="65000"/>
    <n v="23832"/>
    <n v="167.99999999999997"/>
    <s v="30 mns"/>
    <x v="1"/>
    <n v="5"/>
    <x v="4"/>
  </r>
  <r>
    <d v="2023-05-22T00:00:00"/>
    <x v="3"/>
    <x v="3"/>
    <n v="1"/>
    <x v="0"/>
    <n v="33000"/>
    <n v="18000"/>
    <n v="33000"/>
    <n v="18000"/>
    <n v="14895"/>
    <n v="104.99999999999999"/>
    <s v="35 mns"/>
    <x v="1"/>
    <n v="5"/>
    <x v="4"/>
  </r>
  <r>
    <d v="2023-05-22T00:00:00"/>
    <x v="3"/>
    <x v="3"/>
    <n v="1"/>
    <x v="1"/>
    <n v="60000"/>
    <n v="31000"/>
    <n v="60000"/>
    <n v="31000"/>
    <n v="28797"/>
    <n v="202.99999999999997"/>
    <s v="35 mns"/>
    <x v="3"/>
    <n v="5"/>
    <x v="4"/>
  </r>
  <r>
    <d v="2023-05-22T00:00:00"/>
    <x v="3"/>
    <x v="3"/>
    <n v="1"/>
    <x v="2"/>
    <n v="89000"/>
    <n v="65000"/>
    <n v="89000"/>
    <n v="65000"/>
    <n v="23832"/>
    <n v="167.99999999999997"/>
    <s v="35 mns"/>
    <x v="0"/>
    <n v="5"/>
    <x v="4"/>
  </r>
  <r>
    <d v="2023-05-23T00:00:00"/>
    <x v="0"/>
    <x v="0"/>
    <n v="2"/>
    <x v="0"/>
    <n v="33000"/>
    <n v="18000"/>
    <n v="66000"/>
    <n v="36000"/>
    <n v="29790"/>
    <n v="209.99999999999997"/>
    <s v="11 mns"/>
    <x v="3"/>
    <n v="5"/>
    <x v="4"/>
  </r>
  <r>
    <d v="2023-05-23T00:00:00"/>
    <x v="0"/>
    <x v="0"/>
    <n v="2"/>
    <x v="1"/>
    <n v="60000"/>
    <n v="31000"/>
    <n v="120000"/>
    <n v="62000"/>
    <n v="57594"/>
    <n v="405.99999999999994"/>
    <s v="11 mns"/>
    <x v="3"/>
    <n v="5"/>
    <x v="4"/>
  </r>
  <r>
    <d v="2023-05-23T00:00:00"/>
    <x v="0"/>
    <x v="0"/>
    <n v="2"/>
    <x v="2"/>
    <n v="89000"/>
    <n v="65000"/>
    <n v="178000"/>
    <n v="130000"/>
    <n v="47664"/>
    <n v="335.99999999999994"/>
    <s v="11 mns"/>
    <x v="3"/>
    <n v="5"/>
    <x v="4"/>
  </r>
  <r>
    <d v="2023-05-23T00:00:00"/>
    <x v="1"/>
    <x v="1"/>
    <n v="2"/>
    <x v="0"/>
    <n v="33000"/>
    <n v="18000"/>
    <n v="66000"/>
    <n v="36000"/>
    <n v="29790"/>
    <n v="209.99999999999997"/>
    <s v="58 mns"/>
    <x v="1"/>
    <n v="5"/>
    <x v="4"/>
  </r>
  <r>
    <d v="2023-05-23T00:00:00"/>
    <x v="2"/>
    <x v="2"/>
    <n v="2"/>
    <x v="0"/>
    <n v="33000"/>
    <n v="18000"/>
    <n v="66000"/>
    <n v="36000"/>
    <n v="29790"/>
    <n v="209.99999999999997"/>
    <s v="30 mns"/>
    <x v="3"/>
    <n v="5"/>
    <x v="4"/>
  </r>
  <r>
    <d v="2023-05-23T00:00:00"/>
    <x v="2"/>
    <x v="2"/>
    <n v="2"/>
    <x v="1"/>
    <n v="60000"/>
    <n v="31000"/>
    <n v="120000"/>
    <n v="62000"/>
    <n v="57594"/>
    <n v="405.99999999999994"/>
    <s v="30 mns"/>
    <x v="1"/>
    <n v="5"/>
    <x v="4"/>
  </r>
  <r>
    <d v="2023-05-23T00:00:00"/>
    <x v="2"/>
    <x v="2"/>
    <n v="2"/>
    <x v="2"/>
    <n v="89000"/>
    <n v="65000"/>
    <n v="178000"/>
    <n v="130000"/>
    <n v="47664"/>
    <n v="335.99999999999994"/>
    <s v="30 mns"/>
    <x v="2"/>
    <n v="5"/>
    <x v="4"/>
  </r>
  <r>
    <d v="2023-05-23T00:00:00"/>
    <x v="3"/>
    <x v="3"/>
    <n v="2"/>
    <x v="0"/>
    <n v="33000"/>
    <n v="18000"/>
    <n v="66000"/>
    <n v="36000"/>
    <n v="29790"/>
    <n v="209.99999999999997"/>
    <s v="35 mns"/>
    <x v="3"/>
    <n v="5"/>
    <x v="4"/>
  </r>
  <r>
    <d v="2023-05-23T00:00:00"/>
    <x v="3"/>
    <x v="3"/>
    <n v="2"/>
    <x v="1"/>
    <n v="60000"/>
    <n v="31000"/>
    <n v="120000"/>
    <n v="62000"/>
    <n v="57594"/>
    <n v="405.99999999999994"/>
    <s v="35 mns"/>
    <x v="1"/>
    <n v="5"/>
    <x v="4"/>
  </r>
  <r>
    <d v="2023-05-23T00:00:00"/>
    <x v="3"/>
    <x v="3"/>
    <n v="2"/>
    <x v="2"/>
    <n v="89000"/>
    <n v="65000"/>
    <n v="178000"/>
    <n v="130000"/>
    <n v="47664"/>
    <n v="335.99999999999994"/>
    <s v="35 mns"/>
    <x v="3"/>
    <n v="5"/>
    <x v="4"/>
  </r>
  <r>
    <d v="2023-05-24T00:00:00"/>
    <x v="0"/>
    <x v="0"/>
    <n v="1"/>
    <x v="0"/>
    <n v="33000"/>
    <n v="18000"/>
    <n v="33000"/>
    <n v="18000"/>
    <n v="14895"/>
    <n v="104.99999999999999"/>
    <s v="11 mns"/>
    <x v="0"/>
    <n v="5"/>
    <x v="4"/>
  </r>
  <r>
    <d v="2023-05-24T00:00:00"/>
    <x v="0"/>
    <x v="0"/>
    <n v="1"/>
    <x v="1"/>
    <n v="60000"/>
    <n v="31000"/>
    <n v="60000"/>
    <n v="31000"/>
    <n v="28797"/>
    <n v="202.99999999999997"/>
    <s v="11 mns"/>
    <x v="3"/>
    <n v="5"/>
    <x v="4"/>
  </r>
  <r>
    <d v="2023-05-24T00:00:00"/>
    <x v="0"/>
    <x v="0"/>
    <n v="1"/>
    <x v="2"/>
    <n v="89000"/>
    <n v="65000"/>
    <n v="89000"/>
    <n v="65000"/>
    <n v="23832"/>
    <n v="167.99999999999997"/>
    <s v="11 mns"/>
    <x v="0"/>
    <n v="5"/>
    <x v="4"/>
  </r>
  <r>
    <d v="2023-05-24T00:00:00"/>
    <x v="1"/>
    <x v="1"/>
    <n v="1"/>
    <x v="0"/>
    <n v="33000"/>
    <n v="18000"/>
    <n v="33000"/>
    <n v="18000"/>
    <n v="14895"/>
    <n v="104.99999999999999"/>
    <s v="58 mns"/>
    <x v="1"/>
    <n v="5"/>
    <x v="4"/>
  </r>
  <r>
    <d v="2023-05-24T00:00:00"/>
    <x v="2"/>
    <x v="2"/>
    <n v="1"/>
    <x v="0"/>
    <n v="33000"/>
    <n v="18000"/>
    <n v="33000"/>
    <n v="18000"/>
    <n v="14895"/>
    <n v="104.99999999999999"/>
    <s v="30 mns"/>
    <x v="3"/>
    <n v="5"/>
    <x v="4"/>
  </r>
  <r>
    <d v="2023-05-24T00:00:00"/>
    <x v="2"/>
    <x v="2"/>
    <n v="1"/>
    <x v="1"/>
    <n v="60000"/>
    <n v="31000"/>
    <n v="60000"/>
    <n v="31000"/>
    <n v="28797"/>
    <n v="202.99999999999997"/>
    <s v="30 mns"/>
    <x v="3"/>
    <n v="5"/>
    <x v="4"/>
  </r>
  <r>
    <d v="2023-05-24T00:00:00"/>
    <x v="2"/>
    <x v="2"/>
    <n v="1"/>
    <x v="2"/>
    <n v="89000"/>
    <n v="65000"/>
    <n v="89000"/>
    <n v="65000"/>
    <n v="23832"/>
    <n v="167.99999999999997"/>
    <s v="30 mns"/>
    <x v="0"/>
    <n v="5"/>
    <x v="4"/>
  </r>
  <r>
    <d v="2023-05-24T00:00:00"/>
    <x v="3"/>
    <x v="3"/>
    <n v="1"/>
    <x v="0"/>
    <n v="33000"/>
    <n v="18000"/>
    <n v="33000"/>
    <n v="18000"/>
    <n v="14895"/>
    <n v="104.99999999999999"/>
    <s v="35 mns"/>
    <x v="3"/>
    <n v="5"/>
    <x v="4"/>
  </r>
  <r>
    <d v="2023-05-24T00:00:00"/>
    <x v="3"/>
    <x v="3"/>
    <n v="1"/>
    <x v="1"/>
    <n v="60000"/>
    <n v="31000"/>
    <n v="60000"/>
    <n v="31000"/>
    <n v="28797"/>
    <n v="202.99999999999997"/>
    <s v="35 mns"/>
    <x v="1"/>
    <n v="5"/>
    <x v="4"/>
  </r>
  <r>
    <d v="2023-05-24T00:00:00"/>
    <x v="3"/>
    <x v="3"/>
    <n v="1"/>
    <x v="2"/>
    <n v="89000"/>
    <n v="65000"/>
    <n v="89000"/>
    <n v="65000"/>
    <n v="23832"/>
    <n v="167.99999999999997"/>
    <s v="35 mns"/>
    <x v="2"/>
    <n v="5"/>
    <x v="4"/>
  </r>
  <r>
    <d v="2023-05-25T00:00:00"/>
    <x v="0"/>
    <x v="0"/>
    <n v="1"/>
    <x v="0"/>
    <n v="33000"/>
    <n v="18000"/>
    <n v="33000"/>
    <n v="18000"/>
    <n v="14895"/>
    <n v="104.99999999999999"/>
    <s v="11 mns"/>
    <x v="3"/>
    <n v="5"/>
    <x v="4"/>
  </r>
  <r>
    <d v="2023-05-25T00:00:00"/>
    <x v="0"/>
    <x v="0"/>
    <n v="1"/>
    <x v="1"/>
    <n v="60000"/>
    <n v="31000"/>
    <n v="60000"/>
    <n v="31000"/>
    <n v="28797"/>
    <n v="202.99999999999997"/>
    <s v="11 mns"/>
    <x v="0"/>
    <n v="5"/>
    <x v="4"/>
  </r>
  <r>
    <d v="2023-05-25T00:00:00"/>
    <x v="0"/>
    <x v="0"/>
    <n v="1"/>
    <x v="2"/>
    <n v="89000"/>
    <n v="65000"/>
    <n v="89000"/>
    <n v="65000"/>
    <n v="23832"/>
    <n v="167.99999999999997"/>
    <s v="11 mns"/>
    <x v="1"/>
    <n v="5"/>
    <x v="4"/>
  </r>
  <r>
    <d v="2023-05-25T00:00:00"/>
    <x v="1"/>
    <x v="1"/>
    <n v="1"/>
    <x v="0"/>
    <n v="33000"/>
    <n v="18000"/>
    <n v="33000"/>
    <n v="18000"/>
    <n v="14895"/>
    <n v="104.99999999999999"/>
    <s v="58 mns"/>
    <x v="3"/>
    <n v="5"/>
    <x v="4"/>
  </r>
  <r>
    <d v="2023-05-25T00:00:00"/>
    <x v="2"/>
    <x v="2"/>
    <n v="1"/>
    <x v="0"/>
    <n v="33000"/>
    <n v="18000"/>
    <n v="33000"/>
    <n v="18000"/>
    <n v="14895"/>
    <n v="104.99999999999999"/>
    <s v="30 mns"/>
    <x v="2"/>
    <n v="5"/>
    <x v="4"/>
  </r>
  <r>
    <d v="2023-05-25T00:00:00"/>
    <x v="2"/>
    <x v="2"/>
    <n v="1"/>
    <x v="2"/>
    <n v="89000"/>
    <n v="65000"/>
    <n v="89000"/>
    <n v="65000"/>
    <n v="23832"/>
    <n v="167.99999999999997"/>
    <s v="30 mns"/>
    <x v="0"/>
    <n v="5"/>
    <x v="4"/>
  </r>
  <r>
    <d v="2023-05-25T00:00:00"/>
    <x v="3"/>
    <x v="3"/>
    <n v="1"/>
    <x v="0"/>
    <n v="33000"/>
    <n v="18000"/>
    <n v="33000"/>
    <n v="18000"/>
    <n v="14895"/>
    <n v="104.99999999999999"/>
    <s v="35 mns"/>
    <x v="2"/>
    <n v="5"/>
    <x v="4"/>
  </r>
  <r>
    <d v="2023-05-25T00:00:00"/>
    <x v="3"/>
    <x v="3"/>
    <n v="1"/>
    <x v="1"/>
    <n v="60000"/>
    <n v="31000"/>
    <n v="60000"/>
    <n v="31000"/>
    <n v="28797"/>
    <n v="202.99999999999997"/>
    <s v="35 mns"/>
    <x v="1"/>
    <n v="5"/>
    <x v="4"/>
  </r>
  <r>
    <d v="2023-05-25T00:00:00"/>
    <x v="3"/>
    <x v="3"/>
    <n v="1"/>
    <x v="2"/>
    <n v="89000"/>
    <n v="65000"/>
    <n v="89000"/>
    <n v="65000"/>
    <n v="23832"/>
    <n v="167.99999999999997"/>
    <s v="35 mns"/>
    <x v="2"/>
    <n v="5"/>
    <x v="4"/>
  </r>
  <r>
    <d v="2023-05-26T00:00:00"/>
    <x v="0"/>
    <x v="0"/>
    <n v="1"/>
    <x v="0"/>
    <n v="33000"/>
    <n v="18000"/>
    <n v="33000"/>
    <n v="18000"/>
    <n v="14895"/>
    <n v="104.99999999999999"/>
    <s v="11 mns"/>
    <x v="3"/>
    <n v="5"/>
    <x v="4"/>
  </r>
  <r>
    <d v="2023-05-26T00:00:00"/>
    <x v="0"/>
    <x v="0"/>
    <n v="1"/>
    <x v="1"/>
    <n v="60000"/>
    <n v="31000"/>
    <n v="60000"/>
    <n v="31000"/>
    <n v="28797"/>
    <n v="202.99999999999997"/>
    <s v="11 mns"/>
    <x v="3"/>
    <n v="5"/>
    <x v="4"/>
  </r>
  <r>
    <d v="2023-05-26T00:00:00"/>
    <x v="0"/>
    <x v="0"/>
    <n v="1"/>
    <x v="2"/>
    <n v="89000"/>
    <n v="65000"/>
    <n v="89000"/>
    <n v="65000"/>
    <n v="23832"/>
    <n v="167.99999999999997"/>
    <s v="11 mns"/>
    <x v="1"/>
    <n v="5"/>
    <x v="4"/>
  </r>
  <r>
    <d v="2023-05-26T00:00:00"/>
    <x v="1"/>
    <x v="1"/>
    <n v="1"/>
    <x v="0"/>
    <n v="33000"/>
    <n v="18000"/>
    <n v="33000"/>
    <n v="18000"/>
    <n v="14895"/>
    <n v="104.99999999999999"/>
    <s v="58 mns"/>
    <x v="0"/>
    <n v="5"/>
    <x v="4"/>
  </r>
  <r>
    <d v="2023-05-26T00:00:00"/>
    <x v="2"/>
    <x v="2"/>
    <n v="1"/>
    <x v="0"/>
    <n v="33000"/>
    <n v="18000"/>
    <n v="33000"/>
    <n v="18000"/>
    <n v="14895"/>
    <n v="104.99999999999999"/>
    <s v="30 mns"/>
    <x v="0"/>
    <n v="5"/>
    <x v="4"/>
  </r>
  <r>
    <d v="2023-05-26T00:00:00"/>
    <x v="2"/>
    <x v="2"/>
    <n v="1"/>
    <x v="2"/>
    <n v="89000"/>
    <n v="65000"/>
    <n v="89000"/>
    <n v="65000"/>
    <n v="23832"/>
    <n v="167.99999999999997"/>
    <s v="30 mns"/>
    <x v="0"/>
    <n v="5"/>
    <x v="4"/>
  </r>
  <r>
    <d v="2023-05-26T00:00:00"/>
    <x v="3"/>
    <x v="3"/>
    <n v="1"/>
    <x v="0"/>
    <n v="33000"/>
    <n v="18000"/>
    <n v="33000"/>
    <n v="18000"/>
    <n v="14895"/>
    <n v="104.99999999999999"/>
    <s v="35 mns"/>
    <x v="1"/>
    <n v="5"/>
    <x v="4"/>
  </r>
  <r>
    <d v="2023-05-26T00:00:00"/>
    <x v="3"/>
    <x v="3"/>
    <n v="1"/>
    <x v="1"/>
    <n v="60000"/>
    <n v="31000"/>
    <n v="60000"/>
    <n v="31000"/>
    <n v="28797"/>
    <n v="202.99999999999997"/>
    <s v="35 mns"/>
    <x v="3"/>
    <n v="5"/>
    <x v="4"/>
  </r>
  <r>
    <d v="2023-05-26T00:00:00"/>
    <x v="3"/>
    <x v="3"/>
    <n v="1"/>
    <x v="2"/>
    <n v="89000"/>
    <n v="65000"/>
    <n v="89000"/>
    <n v="65000"/>
    <n v="23832"/>
    <n v="167.99999999999997"/>
    <s v="35 mns"/>
    <x v="0"/>
    <n v="5"/>
    <x v="4"/>
  </r>
  <r>
    <d v="2023-05-27T00:00:00"/>
    <x v="0"/>
    <x v="0"/>
    <n v="2"/>
    <x v="0"/>
    <n v="33000"/>
    <n v="18000"/>
    <n v="66000"/>
    <n v="36000"/>
    <n v="29790"/>
    <n v="209.99999999999997"/>
    <s v="11 mns"/>
    <x v="0"/>
    <n v="5"/>
    <x v="4"/>
  </r>
  <r>
    <d v="2023-05-27T00:00:00"/>
    <x v="0"/>
    <x v="0"/>
    <n v="2"/>
    <x v="1"/>
    <n v="60000"/>
    <n v="31000"/>
    <n v="120000"/>
    <n v="62000"/>
    <n v="57594"/>
    <n v="405.99999999999994"/>
    <s v="11 mns"/>
    <x v="2"/>
    <n v="5"/>
    <x v="4"/>
  </r>
  <r>
    <d v="2023-05-27T00:00:00"/>
    <x v="0"/>
    <x v="0"/>
    <n v="2"/>
    <x v="2"/>
    <n v="89000"/>
    <n v="65000"/>
    <n v="178000"/>
    <n v="130000"/>
    <n v="47664"/>
    <n v="335.99999999999994"/>
    <s v="11 mns"/>
    <x v="3"/>
    <n v="5"/>
    <x v="4"/>
  </r>
  <r>
    <d v="2023-05-27T00:00:00"/>
    <x v="1"/>
    <x v="1"/>
    <n v="2"/>
    <x v="0"/>
    <n v="33000"/>
    <n v="18000"/>
    <n v="66000"/>
    <n v="36000"/>
    <n v="29790"/>
    <n v="209.99999999999997"/>
    <s v="58 mns"/>
    <x v="3"/>
    <n v="5"/>
    <x v="4"/>
  </r>
  <r>
    <d v="2023-05-27T00:00:00"/>
    <x v="2"/>
    <x v="2"/>
    <n v="2"/>
    <x v="0"/>
    <n v="33000"/>
    <n v="18000"/>
    <n v="66000"/>
    <n v="36000"/>
    <n v="29790"/>
    <n v="209.99999999999997"/>
    <s v="30 mns"/>
    <x v="3"/>
    <n v="5"/>
    <x v="4"/>
  </r>
  <r>
    <d v="2023-05-27T00:00:00"/>
    <x v="2"/>
    <x v="2"/>
    <n v="2"/>
    <x v="2"/>
    <n v="89000"/>
    <n v="65000"/>
    <n v="178000"/>
    <n v="130000"/>
    <n v="47664"/>
    <n v="335.99999999999994"/>
    <s v="30 mns"/>
    <x v="3"/>
    <n v="5"/>
    <x v="4"/>
  </r>
  <r>
    <d v="2023-05-27T00:00:00"/>
    <x v="3"/>
    <x v="3"/>
    <n v="2"/>
    <x v="0"/>
    <n v="33000"/>
    <n v="18000"/>
    <n v="66000"/>
    <n v="36000"/>
    <n v="29790"/>
    <n v="209.99999999999997"/>
    <s v="35 mns"/>
    <x v="3"/>
    <n v="5"/>
    <x v="4"/>
  </r>
  <r>
    <d v="2023-05-27T00:00:00"/>
    <x v="3"/>
    <x v="3"/>
    <n v="2"/>
    <x v="1"/>
    <n v="60000"/>
    <n v="31000"/>
    <n v="120000"/>
    <n v="62000"/>
    <n v="57594"/>
    <n v="405.99999999999994"/>
    <s v="35 mns"/>
    <x v="3"/>
    <n v="5"/>
    <x v="4"/>
  </r>
  <r>
    <d v="2023-05-27T00:00:00"/>
    <x v="3"/>
    <x v="3"/>
    <n v="2"/>
    <x v="2"/>
    <n v="89000"/>
    <n v="65000"/>
    <n v="178000"/>
    <n v="130000"/>
    <n v="47664"/>
    <n v="335.99999999999994"/>
    <s v="35 mns"/>
    <x v="3"/>
    <n v="5"/>
    <x v="4"/>
  </r>
  <r>
    <d v="2023-05-28T00:00:00"/>
    <x v="0"/>
    <x v="0"/>
    <n v="1"/>
    <x v="0"/>
    <n v="33000"/>
    <n v="18000"/>
    <n v="33000"/>
    <n v="18000"/>
    <n v="14895"/>
    <n v="104.99999999999999"/>
    <s v="11 mns"/>
    <x v="0"/>
    <n v="5"/>
    <x v="4"/>
  </r>
  <r>
    <d v="2023-05-28T00:00:00"/>
    <x v="0"/>
    <x v="0"/>
    <n v="1"/>
    <x v="1"/>
    <n v="60000"/>
    <n v="31000"/>
    <n v="60000"/>
    <n v="31000"/>
    <n v="28797"/>
    <n v="202.99999999999997"/>
    <s v="11 mns"/>
    <x v="2"/>
    <n v="5"/>
    <x v="4"/>
  </r>
  <r>
    <d v="2023-05-28T00:00:00"/>
    <x v="0"/>
    <x v="0"/>
    <n v="1"/>
    <x v="2"/>
    <n v="89000"/>
    <n v="65000"/>
    <n v="89000"/>
    <n v="65000"/>
    <n v="23832"/>
    <n v="167.99999999999997"/>
    <s v="11 mns"/>
    <x v="3"/>
    <n v="5"/>
    <x v="4"/>
  </r>
  <r>
    <d v="2023-05-28T00:00:00"/>
    <x v="1"/>
    <x v="1"/>
    <n v="1"/>
    <x v="0"/>
    <n v="33000"/>
    <n v="18000"/>
    <n v="33000"/>
    <n v="18000"/>
    <n v="14895"/>
    <n v="104.99999999999999"/>
    <s v="58 mns"/>
    <x v="3"/>
    <n v="5"/>
    <x v="4"/>
  </r>
  <r>
    <d v="2023-05-28T00:00:00"/>
    <x v="2"/>
    <x v="2"/>
    <n v="1"/>
    <x v="0"/>
    <n v="33000"/>
    <n v="18000"/>
    <n v="33000"/>
    <n v="18000"/>
    <n v="14895"/>
    <n v="104.99999999999999"/>
    <s v="30 mns"/>
    <x v="3"/>
    <n v="5"/>
    <x v="4"/>
  </r>
  <r>
    <d v="2023-05-28T00:00:00"/>
    <x v="2"/>
    <x v="2"/>
    <n v="1"/>
    <x v="2"/>
    <n v="89000"/>
    <n v="65000"/>
    <n v="89000"/>
    <n v="65000"/>
    <n v="23832"/>
    <n v="167.99999999999997"/>
    <s v="30 mns"/>
    <x v="1"/>
    <n v="5"/>
    <x v="4"/>
  </r>
  <r>
    <d v="2023-05-28T00:00:00"/>
    <x v="3"/>
    <x v="3"/>
    <n v="1"/>
    <x v="0"/>
    <n v="33000"/>
    <n v="18000"/>
    <n v="33000"/>
    <n v="18000"/>
    <n v="14895"/>
    <n v="104.99999999999999"/>
    <s v="35 mns"/>
    <x v="1"/>
    <n v="5"/>
    <x v="4"/>
  </r>
  <r>
    <d v="2023-05-28T00:00:00"/>
    <x v="3"/>
    <x v="3"/>
    <n v="1"/>
    <x v="1"/>
    <n v="60000"/>
    <n v="31000"/>
    <n v="60000"/>
    <n v="31000"/>
    <n v="28797"/>
    <n v="202.99999999999997"/>
    <s v="35 mns"/>
    <x v="2"/>
    <n v="5"/>
    <x v="4"/>
  </r>
  <r>
    <d v="2023-05-28T00:00:00"/>
    <x v="3"/>
    <x v="3"/>
    <n v="1"/>
    <x v="2"/>
    <n v="89000"/>
    <n v="65000"/>
    <n v="89000"/>
    <n v="65000"/>
    <n v="23832"/>
    <n v="167.99999999999997"/>
    <s v="35 mns"/>
    <x v="3"/>
    <n v="5"/>
    <x v="4"/>
  </r>
  <r>
    <d v="2023-05-29T00:00:00"/>
    <x v="0"/>
    <x v="0"/>
    <n v="1"/>
    <x v="0"/>
    <n v="33000"/>
    <n v="18000"/>
    <n v="33000"/>
    <n v="18000"/>
    <n v="14895"/>
    <n v="104.99999999999999"/>
    <s v="11 mns"/>
    <x v="2"/>
    <n v="5"/>
    <x v="4"/>
  </r>
  <r>
    <d v="2023-05-29T00:00:00"/>
    <x v="0"/>
    <x v="0"/>
    <n v="1"/>
    <x v="1"/>
    <n v="60000"/>
    <n v="31000"/>
    <n v="60000"/>
    <n v="31000"/>
    <n v="28797"/>
    <n v="202.99999999999997"/>
    <s v="11 mns"/>
    <x v="3"/>
    <n v="5"/>
    <x v="4"/>
  </r>
  <r>
    <d v="2023-05-29T00:00:00"/>
    <x v="0"/>
    <x v="0"/>
    <n v="1"/>
    <x v="2"/>
    <n v="89000"/>
    <n v="65000"/>
    <n v="89000"/>
    <n v="65000"/>
    <n v="23832"/>
    <n v="167.99999999999997"/>
    <s v="11 mns"/>
    <x v="1"/>
    <n v="5"/>
    <x v="4"/>
  </r>
  <r>
    <d v="2023-05-29T00:00:00"/>
    <x v="1"/>
    <x v="1"/>
    <n v="1"/>
    <x v="0"/>
    <n v="33000"/>
    <n v="18000"/>
    <n v="33000"/>
    <n v="18000"/>
    <n v="14895"/>
    <n v="104.99999999999999"/>
    <s v="58 mns"/>
    <x v="3"/>
    <n v="5"/>
    <x v="4"/>
  </r>
  <r>
    <d v="2023-05-29T00:00:00"/>
    <x v="2"/>
    <x v="2"/>
    <n v="1"/>
    <x v="0"/>
    <n v="33000"/>
    <n v="18000"/>
    <n v="33000"/>
    <n v="18000"/>
    <n v="14895"/>
    <n v="104.99999999999999"/>
    <s v="30 mns"/>
    <x v="3"/>
    <n v="5"/>
    <x v="4"/>
  </r>
  <r>
    <d v="2023-05-29T00:00:00"/>
    <x v="2"/>
    <x v="2"/>
    <n v="1"/>
    <x v="1"/>
    <n v="60000"/>
    <n v="31000"/>
    <n v="60000"/>
    <n v="31000"/>
    <n v="28797"/>
    <n v="202.99999999999997"/>
    <s v="30 mns"/>
    <x v="1"/>
    <n v="5"/>
    <x v="4"/>
  </r>
  <r>
    <d v="2023-05-29T00:00:00"/>
    <x v="2"/>
    <x v="2"/>
    <n v="1"/>
    <x v="2"/>
    <n v="89000"/>
    <n v="65000"/>
    <n v="89000"/>
    <n v="65000"/>
    <n v="23832"/>
    <n v="167.99999999999997"/>
    <s v="30 mns"/>
    <x v="0"/>
    <n v="5"/>
    <x v="4"/>
  </r>
  <r>
    <d v="2023-05-29T00:00:00"/>
    <x v="3"/>
    <x v="3"/>
    <n v="1"/>
    <x v="0"/>
    <n v="33000"/>
    <n v="18000"/>
    <n v="33000"/>
    <n v="18000"/>
    <n v="14895"/>
    <n v="104.99999999999999"/>
    <s v="35 mns"/>
    <x v="3"/>
    <n v="5"/>
    <x v="4"/>
  </r>
  <r>
    <d v="2023-05-29T00:00:00"/>
    <x v="3"/>
    <x v="3"/>
    <n v="1"/>
    <x v="1"/>
    <n v="60000"/>
    <n v="31000"/>
    <n v="60000"/>
    <n v="31000"/>
    <n v="28797"/>
    <n v="202.99999999999997"/>
    <s v="35 mns"/>
    <x v="1"/>
    <n v="5"/>
    <x v="4"/>
  </r>
  <r>
    <d v="2023-05-29T00:00:00"/>
    <x v="3"/>
    <x v="3"/>
    <n v="1"/>
    <x v="2"/>
    <n v="89000"/>
    <n v="65000"/>
    <n v="89000"/>
    <n v="65000"/>
    <n v="23832"/>
    <n v="167.99999999999997"/>
    <s v="35 mns"/>
    <x v="1"/>
    <n v="5"/>
    <x v="4"/>
  </r>
  <r>
    <d v="2023-05-30T00:00:00"/>
    <x v="0"/>
    <x v="0"/>
    <n v="1"/>
    <x v="0"/>
    <n v="33000"/>
    <n v="18000"/>
    <n v="33000"/>
    <n v="18000"/>
    <n v="14895"/>
    <n v="104.99999999999999"/>
    <s v="11 mns"/>
    <x v="0"/>
    <n v="5"/>
    <x v="4"/>
  </r>
  <r>
    <d v="2023-05-30T00:00:00"/>
    <x v="0"/>
    <x v="0"/>
    <n v="1"/>
    <x v="1"/>
    <n v="60000"/>
    <n v="31000"/>
    <n v="60000"/>
    <n v="31000"/>
    <n v="28797"/>
    <n v="202.99999999999997"/>
    <s v="11 mns"/>
    <x v="1"/>
    <n v="5"/>
    <x v="4"/>
  </r>
  <r>
    <d v="2023-05-30T00:00:00"/>
    <x v="0"/>
    <x v="0"/>
    <n v="1"/>
    <x v="2"/>
    <n v="89000"/>
    <n v="65000"/>
    <n v="89000"/>
    <n v="65000"/>
    <n v="23832"/>
    <n v="167.99999999999997"/>
    <s v="11 mns"/>
    <x v="1"/>
    <n v="5"/>
    <x v="4"/>
  </r>
  <r>
    <d v="2023-05-30T00:00:00"/>
    <x v="1"/>
    <x v="1"/>
    <n v="1"/>
    <x v="0"/>
    <n v="33000"/>
    <n v="18000"/>
    <n v="33000"/>
    <n v="18000"/>
    <n v="14895"/>
    <n v="104.99999999999999"/>
    <s v="58 mns"/>
    <x v="0"/>
    <n v="5"/>
    <x v="4"/>
  </r>
  <r>
    <d v="2023-05-30T00:00:00"/>
    <x v="2"/>
    <x v="2"/>
    <n v="1"/>
    <x v="0"/>
    <n v="33000"/>
    <n v="18000"/>
    <n v="33000"/>
    <n v="18000"/>
    <n v="14895"/>
    <n v="104.99999999999999"/>
    <s v="30 mns"/>
    <x v="2"/>
    <n v="5"/>
    <x v="4"/>
  </r>
  <r>
    <d v="2023-05-30T00:00:00"/>
    <x v="2"/>
    <x v="2"/>
    <n v="1"/>
    <x v="2"/>
    <n v="89000"/>
    <n v="65000"/>
    <n v="89000"/>
    <n v="65000"/>
    <n v="23832"/>
    <n v="167.99999999999997"/>
    <s v="30 mns"/>
    <x v="3"/>
    <n v="5"/>
    <x v="4"/>
  </r>
  <r>
    <d v="2023-05-30T00:00:00"/>
    <x v="3"/>
    <x v="3"/>
    <n v="1"/>
    <x v="0"/>
    <n v="33000"/>
    <n v="18000"/>
    <n v="33000"/>
    <n v="18000"/>
    <n v="14895"/>
    <n v="104.99999999999999"/>
    <s v="35 mns"/>
    <x v="3"/>
    <n v="5"/>
    <x v="4"/>
  </r>
  <r>
    <d v="2023-05-30T00:00:00"/>
    <x v="3"/>
    <x v="3"/>
    <n v="1"/>
    <x v="1"/>
    <n v="60000"/>
    <n v="31000"/>
    <n v="60000"/>
    <n v="31000"/>
    <n v="28797"/>
    <n v="202.99999999999997"/>
    <s v="35 mns"/>
    <x v="3"/>
    <n v="5"/>
    <x v="4"/>
  </r>
  <r>
    <d v="2023-05-30T00:00:00"/>
    <x v="3"/>
    <x v="3"/>
    <n v="1"/>
    <x v="2"/>
    <n v="89000"/>
    <n v="65000"/>
    <n v="89000"/>
    <n v="65000"/>
    <n v="23832"/>
    <n v="167.99999999999997"/>
    <s v="35 mns"/>
    <x v="0"/>
    <n v="5"/>
    <x v="4"/>
  </r>
  <r>
    <d v="2023-05-31T00:00:00"/>
    <x v="0"/>
    <x v="0"/>
    <n v="1"/>
    <x v="0"/>
    <n v="33000"/>
    <n v="18000"/>
    <n v="33000"/>
    <n v="18000"/>
    <n v="14895"/>
    <n v="104.99999999999999"/>
    <s v="11 mns"/>
    <x v="3"/>
    <n v="5"/>
    <x v="4"/>
  </r>
  <r>
    <d v="2023-05-31T00:00:00"/>
    <x v="0"/>
    <x v="0"/>
    <n v="1"/>
    <x v="1"/>
    <n v="60000"/>
    <n v="31000"/>
    <n v="60000"/>
    <n v="31000"/>
    <n v="28797"/>
    <n v="202.99999999999997"/>
    <s v="11 mns"/>
    <x v="0"/>
    <n v="5"/>
    <x v="4"/>
  </r>
  <r>
    <d v="2023-05-31T00:00:00"/>
    <x v="0"/>
    <x v="0"/>
    <n v="1"/>
    <x v="2"/>
    <n v="89000"/>
    <n v="65000"/>
    <n v="89000"/>
    <n v="65000"/>
    <n v="23832"/>
    <n v="167.99999999999997"/>
    <s v="11 mns"/>
    <x v="1"/>
    <n v="5"/>
    <x v="4"/>
  </r>
  <r>
    <d v="2023-05-31T00:00:00"/>
    <x v="1"/>
    <x v="1"/>
    <n v="1"/>
    <x v="0"/>
    <n v="33000"/>
    <n v="18000"/>
    <n v="33000"/>
    <n v="18000"/>
    <n v="14895"/>
    <n v="104.99999999999999"/>
    <s v="58 mns"/>
    <x v="3"/>
    <n v="5"/>
    <x v="4"/>
  </r>
  <r>
    <d v="2023-05-31T00:00:00"/>
    <x v="2"/>
    <x v="2"/>
    <n v="1"/>
    <x v="0"/>
    <n v="33000"/>
    <n v="18000"/>
    <n v="33000"/>
    <n v="18000"/>
    <n v="14895"/>
    <n v="104.99999999999999"/>
    <s v="30 mns"/>
    <x v="3"/>
    <n v="5"/>
    <x v="4"/>
  </r>
  <r>
    <d v="2023-05-31T00:00:00"/>
    <x v="2"/>
    <x v="2"/>
    <n v="1"/>
    <x v="1"/>
    <n v="60000"/>
    <n v="31000"/>
    <n v="60000"/>
    <n v="31000"/>
    <n v="28797"/>
    <n v="202.99999999999997"/>
    <s v="30 mns"/>
    <x v="0"/>
    <n v="5"/>
    <x v="4"/>
  </r>
  <r>
    <d v="2023-05-31T00:00:00"/>
    <x v="2"/>
    <x v="2"/>
    <n v="1"/>
    <x v="2"/>
    <n v="89000"/>
    <n v="65000"/>
    <n v="89000"/>
    <n v="65000"/>
    <n v="23832"/>
    <n v="167.99999999999997"/>
    <s v="30 mns"/>
    <x v="1"/>
    <n v="5"/>
    <x v="4"/>
  </r>
  <r>
    <d v="2023-05-31T00:00:00"/>
    <x v="3"/>
    <x v="3"/>
    <n v="1"/>
    <x v="0"/>
    <n v="33000"/>
    <n v="18000"/>
    <n v="33000"/>
    <n v="18000"/>
    <n v="14895"/>
    <n v="104.99999999999999"/>
    <s v="35 mns"/>
    <x v="0"/>
    <n v="5"/>
    <x v="4"/>
  </r>
  <r>
    <d v="2023-05-31T00:00:00"/>
    <x v="3"/>
    <x v="3"/>
    <n v="1"/>
    <x v="1"/>
    <n v="60000"/>
    <n v="31000"/>
    <n v="60000"/>
    <n v="31000"/>
    <n v="28797"/>
    <n v="202.99999999999997"/>
    <s v="35 mns"/>
    <x v="1"/>
    <n v="5"/>
    <x v="4"/>
  </r>
  <r>
    <d v="2023-05-31T00:00:00"/>
    <x v="3"/>
    <x v="3"/>
    <n v="1"/>
    <x v="2"/>
    <n v="89000"/>
    <n v="65000"/>
    <n v="89000"/>
    <n v="65000"/>
    <n v="23832"/>
    <n v="167.99999999999997"/>
    <s v="35 mns"/>
    <x v="0"/>
    <n v="5"/>
    <x v="4"/>
  </r>
  <r>
    <d v="2023-06-01T00:00:00"/>
    <x v="0"/>
    <x v="0"/>
    <n v="1"/>
    <x v="0"/>
    <n v="33000"/>
    <n v="18000"/>
    <n v="33000"/>
    <n v="18000"/>
    <n v="14895"/>
    <n v="104.99999999999999"/>
    <s v="11 mns"/>
    <x v="1"/>
    <n v="6"/>
    <x v="5"/>
  </r>
  <r>
    <d v="2023-06-01T00:00:00"/>
    <x v="0"/>
    <x v="0"/>
    <n v="1"/>
    <x v="1"/>
    <n v="60000"/>
    <n v="31000"/>
    <n v="60000"/>
    <n v="31000"/>
    <n v="28797"/>
    <n v="202.99999999999997"/>
    <s v="11 mns"/>
    <x v="3"/>
    <n v="6"/>
    <x v="5"/>
  </r>
  <r>
    <d v="2023-06-01T00:00:00"/>
    <x v="0"/>
    <x v="0"/>
    <n v="1"/>
    <x v="2"/>
    <n v="89000"/>
    <n v="65000"/>
    <n v="89000"/>
    <n v="65000"/>
    <n v="23832"/>
    <n v="167.99999999999997"/>
    <s v="11 mns"/>
    <x v="0"/>
    <n v="6"/>
    <x v="5"/>
  </r>
  <r>
    <d v="2023-06-01T00:00:00"/>
    <x v="1"/>
    <x v="1"/>
    <n v="1"/>
    <x v="0"/>
    <n v="33000"/>
    <n v="18000"/>
    <n v="33000"/>
    <n v="18000"/>
    <n v="14895"/>
    <n v="104.99999999999999"/>
    <s v="58 mns"/>
    <x v="1"/>
    <n v="6"/>
    <x v="5"/>
  </r>
  <r>
    <d v="2023-06-01T00:00:00"/>
    <x v="2"/>
    <x v="2"/>
    <n v="1"/>
    <x v="0"/>
    <n v="33000"/>
    <n v="18000"/>
    <n v="33000"/>
    <n v="18000"/>
    <n v="14895"/>
    <n v="104.99999999999999"/>
    <s v="30 mns"/>
    <x v="0"/>
    <n v="6"/>
    <x v="5"/>
  </r>
  <r>
    <d v="2023-06-01T00:00:00"/>
    <x v="2"/>
    <x v="2"/>
    <n v="1"/>
    <x v="2"/>
    <n v="89000"/>
    <n v="65000"/>
    <n v="89000"/>
    <n v="65000"/>
    <n v="23832"/>
    <n v="167.99999999999997"/>
    <s v="30 mns"/>
    <x v="1"/>
    <n v="6"/>
    <x v="5"/>
  </r>
  <r>
    <d v="2023-06-01T00:00:00"/>
    <x v="3"/>
    <x v="3"/>
    <n v="1"/>
    <x v="0"/>
    <n v="33000"/>
    <n v="18000"/>
    <n v="33000"/>
    <n v="18000"/>
    <n v="14895"/>
    <n v="104.99999999999999"/>
    <s v="35 mns"/>
    <x v="0"/>
    <n v="6"/>
    <x v="5"/>
  </r>
  <r>
    <d v="2023-06-01T00:00:00"/>
    <x v="3"/>
    <x v="3"/>
    <n v="1"/>
    <x v="1"/>
    <n v="60000"/>
    <n v="31000"/>
    <n v="60000"/>
    <n v="31000"/>
    <n v="28797"/>
    <n v="202.99999999999997"/>
    <s v="35 mns"/>
    <x v="0"/>
    <n v="6"/>
    <x v="5"/>
  </r>
  <r>
    <d v="2023-06-01T00:00:00"/>
    <x v="3"/>
    <x v="3"/>
    <n v="1"/>
    <x v="2"/>
    <n v="89000"/>
    <n v="65000"/>
    <n v="89000"/>
    <n v="65000"/>
    <n v="23832"/>
    <n v="167.99999999999997"/>
    <s v="35 mns"/>
    <x v="2"/>
    <n v="6"/>
    <x v="5"/>
  </r>
  <r>
    <d v="2023-06-02T00:00:00"/>
    <x v="0"/>
    <x v="0"/>
    <n v="1"/>
    <x v="0"/>
    <n v="33000"/>
    <n v="18000"/>
    <n v="33000"/>
    <n v="18000"/>
    <n v="14895"/>
    <n v="104.99999999999999"/>
    <s v="11 mns"/>
    <x v="1"/>
    <n v="6"/>
    <x v="5"/>
  </r>
  <r>
    <d v="2023-06-02T00:00:00"/>
    <x v="0"/>
    <x v="0"/>
    <n v="1"/>
    <x v="1"/>
    <n v="60000"/>
    <n v="31000"/>
    <n v="60000"/>
    <n v="31000"/>
    <n v="28797"/>
    <n v="202.99999999999997"/>
    <s v="11 mns"/>
    <x v="1"/>
    <n v="6"/>
    <x v="5"/>
  </r>
  <r>
    <d v="2023-06-02T00:00:00"/>
    <x v="0"/>
    <x v="0"/>
    <n v="1"/>
    <x v="2"/>
    <n v="89000"/>
    <n v="65000"/>
    <n v="89000"/>
    <n v="65000"/>
    <n v="23832"/>
    <n v="167.99999999999997"/>
    <s v="11 mns"/>
    <x v="2"/>
    <n v="6"/>
    <x v="5"/>
  </r>
  <r>
    <d v="2023-06-02T00:00:00"/>
    <x v="1"/>
    <x v="1"/>
    <n v="1"/>
    <x v="0"/>
    <n v="33000"/>
    <n v="18000"/>
    <n v="33000"/>
    <n v="18000"/>
    <n v="14895"/>
    <n v="104.99999999999999"/>
    <s v="58 mns"/>
    <x v="1"/>
    <n v="6"/>
    <x v="5"/>
  </r>
  <r>
    <d v="2023-06-02T00:00:00"/>
    <x v="2"/>
    <x v="2"/>
    <n v="1"/>
    <x v="0"/>
    <n v="33000"/>
    <n v="18000"/>
    <n v="33000"/>
    <n v="18000"/>
    <n v="14895"/>
    <n v="104.99999999999999"/>
    <s v="30 mns"/>
    <x v="1"/>
    <n v="6"/>
    <x v="5"/>
  </r>
  <r>
    <d v="2023-06-02T00:00:00"/>
    <x v="2"/>
    <x v="2"/>
    <n v="1"/>
    <x v="1"/>
    <n v="60000"/>
    <n v="31000"/>
    <n v="60000"/>
    <n v="31000"/>
    <n v="28797"/>
    <n v="202.99999999999997"/>
    <s v="30 mns"/>
    <x v="3"/>
    <n v="6"/>
    <x v="5"/>
  </r>
  <r>
    <d v="2023-06-02T00:00:00"/>
    <x v="2"/>
    <x v="2"/>
    <n v="1"/>
    <x v="2"/>
    <n v="89000"/>
    <n v="65000"/>
    <n v="89000"/>
    <n v="65000"/>
    <n v="23832"/>
    <n v="167.99999999999997"/>
    <s v="30 mns"/>
    <x v="3"/>
    <n v="6"/>
    <x v="5"/>
  </r>
  <r>
    <d v="2023-06-02T00:00:00"/>
    <x v="3"/>
    <x v="3"/>
    <n v="1"/>
    <x v="0"/>
    <n v="33000"/>
    <n v="18000"/>
    <n v="33000"/>
    <n v="18000"/>
    <n v="14895"/>
    <n v="104.99999999999999"/>
    <s v="35 mns"/>
    <x v="1"/>
    <n v="6"/>
    <x v="5"/>
  </r>
  <r>
    <d v="2023-06-02T00:00:00"/>
    <x v="3"/>
    <x v="3"/>
    <n v="1"/>
    <x v="1"/>
    <n v="60000"/>
    <n v="31000"/>
    <n v="60000"/>
    <n v="31000"/>
    <n v="28797"/>
    <n v="202.99999999999997"/>
    <s v="35 mns"/>
    <x v="1"/>
    <n v="6"/>
    <x v="5"/>
  </r>
  <r>
    <d v="2023-06-02T00:00:00"/>
    <x v="3"/>
    <x v="3"/>
    <n v="1"/>
    <x v="2"/>
    <n v="89000"/>
    <n v="65000"/>
    <n v="89000"/>
    <n v="65000"/>
    <n v="23832"/>
    <n v="167.99999999999997"/>
    <s v="35 mns"/>
    <x v="1"/>
    <n v="6"/>
    <x v="5"/>
  </r>
  <r>
    <d v="2023-06-03T00:00:00"/>
    <x v="0"/>
    <x v="0"/>
    <n v="1"/>
    <x v="0"/>
    <n v="33000"/>
    <n v="18000"/>
    <n v="33000"/>
    <n v="18000"/>
    <n v="14895"/>
    <n v="104.99999999999999"/>
    <s v="11 mns"/>
    <x v="1"/>
    <n v="6"/>
    <x v="5"/>
  </r>
  <r>
    <d v="2023-06-03T00:00:00"/>
    <x v="0"/>
    <x v="0"/>
    <n v="1"/>
    <x v="1"/>
    <n v="60000"/>
    <n v="31000"/>
    <n v="60000"/>
    <n v="31000"/>
    <n v="28797"/>
    <n v="202.99999999999997"/>
    <s v="11 mns"/>
    <x v="1"/>
    <n v="6"/>
    <x v="5"/>
  </r>
  <r>
    <d v="2023-06-03T00:00:00"/>
    <x v="0"/>
    <x v="0"/>
    <n v="1"/>
    <x v="2"/>
    <n v="89000"/>
    <n v="65000"/>
    <n v="89000"/>
    <n v="65000"/>
    <n v="23832"/>
    <n v="167.99999999999997"/>
    <s v="11 mns"/>
    <x v="0"/>
    <n v="6"/>
    <x v="5"/>
  </r>
  <r>
    <d v="2023-06-03T00:00:00"/>
    <x v="2"/>
    <x v="2"/>
    <n v="1"/>
    <x v="0"/>
    <n v="33000"/>
    <n v="18000"/>
    <n v="33000"/>
    <n v="18000"/>
    <n v="14895"/>
    <n v="104.99999999999999"/>
    <s v="30 mns"/>
    <x v="3"/>
    <n v="6"/>
    <x v="5"/>
  </r>
  <r>
    <d v="2023-06-03T00:00:00"/>
    <x v="2"/>
    <x v="2"/>
    <n v="1"/>
    <x v="1"/>
    <n v="60000"/>
    <n v="31000"/>
    <n v="60000"/>
    <n v="31000"/>
    <n v="28797"/>
    <n v="202.99999999999997"/>
    <s v="30 mns"/>
    <x v="3"/>
    <n v="6"/>
    <x v="5"/>
  </r>
  <r>
    <d v="2023-06-03T00:00:00"/>
    <x v="2"/>
    <x v="2"/>
    <n v="1"/>
    <x v="2"/>
    <n v="89000"/>
    <n v="65000"/>
    <n v="89000"/>
    <n v="65000"/>
    <n v="23832"/>
    <n v="167.99999999999997"/>
    <s v="30 mns"/>
    <x v="0"/>
    <n v="6"/>
    <x v="5"/>
  </r>
  <r>
    <d v="2023-06-03T00:00:00"/>
    <x v="3"/>
    <x v="3"/>
    <n v="1"/>
    <x v="0"/>
    <n v="33000"/>
    <n v="18000"/>
    <n v="33000"/>
    <n v="18000"/>
    <n v="14895"/>
    <n v="104.99999999999999"/>
    <s v="35 mns"/>
    <x v="0"/>
    <n v="6"/>
    <x v="5"/>
  </r>
  <r>
    <d v="2023-06-03T00:00:00"/>
    <x v="3"/>
    <x v="3"/>
    <n v="1"/>
    <x v="1"/>
    <n v="60000"/>
    <n v="31000"/>
    <n v="60000"/>
    <n v="31000"/>
    <n v="28797"/>
    <n v="202.99999999999997"/>
    <s v="35 mns"/>
    <x v="0"/>
    <n v="6"/>
    <x v="5"/>
  </r>
  <r>
    <d v="2023-06-03T00:00:00"/>
    <x v="3"/>
    <x v="3"/>
    <n v="1"/>
    <x v="2"/>
    <n v="89000"/>
    <n v="65000"/>
    <n v="89000"/>
    <n v="65000"/>
    <n v="23832"/>
    <n v="167.99999999999997"/>
    <s v="35 mns"/>
    <x v="3"/>
    <n v="6"/>
    <x v="5"/>
  </r>
  <r>
    <d v="2023-06-04T00:00:00"/>
    <x v="0"/>
    <x v="0"/>
    <n v="2"/>
    <x v="0"/>
    <n v="33000"/>
    <n v="18000"/>
    <n v="66000"/>
    <n v="36000"/>
    <n v="29790"/>
    <n v="209.99999999999997"/>
    <s v="11 mns"/>
    <x v="3"/>
    <n v="6"/>
    <x v="5"/>
  </r>
  <r>
    <d v="2023-06-04T00:00:00"/>
    <x v="0"/>
    <x v="0"/>
    <n v="2"/>
    <x v="1"/>
    <n v="60000"/>
    <n v="31000"/>
    <n v="120000"/>
    <n v="62000"/>
    <n v="57594"/>
    <n v="405.99999999999994"/>
    <s v="11 mns"/>
    <x v="0"/>
    <n v="6"/>
    <x v="5"/>
  </r>
  <r>
    <d v="2023-06-04T00:00:00"/>
    <x v="0"/>
    <x v="0"/>
    <n v="2"/>
    <x v="2"/>
    <n v="89000"/>
    <n v="65000"/>
    <n v="178000"/>
    <n v="130000"/>
    <n v="47664"/>
    <n v="335.99999999999994"/>
    <s v="11 mns"/>
    <x v="1"/>
    <n v="6"/>
    <x v="5"/>
  </r>
  <r>
    <d v="2023-06-04T00:00:00"/>
    <x v="2"/>
    <x v="2"/>
    <n v="2"/>
    <x v="0"/>
    <n v="33000"/>
    <n v="18000"/>
    <n v="66000"/>
    <n v="36000"/>
    <n v="29790"/>
    <n v="209.99999999999997"/>
    <s v="30 mns"/>
    <x v="3"/>
    <n v="6"/>
    <x v="5"/>
  </r>
  <r>
    <d v="2023-06-04T00:00:00"/>
    <x v="2"/>
    <x v="2"/>
    <n v="2"/>
    <x v="1"/>
    <n v="60000"/>
    <n v="31000"/>
    <n v="120000"/>
    <n v="62000"/>
    <n v="57594"/>
    <n v="405.99999999999994"/>
    <s v="30 mns"/>
    <x v="2"/>
    <n v="6"/>
    <x v="5"/>
  </r>
  <r>
    <d v="2023-06-04T00:00:00"/>
    <x v="2"/>
    <x v="2"/>
    <n v="2"/>
    <x v="2"/>
    <n v="89000"/>
    <n v="65000"/>
    <n v="178000"/>
    <n v="130000"/>
    <n v="47664"/>
    <n v="335.99999999999994"/>
    <s v="30 mns"/>
    <x v="3"/>
    <n v="6"/>
    <x v="5"/>
  </r>
  <r>
    <d v="2023-06-04T00:00:00"/>
    <x v="3"/>
    <x v="3"/>
    <n v="2"/>
    <x v="0"/>
    <n v="33000"/>
    <n v="18000"/>
    <n v="66000"/>
    <n v="36000"/>
    <n v="29790"/>
    <n v="209.99999999999997"/>
    <s v="35 mns"/>
    <x v="1"/>
    <n v="6"/>
    <x v="5"/>
  </r>
  <r>
    <d v="2023-06-04T00:00:00"/>
    <x v="3"/>
    <x v="3"/>
    <n v="2"/>
    <x v="1"/>
    <n v="60000"/>
    <n v="31000"/>
    <n v="120000"/>
    <n v="62000"/>
    <n v="57594"/>
    <n v="405.99999999999994"/>
    <s v="35 mns"/>
    <x v="3"/>
    <n v="6"/>
    <x v="5"/>
  </r>
  <r>
    <d v="2023-06-04T00:00:00"/>
    <x v="3"/>
    <x v="3"/>
    <n v="2"/>
    <x v="2"/>
    <n v="89000"/>
    <n v="65000"/>
    <n v="178000"/>
    <n v="130000"/>
    <n v="47664"/>
    <n v="335.99999999999994"/>
    <s v="35 mns"/>
    <x v="3"/>
    <n v="6"/>
    <x v="5"/>
  </r>
  <r>
    <d v="2023-06-05T00:00:00"/>
    <x v="0"/>
    <x v="0"/>
    <n v="1"/>
    <x v="0"/>
    <n v="33000"/>
    <n v="18000"/>
    <n v="33000"/>
    <n v="18000"/>
    <n v="14895"/>
    <n v="104.99999999999999"/>
    <s v="11 mns"/>
    <x v="1"/>
    <n v="6"/>
    <x v="5"/>
  </r>
  <r>
    <d v="2023-06-05T00:00:00"/>
    <x v="0"/>
    <x v="0"/>
    <n v="1"/>
    <x v="1"/>
    <n v="60000"/>
    <n v="31000"/>
    <n v="60000"/>
    <n v="31000"/>
    <n v="28797"/>
    <n v="202.99999999999997"/>
    <s v="11 mns"/>
    <x v="1"/>
    <n v="6"/>
    <x v="5"/>
  </r>
  <r>
    <d v="2023-06-05T00:00:00"/>
    <x v="0"/>
    <x v="0"/>
    <n v="1"/>
    <x v="2"/>
    <n v="89000"/>
    <n v="65000"/>
    <n v="89000"/>
    <n v="65000"/>
    <n v="23832"/>
    <n v="167.99999999999997"/>
    <s v="11 mns"/>
    <x v="3"/>
    <n v="6"/>
    <x v="5"/>
  </r>
  <r>
    <d v="2023-06-05T00:00:00"/>
    <x v="2"/>
    <x v="2"/>
    <n v="1"/>
    <x v="0"/>
    <n v="33000"/>
    <n v="18000"/>
    <n v="33000"/>
    <n v="18000"/>
    <n v="14895"/>
    <n v="104.99999999999999"/>
    <s v="30 mns"/>
    <x v="1"/>
    <n v="6"/>
    <x v="5"/>
  </r>
  <r>
    <d v="2023-06-05T00:00:00"/>
    <x v="2"/>
    <x v="2"/>
    <n v="1"/>
    <x v="1"/>
    <n v="60000"/>
    <n v="31000"/>
    <n v="60000"/>
    <n v="31000"/>
    <n v="28797"/>
    <n v="202.99999999999997"/>
    <s v="30 mns"/>
    <x v="3"/>
    <n v="6"/>
    <x v="5"/>
  </r>
  <r>
    <d v="2023-06-05T00:00:00"/>
    <x v="2"/>
    <x v="2"/>
    <n v="1"/>
    <x v="2"/>
    <n v="89000"/>
    <n v="65000"/>
    <n v="89000"/>
    <n v="65000"/>
    <n v="23832"/>
    <n v="167.99999999999997"/>
    <s v="30 mns"/>
    <x v="0"/>
    <n v="6"/>
    <x v="5"/>
  </r>
  <r>
    <d v="2023-06-05T00:00:00"/>
    <x v="3"/>
    <x v="3"/>
    <n v="1"/>
    <x v="0"/>
    <n v="33000"/>
    <n v="18000"/>
    <n v="33000"/>
    <n v="18000"/>
    <n v="14895"/>
    <n v="104.99999999999999"/>
    <s v="35 mns"/>
    <x v="0"/>
    <n v="6"/>
    <x v="5"/>
  </r>
  <r>
    <d v="2023-06-05T00:00:00"/>
    <x v="3"/>
    <x v="3"/>
    <n v="1"/>
    <x v="1"/>
    <n v="60000"/>
    <n v="31000"/>
    <n v="60000"/>
    <n v="31000"/>
    <n v="28797"/>
    <n v="202.99999999999997"/>
    <s v="35 mns"/>
    <x v="3"/>
    <n v="6"/>
    <x v="5"/>
  </r>
  <r>
    <d v="2023-06-05T00:00:00"/>
    <x v="3"/>
    <x v="3"/>
    <n v="1"/>
    <x v="2"/>
    <n v="89000"/>
    <n v="65000"/>
    <n v="89000"/>
    <n v="65000"/>
    <n v="23832"/>
    <n v="167.99999999999997"/>
    <s v="35 mns"/>
    <x v="0"/>
    <n v="6"/>
    <x v="5"/>
  </r>
  <r>
    <d v="2023-06-06T00:00:00"/>
    <x v="0"/>
    <x v="0"/>
    <n v="1"/>
    <x v="0"/>
    <n v="33000"/>
    <n v="18000"/>
    <n v="33000"/>
    <n v="18000"/>
    <n v="14895"/>
    <n v="104.99999999999999"/>
    <s v="11 mns"/>
    <x v="1"/>
    <n v="6"/>
    <x v="5"/>
  </r>
  <r>
    <d v="2023-06-06T00:00:00"/>
    <x v="0"/>
    <x v="0"/>
    <n v="1"/>
    <x v="1"/>
    <n v="60000"/>
    <n v="31000"/>
    <n v="60000"/>
    <n v="31000"/>
    <n v="28797"/>
    <n v="202.99999999999997"/>
    <s v="11 mns"/>
    <x v="2"/>
    <n v="6"/>
    <x v="5"/>
  </r>
  <r>
    <d v="2023-06-06T00:00:00"/>
    <x v="0"/>
    <x v="0"/>
    <n v="1"/>
    <x v="2"/>
    <n v="89000"/>
    <n v="65000"/>
    <n v="89000"/>
    <n v="65000"/>
    <n v="23832"/>
    <n v="167.99999999999997"/>
    <s v="11 mns"/>
    <x v="0"/>
    <n v="6"/>
    <x v="5"/>
  </r>
  <r>
    <d v="2023-06-06T00:00:00"/>
    <x v="2"/>
    <x v="2"/>
    <n v="1"/>
    <x v="0"/>
    <n v="33000"/>
    <n v="18000"/>
    <n v="33000"/>
    <n v="18000"/>
    <n v="14895"/>
    <n v="104.99999999999999"/>
    <s v="30 mns"/>
    <x v="1"/>
    <n v="6"/>
    <x v="5"/>
  </r>
  <r>
    <d v="2023-06-06T00:00:00"/>
    <x v="2"/>
    <x v="2"/>
    <n v="1"/>
    <x v="1"/>
    <n v="60000"/>
    <n v="31000"/>
    <n v="60000"/>
    <n v="31000"/>
    <n v="28797"/>
    <n v="202.99999999999997"/>
    <s v="30 mns"/>
    <x v="1"/>
    <n v="6"/>
    <x v="5"/>
  </r>
  <r>
    <d v="2023-06-06T00:00:00"/>
    <x v="2"/>
    <x v="2"/>
    <n v="1"/>
    <x v="2"/>
    <n v="89000"/>
    <n v="65000"/>
    <n v="89000"/>
    <n v="65000"/>
    <n v="23832"/>
    <n v="167.99999999999997"/>
    <s v="30 mns"/>
    <x v="3"/>
    <n v="6"/>
    <x v="5"/>
  </r>
  <r>
    <d v="2023-06-06T00:00:00"/>
    <x v="3"/>
    <x v="3"/>
    <n v="1"/>
    <x v="0"/>
    <n v="33000"/>
    <n v="18000"/>
    <n v="33000"/>
    <n v="18000"/>
    <n v="14895"/>
    <n v="104.99999999999999"/>
    <s v="35 mns"/>
    <x v="2"/>
    <n v="6"/>
    <x v="5"/>
  </r>
  <r>
    <d v="2023-06-06T00:00:00"/>
    <x v="3"/>
    <x v="3"/>
    <n v="1"/>
    <x v="1"/>
    <n v="60000"/>
    <n v="31000"/>
    <n v="60000"/>
    <n v="31000"/>
    <n v="28797"/>
    <n v="202.99999999999997"/>
    <s v="35 mns"/>
    <x v="3"/>
    <n v="6"/>
    <x v="5"/>
  </r>
  <r>
    <d v="2023-06-06T00:00:00"/>
    <x v="3"/>
    <x v="3"/>
    <n v="1"/>
    <x v="2"/>
    <n v="89000"/>
    <n v="65000"/>
    <n v="89000"/>
    <n v="65000"/>
    <n v="23832"/>
    <n v="167.99999999999997"/>
    <s v="35 mns"/>
    <x v="0"/>
    <n v="6"/>
    <x v="5"/>
  </r>
  <r>
    <d v="2023-06-07T00:00:00"/>
    <x v="0"/>
    <x v="0"/>
    <n v="2"/>
    <x v="0"/>
    <n v="33000"/>
    <n v="18000"/>
    <n v="66000"/>
    <n v="36000"/>
    <n v="29790"/>
    <n v="209.99999999999997"/>
    <s v="11 mns"/>
    <x v="1"/>
    <n v="6"/>
    <x v="5"/>
  </r>
  <r>
    <d v="2023-06-07T00:00:00"/>
    <x v="0"/>
    <x v="0"/>
    <n v="2"/>
    <x v="1"/>
    <n v="60000"/>
    <n v="31000"/>
    <n v="120000"/>
    <n v="62000"/>
    <n v="57594"/>
    <n v="405.99999999999994"/>
    <s v="11 mns"/>
    <x v="1"/>
    <n v="6"/>
    <x v="5"/>
  </r>
  <r>
    <d v="2023-06-07T00:00:00"/>
    <x v="0"/>
    <x v="0"/>
    <n v="2"/>
    <x v="2"/>
    <n v="89000"/>
    <n v="65000"/>
    <n v="178000"/>
    <n v="130000"/>
    <n v="47664"/>
    <n v="335.99999999999994"/>
    <s v="11 mns"/>
    <x v="1"/>
    <n v="6"/>
    <x v="5"/>
  </r>
  <r>
    <d v="2023-06-07T00:00:00"/>
    <x v="2"/>
    <x v="2"/>
    <n v="2"/>
    <x v="0"/>
    <n v="33000"/>
    <n v="18000"/>
    <n v="66000"/>
    <n v="36000"/>
    <n v="29790"/>
    <n v="209.99999999999997"/>
    <s v="30 mns"/>
    <x v="0"/>
    <n v="6"/>
    <x v="5"/>
  </r>
  <r>
    <d v="2023-06-07T00:00:00"/>
    <x v="2"/>
    <x v="2"/>
    <n v="2"/>
    <x v="1"/>
    <n v="60000"/>
    <n v="31000"/>
    <n v="120000"/>
    <n v="62000"/>
    <n v="57594"/>
    <n v="405.99999999999994"/>
    <s v="30 mns"/>
    <x v="0"/>
    <n v="6"/>
    <x v="5"/>
  </r>
  <r>
    <d v="2023-06-07T00:00:00"/>
    <x v="2"/>
    <x v="2"/>
    <n v="2"/>
    <x v="2"/>
    <n v="89000"/>
    <n v="65000"/>
    <n v="178000"/>
    <n v="130000"/>
    <n v="47664"/>
    <n v="335.99999999999994"/>
    <s v="30 mns"/>
    <x v="0"/>
    <n v="6"/>
    <x v="5"/>
  </r>
  <r>
    <d v="2023-06-07T00:00:00"/>
    <x v="3"/>
    <x v="3"/>
    <n v="2"/>
    <x v="0"/>
    <n v="33000"/>
    <n v="18000"/>
    <n v="66000"/>
    <n v="36000"/>
    <n v="29790"/>
    <n v="209.99999999999997"/>
    <s v="35 mns"/>
    <x v="3"/>
    <n v="6"/>
    <x v="5"/>
  </r>
  <r>
    <d v="2023-06-07T00:00:00"/>
    <x v="3"/>
    <x v="3"/>
    <n v="2"/>
    <x v="1"/>
    <n v="60000"/>
    <n v="31000"/>
    <n v="120000"/>
    <n v="62000"/>
    <n v="57594"/>
    <n v="405.99999999999994"/>
    <s v="35 mns"/>
    <x v="3"/>
    <n v="6"/>
    <x v="5"/>
  </r>
  <r>
    <d v="2023-06-07T00:00:00"/>
    <x v="3"/>
    <x v="3"/>
    <n v="2"/>
    <x v="2"/>
    <n v="89000"/>
    <n v="65000"/>
    <n v="178000"/>
    <n v="130000"/>
    <n v="47664"/>
    <n v="335.99999999999994"/>
    <s v="35 mns"/>
    <x v="3"/>
    <n v="6"/>
    <x v="5"/>
  </r>
  <r>
    <d v="2023-06-08T00:00:00"/>
    <x v="0"/>
    <x v="0"/>
    <n v="2"/>
    <x v="0"/>
    <n v="33000"/>
    <n v="18000"/>
    <n v="66000"/>
    <n v="36000"/>
    <n v="29790"/>
    <n v="209.99999999999997"/>
    <s v="11 mns"/>
    <x v="0"/>
    <n v="6"/>
    <x v="5"/>
  </r>
  <r>
    <d v="2023-06-08T00:00:00"/>
    <x v="0"/>
    <x v="0"/>
    <n v="2"/>
    <x v="1"/>
    <n v="60000"/>
    <n v="31000"/>
    <n v="120000"/>
    <n v="62000"/>
    <n v="57594"/>
    <n v="405.99999999999994"/>
    <s v="11 mns"/>
    <x v="1"/>
    <n v="6"/>
    <x v="5"/>
  </r>
  <r>
    <d v="2023-06-08T00:00:00"/>
    <x v="0"/>
    <x v="0"/>
    <n v="2"/>
    <x v="2"/>
    <n v="89000"/>
    <n v="65000"/>
    <n v="178000"/>
    <n v="130000"/>
    <n v="47664"/>
    <n v="335.99999999999994"/>
    <s v="11 mns"/>
    <x v="1"/>
    <n v="6"/>
    <x v="5"/>
  </r>
  <r>
    <d v="2023-06-08T00:00:00"/>
    <x v="2"/>
    <x v="2"/>
    <n v="2"/>
    <x v="0"/>
    <n v="33000"/>
    <n v="18000"/>
    <n v="66000"/>
    <n v="36000"/>
    <n v="29790"/>
    <n v="209.99999999999997"/>
    <s v="30 mns"/>
    <x v="2"/>
    <n v="6"/>
    <x v="5"/>
  </r>
  <r>
    <d v="2023-06-08T00:00:00"/>
    <x v="2"/>
    <x v="2"/>
    <n v="2"/>
    <x v="1"/>
    <n v="60000"/>
    <n v="31000"/>
    <n v="120000"/>
    <n v="62000"/>
    <n v="57594"/>
    <n v="405.99999999999994"/>
    <s v="30 mns"/>
    <x v="0"/>
    <n v="6"/>
    <x v="5"/>
  </r>
  <r>
    <d v="2023-06-08T00:00:00"/>
    <x v="2"/>
    <x v="2"/>
    <n v="2"/>
    <x v="2"/>
    <n v="89000"/>
    <n v="65000"/>
    <n v="178000"/>
    <n v="130000"/>
    <n v="47664"/>
    <n v="335.99999999999994"/>
    <s v="30 mns"/>
    <x v="3"/>
    <n v="6"/>
    <x v="5"/>
  </r>
  <r>
    <d v="2023-06-08T00:00:00"/>
    <x v="3"/>
    <x v="3"/>
    <n v="2"/>
    <x v="0"/>
    <n v="33000"/>
    <n v="18000"/>
    <n v="66000"/>
    <n v="36000"/>
    <n v="29790"/>
    <n v="209.99999999999997"/>
    <s v="35 mns"/>
    <x v="3"/>
    <n v="6"/>
    <x v="5"/>
  </r>
  <r>
    <d v="2023-06-08T00:00:00"/>
    <x v="3"/>
    <x v="3"/>
    <n v="2"/>
    <x v="1"/>
    <n v="60000"/>
    <n v="31000"/>
    <n v="120000"/>
    <n v="62000"/>
    <n v="57594"/>
    <n v="405.99999999999994"/>
    <s v="35 mns"/>
    <x v="3"/>
    <n v="6"/>
    <x v="5"/>
  </r>
  <r>
    <d v="2023-06-09T00:00:00"/>
    <x v="0"/>
    <x v="0"/>
    <n v="2"/>
    <x v="0"/>
    <n v="33000"/>
    <n v="18000"/>
    <n v="66000"/>
    <n v="36000"/>
    <n v="29790"/>
    <n v="209.99999999999997"/>
    <s v="11 mns"/>
    <x v="2"/>
    <n v="6"/>
    <x v="5"/>
  </r>
  <r>
    <d v="2023-06-09T00:00:00"/>
    <x v="0"/>
    <x v="0"/>
    <n v="2"/>
    <x v="1"/>
    <n v="60000"/>
    <n v="31000"/>
    <n v="120000"/>
    <n v="62000"/>
    <n v="57594"/>
    <n v="405.99999999999994"/>
    <s v="11 mns"/>
    <x v="0"/>
    <n v="6"/>
    <x v="5"/>
  </r>
  <r>
    <d v="2023-06-09T00:00:00"/>
    <x v="0"/>
    <x v="0"/>
    <n v="2"/>
    <x v="2"/>
    <n v="89000"/>
    <n v="65000"/>
    <n v="178000"/>
    <n v="130000"/>
    <n v="47664"/>
    <n v="335.99999999999994"/>
    <s v="11 mns"/>
    <x v="1"/>
    <n v="6"/>
    <x v="5"/>
  </r>
  <r>
    <d v="2023-06-09T00:00:00"/>
    <x v="2"/>
    <x v="2"/>
    <n v="2"/>
    <x v="0"/>
    <n v="33000"/>
    <n v="18000"/>
    <n v="66000"/>
    <n v="36000"/>
    <n v="29790"/>
    <n v="209.99999999999997"/>
    <s v="30 mns"/>
    <x v="0"/>
    <n v="6"/>
    <x v="5"/>
  </r>
  <r>
    <d v="2023-06-09T00:00:00"/>
    <x v="2"/>
    <x v="2"/>
    <n v="2"/>
    <x v="1"/>
    <n v="60000"/>
    <n v="31000"/>
    <n v="120000"/>
    <n v="62000"/>
    <n v="57594"/>
    <n v="405.99999999999994"/>
    <s v="30 mns"/>
    <x v="1"/>
    <n v="6"/>
    <x v="5"/>
  </r>
  <r>
    <d v="2023-06-09T00:00:00"/>
    <x v="2"/>
    <x v="2"/>
    <n v="2"/>
    <x v="2"/>
    <n v="89000"/>
    <n v="65000"/>
    <n v="178000"/>
    <n v="130000"/>
    <n v="47664"/>
    <n v="335.99999999999994"/>
    <s v="30 mns"/>
    <x v="2"/>
    <n v="6"/>
    <x v="5"/>
  </r>
  <r>
    <d v="2023-06-09T00:00:00"/>
    <x v="3"/>
    <x v="3"/>
    <n v="2"/>
    <x v="0"/>
    <n v="33000"/>
    <n v="18000"/>
    <n v="66000"/>
    <n v="36000"/>
    <n v="29790"/>
    <n v="209.99999999999997"/>
    <s v="35 mns"/>
    <x v="0"/>
    <n v="6"/>
    <x v="5"/>
  </r>
  <r>
    <d v="2023-06-09T00:00:00"/>
    <x v="3"/>
    <x v="3"/>
    <n v="2"/>
    <x v="1"/>
    <n v="60000"/>
    <n v="31000"/>
    <n v="120000"/>
    <n v="62000"/>
    <n v="57594"/>
    <n v="405.99999999999994"/>
    <s v="35 mns"/>
    <x v="1"/>
    <n v="6"/>
    <x v="5"/>
  </r>
  <r>
    <d v="2023-06-10T00:00:00"/>
    <x v="0"/>
    <x v="0"/>
    <n v="1"/>
    <x v="0"/>
    <n v="33000"/>
    <n v="18000"/>
    <n v="33000"/>
    <n v="18000"/>
    <n v="14895"/>
    <n v="104.99999999999999"/>
    <s v="11 mns"/>
    <x v="1"/>
    <n v="6"/>
    <x v="5"/>
  </r>
  <r>
    <d v="2023-06-10T00:00:00"/>
    <x v="0"/>
    <x v="0"/>
    <n v="1"/>
    <x v="1"/>
    <n v="60000"/>
    <n v="31000"/>
    <n v="60000"/>
    <n v="31000"/>
    <n v="28797"/>
    <n v="202.99999999999997"/>
    <s v="11 mns"/>
    <x v="0"/>
    <n v="6"/>
    <x v="5"/>
  </r>
  <r>
    <d v="2023-06-10T00:00:00"/>
    <x v="0"/>
    <x v="0"/>
    <n v="1"/>
    <x v="2"/>
    <n v="89000"/>
    <n v="65000"/>
    <n v="89000"/>
    <n v="65000"/>
    <n v="23832"/>
    <n v="167.99999999999997"/>
    <s v="11 mns"/>
    <x v="3"/>
    <n v="6"/>
    <x v="5"/>
  </r>
  <r>
    <d v="2023-06-10T00:00:00"/>
    <x v="2"/>
    <x v="2"/>
    <n v="1"/>
    <x v="0"/>
    <n v="33000"/>
    <n v="18000"/>
    <n v="33000"/>
    <n v="18000"/>
    <n v="14895"/>
    <n v="104.99999999999999"/>
    <s v="30 mns"/>
    <x v="0"/>
    <n v="6"/>
    <x v="5"/>
  </r>
  <r>
    <d v="2023-06-10T00:00:00"/>
    <x v="2"/>
    <x v="2"/>
    <n v="1"/>
    <x v="1"/>
    <n v="60000"/>
    <n v="31000"/>
    <n v="60000"/>
    <n v="31000"/>
    <n v="28797"/>
    <n v="202.99999999999997"/>
    <s v="30 mns"/>
    <x v="1"/>
    <n v="6"/>
    <x v="5"/>
  </r>
  <r>
    <d v="2023-06-10T00:00:00"/>
    <x v="2"/>
    <x v="2"/>
    <n v="1"/>
    <x v="2"/>
    <n v="89000"/>
    <n v="65000"/>
    <n v="89000"/>
    <n v="65000"/>
    <n v="23832"/>
    <n v="167.99999999999997"/>
    <s v="30 mns"/>
    <x v="3"/>
    <n v="6"/>
    <x v="5"/>
  </r>
  <r>
    <d v="2023-06-10T00:00:00"/>
    <x v="3"/>
    <x v="3"/>
    <n v="1"/>
    <x v="0"/>
    <n v="33000"/>
    <n v="18000"/>
    <n v="33000"/>
    <n v="18000"/>
    <n v="14895"/>
    <n v="104.99999999999999"/>
    <s v="35 mns"/>
    <x v="1"/>
    <n v="6"/>
    <x v="5"/>
  </r>
  <r>
    <d v="2023-06-10T00:00:00"/>
    <x v="3"/>
    <x v="3"/>
    <n v="1"/>
    <x v="1"/>
    <n v="60000"/>
    <n v="31000"/>
    <n v="60000"/>
    <n v="31000"/>
    <n v="28797"/>
    <n v="202.99999999999997"/>
    <s v="35 mns"/>
    <x v="3"/>
    <n v="6"/>
    <x v="5"/>
  </r>
  <r>
    <d v="2023-06-11T00:00:00"/>
    <x v="0"/>
    <x v="0"/>
    <n v="1"/>
    <x v="0"/>
    <n v="33000"/>
    <n v="18000"/>
    <n v="33000"/>
    <n v="18000"/>
    <n v="14895"/>
    <n v="104.99999999999999"/>
    <s v="11 mns"/>
    <x v="0"/>
    <n v="6"/>
    <x v="5"/>
  </r>
  <r>
    <d v="2023-06-11T00:00:00"/>
    <x v="0"/>
    <x v="0"/>
    <n v="1"/>
    <x v="1"/>
    <n v="60000"/>
    <n v="31000"/>
    <n v="60000"/>
    <n v="31000"/>
    <n v="28797"/>
    <n v="202.99999999999997"/>
    <s v="11 mns"/>
    <x v="3"/>
    <n v="6"/>
    <x v="5"/>
  </r>
  <r>
    <d v="2023-06-11T00:00:00"/>
    <x v="0"/>
    <x v="0"/>
    <n v="1"/>
    <x v="2"/>
    <n v="89000"/>
    <n v="65000"/>
    <n v="89000"/>
    <n v="65000"/>
    <n v="23832"/>
    <n v="167.99999999999997"/>
    <s v="11 mns"/>
    <x v="3"/>
    <n v="6"/>
    <x v="5"/>
  </r>
  <r>
    <d v="2023-06-11T00:00:00"/>
    <x v="2"/>
    <x v="2"/>
    <n v="1"/>
    <x v="0"/>
    <n v="33000"/>
    <n v="18000"/>
    <n v="33000"/>
    <n v="18000"/>
    <n v="14895"/>
    <n v="104.99999999999999"/>
    <s v="30 mns"/>
    <x v="1"/>
    <n v="6"/>
    <x v="5"/>
  </r>
  <r>
    <d v="2023-06-11T00:00:00"/>
    <x v="2"/>
    <x v="2"/>
    <n v="1"/>
    <x v="1"/>
    <n v="60000"/>
    <n v="31000"/>
    <n v="60000"/>
    <n v="31000"/>
    <n v="28797"/>
    <n v="202.99999999999997"/>
    <s v="30 mns"/>
    <x v="0"/>
    <n v="6"/>
    <x v="5"/>
  </r>
  <r>
    <d v="2023-06-11T00:00:00"/>
    <x v="2"/>
    <x v="2"/>
    <n v="1"/>
    <x v="2"/>
    <n v="89000"/>
    <n v="65000"/>
    <n v="89000"/>
    <n v="65000"/>
    <n v="23832"/>
    <n v="167.99999999999997"/>
    <s v="30 mns"/>
    <x v="1"/>
    <n v="6"/>
    <x v="5"/>
  </r>
  <r>
    <d v="2023-06-11T00:00:00"/>
    <x v="3"/>
    <x v="3"/>
    <n v="1"/>
    <x v="0"/>
    <n v="33000"/>
    <n v="18000"/>
    <n v="33000"/>
    <n v="18000"/>
    <n v="14895"/>
    <n v="104.99999999999999"/>
    <s v="35 mns"/>
    <x v="3"/>
    <n v="6"/>
    <x v="5"/>
  </r>
  <r>
    <d v="2023-06-11T00:00:00"/>
    <x v="3"/>
    <x v="3"/>
    <n v="1"/>
    <x v="1"/>
    <n v="60000"/>
    <n v="31000"/>
    <n v="60000"/>
    <n v="31000"/>
    <n v="28797"/>
    <n v="202.99999999999997"/>
    <s v="35 mns"/>
    <x v="1"/>
    <n v="6"/>
    <x v="5"/>
  </r>
  <r>
    <d v="2023-06-11T00:00:00"/>
    <x v="3"/>
    <x v="3"/>
    <n v="1"/>
    <x v="2"/>
    <n v="89000"/>
    <n v="65000"/>
    <n v="89000"/>
    <n v="65000"/>
    <n v="23832"/>
    <n v="167.99999999999997"/>
    <s v="35 mns"/>
    <x v="2"/>
    <n v="6"/>
    <x v="5"/>
  </r>
  <r>
    <d v="2023-06-12T00:00:00"/>
    <x v="0"/>
    <x v="0"/>
    <n v="1"/>
    <x v="0"/>
    <n v="33000"/>
    <n v="18000"/>
    <n v="33000"/>
    <n v="18000"/>
    <n v="14895"/>
    <n v="104.99999999999999"/>
    <s v="11 mns"/>
    <x v="3"/>
    <n v="6"/>
    <x v="5"/>
  </r>
  <r>
    <d v="2023-06-12T00:00:00"/>
    <x v="0"/>
    <x v="0"/>
    <n v="1"/>
    <x v="1"/>
    <n v="60000"/>
    <n v="31000"/>
    <n v="60000"/>
    <n v="31000"/>
    <n v="28797"/>
    <n v="202.99999999999997"/>
    <s v="11 mns"/>
    <x v="2"/>
    <n v="6"/>
    <x v="5"/>
  </r>
  <r>
    <d v="2023-06-12T00:00:00"/>
    <x v="0"/>
    <x v="0"/>
    <n v="1"/>
    <x v="2"/>
    <n v="89000"/>
    <n v="65000"/>
    <n v="89000"/>
    <n v="65000"/>
    <n v="23832"/>
    <n v="167.99999999999997"/>
    <s v="11 mns"/>
    <x v="0"/>
    <n v="6"/>
    <x v="5"/>
  </r>
  <r>
    <d v="2023-06-12T00:00:00"/>
    <x v="2"/>
    <x v="2"/>
    <n v="1"/>
    <x v="0"/>
    <n v="33000"/>
    <n v="18000"/>
    <n v="33000"/>
    <n v="18000"/>
    <n v="14895"/>
    <n v="104.99999999999999"/>
    <s v="30 mns"/>
    <x v="1"/>
    <n v="6"/>
    <x v="5"/>
  </r>
  <r>
    <d v="2023-06-12T00:00:00"/>
    <x v="2"/>
    <x v="2"/>
    <n v="1"/>
    <x v="1"/>
    <n v="60000"/>
    <n v="31000"/>
    <n v="60000"/>
    <n v="31000"/>
    <n v="28797"/>
    <n v="202.99999999999997"/>
    <s v="30 mns"/>
    <x v="0"/>
    <n v="6"/>
    <x v="5"/>
  </r>
  <r>
    <d v="2023-06-12T00:00:00"/>
    <x v="2"/>
    <x v="2"/>
    <n v="1"/>
    <x v="2"/>
    <n v="89000"/>
    <n v="65000"/>
    <n v="89000"/>
    <n v="65000"/>
    <n v="23832"/>
    <n v="167.99999999999997"/>
    <s v="30 mns"/>
    <x v="0"/>
    <n v="6"/>
    <x v="5"/>
  </r>
  <r>
    <d v="2023-06-12T00:00:00"/>
    <x v="3"/>
    <x v="3"/>
    <n v="1"/>
    <x v="0"/>
    <n v="33000"/>
    <n v="18000"/>
    <n v="33000"/>
    <n v="18000"/>
    <n v="14895"/>
    <n v="104.99999999999999"/>
    <s v="35 mns"/>
    <x v="0"/>
    <n v="6"/>
    <x v="5"/>
  </r>
  <r>
    <d v="2023-06-12T00:00:00"/>
    <x v="3"/>
    <x v="3"/>
    <n v="1"/>
    <x v="1"/>
    <n v="60000"/>
    <n v="31000"/>
    <n v="60000"/>
    <n v="31000"/>
    <n v="28797"/>
    <n v="202.99999999999997"/>
    <s v="35 mns"/>
    <x v="2"/>
    <n v="6"/>
    <x v="5"/>
  </r>
  <r>
    <d v="2023-06-12T00:00:00"/>
    <x v="3"/>
    <x v="3"/>
    <n v="1"/>
    <x v="2"/>
    <n v="89000"/>
    <n v="65000"/>
    <n v="89000"/>
    <n v="65000"/>
    <n v="23832"/>
    <n v="167.99999999999997"/>
    <s v="35 mns"/>
    <x v="1"/>
    <n v="6"/>
    <x v="5"/>
  </r>
  <r>
    <d v="2023-06-13T00:00:00"/>
    <x v="0"/>
    <x v="0"/>
    <n v="1"/>
    <x v="0"/>
    <n v="33000"/>
    <n v="18000"/>
    <n v="33000"/>
    <n v="18000"/>
    <n v="14895"/>
    <n v="104.99999999999999"/>
    <s v="11 mns"/>
    <x v="1"/>
    <n v="6"/>
    <x v="5"/>
  </r>
  <r>
    <d v="2023-06-13T00:00:00"/>
    <x v="0"/>
    <x v="0"/>
    <n v="1"/>
    <x v="1"/>
    <n v="60000"/>
    <n v="31000"/>
    <n v="60000"/>
    <n v="31000"/>
    <n v="28797"/>
    <n v="202.99999999999997"/>
    <s v="11 mns"/>
    <x v="1"/>
    <n v="6"/>
    <x v="5"/>
  </r>
  <r>
    <d v="2023-06-13T00:00:00"/>
    <x v="0"/>
    <x v="0"/>
    <n v="1"/>
    <x v="2"/>
    <n v="89000"/>
    <n v="65000"/>
    <n v="89000"/>
    <n v="65000"/>
    <n v="23832"/>
    <n v="167.99999999999997"/>
    <s v="11 mns"/>
    <x v="0"/>
    <n v="6"/>
    <x v="5"/>
  </r>
  <r>
    <d v="2023-06-13T00:00:00"/>
    <x v="2"/>
    <x v="2"/>
    <n v="1"/>
    <x v="0"/>
    <n v="33000"/>
    <n v="18000"/>
    <n v="33000"/>
    <n v="18000"/>
    <n v="14895"/>
    <n v="104.99999999999999"/>
    <s v="30 mns"/>
    <x v="3"/>
    <n v="6"/>
    <x v="5"/>
  </r>
  <r>
    <d v="2023-06-13T00:00:00"/>
    <x v="2"/>
    <x v="2"/>
    <n v="1"/>
    <x v="1"/>
    <n v="60000"/>
    <n v="31000"/>
    <n v="60000"/>
    <n v="31000"/>
    <n v="28797"/>
    <n v="202.99999999999997"/>
    <s v="30 mns"/>
    <x v="1"/>
    <n v="6"/>
    <x v="5"/>
  </r>
  <r>
    <d v="2023-06-13T00:00:00"/>
    <x v="2"/>
    <x v="2"/>
    <n v="1"/>
    <x v="2"/>
    <n v="89000"/>
    <n v="65000"/>
    <n v="89000"/>
    <n v="65000"/>
    <n v="23832"/>
    <n v="167.99999999999997"/>
    <s v="30 mns"/>
    <x v="1"/>
    <n v="6"/>
    <x v="5"/>
  </r>
  <r>
    <d v="2023-06-13T00:00:00"/>
    <x v="3"/>
    <x v="3"/>
    <n v="1"/>
    <x v="0"/>
    <n v="33000"/>
    <n v="18000"/>
    <n v="33000"/>
    <n v="18000"/>
    <n v="14895"/>
    <n v="104.99999999999999"/>
    <s v="35 mns"/>
    <x v="0"/>
    <n v="6"/>
    <x v="5"/>
  </r>
  <r>
    <d v="2023-06-13T00:00:00"/>
    <x v="3"/>
    <x v="3"/>
    <n v="1"/>
    <x v="1"/>
    <n v="60000"/>
    <n v="31000"/>
    <n v="60000"/>
    <n v="31000"/>
    <n v="28797"/>
    <n v="202.99999999999997"/>
    <s v="35 mns"/>
    <x v="0"/>
    <n v="6"/>
    <x v="5"/>
  </r>
  <r>
    <d v="2023-06-13T00:00:00"/>
    <x v="3"/>
    <x v="3"/>
    <n v="1"/>
    <x v="2"/>
    <n v="89000"/>
    <n v="65000"/>
    <n v="89000"/>
    <n v="65000"/>
    <n v="23832"/>
    <n v="167.99999999999997"/>
    <s v="35 mns"/>
    <x v="1"/>
    <n v="6"/>
    <x v="5"/>
  </r>
  <r>
    <d v="2023-06-14T00:00:00"/>
    <x v="0"/>
    <x v="0"/>
    <n v="1"/>
    <x v="0"/>
    <n v="33000"/>
    <n v="18000"/>
    <n v="33000"/>
    <n v="18000"/>
    <n v="14895"/>
    <n v="104.99999999999999"/>
    <s v="11 mns"/>
    <x v="0"/>
    <n v="6"/>
    <x v="5"/>
  </r>
  <r>
    <d v="2023-06-14T00:00:00"/>
    <x v="0"/>
    <x v="0"/>
    <n v="1"/>
    <x v="1"/>
    <n v="60000"/>
    <n v="31000"/>
    <n v="60000"/>
    <n v="31000"/>
    <n v="28797"/>
    <n v="202.99999999999997"/>
    <s v="11 mns"/>
    <x v="1"/>
    <n v="6"/>
    <x v="5"/>
  </r>
  <r>
    <d v="2023-06-14T00:00:00"/>
    <x v="0"/>
    <x v="0"/>
    <n v="1"/>
    <x v="2"/>
    <n v="89000"/>
    <n v="65000"/>
    <n v="89000"/>
    <n v="65000"/>
    <n v="23832"/>
    <n v="167.99999999999997"/>
    <s v="11 mns"/>
    <x v="3"/>
    <n v="6"/>
    <x v="5"/>
  </r>
  <r>
    <d v="2023-06-14T00:00:00"/>
    <x v="2"/>
    <x v="2"/>
    <n v="1"/>
    <x v="0"/>
    <n v="33000"/>
    <n v="18000"/>
    <n v="33000"/>
    <n v="18000"/>
    <n v="14895"/>
    <n v="104.99999999999999"/>
    <s v="30 mns"/>
    <x v="3"/>
    <n v="6"/>
    <x v="5"/>
  </r>
  <r>
    <d v="2023-06-14T00:00:00"/>
    <x v="2"/>
    <x v="2"/>
    <n v="1"/>
    <x v="1"/>
    <n v="60000"/>
    <n v="31000"/>
    <n v="60000"/>
    <n v="31000"/>
    <n v="28797"/>
    <n v="202.99999999999997"/>
    <s v="30 mns"/>
    <x v="2"/>
    <n v="6"/>
    <x v="5"/>
  </r>
  <r>
    <d v="2023-06-14T00:00:00"/>
    <x v="2"/>
    <x v="2"/>
    <n v="1"/>
    <x v="2"/>
    <n v="89000"/>
    <n v="65000"/>
    <n v="89000"/>
    <n v="65000"/>
    <n v="23832"/>
    <n v="167.99999999999997"/>
    <s v="30 mns"/>
    <x v="1"/>
    <n v="6"/>
    <x v="5"/>
  </r>
  <r>
    <d v="2023-06-14T00:00:00"/>
    <x v="3"/>
    <x v="3"/>
    <n v="1"/>
    <x v="0"/>
    <n v="33000"/>
    <n v="18000"/>
    <n v="33000"/>
    <n v="18000"/>
    <n v="14895"/>
    <n v="104.99999999999999"/>
    <s v="35 mns"/>
    <x v="0"/>
    <n v="6"/>
    <x v="5"/>
  </r>
  <r>
    <d v="2023-06-14T00:00:00"/>
    <x v="3"/>
    <x v="3"/>
    <n v="1"/>
    <x v="1"/>
    <n v="60000"/>
    <n v="31000"/>
    <n v="60000"/>
    <n v="31000"/>
    <n v="28797"/>
    <n v="202.99999999999997"/>
    <s v="35 mns"/>
    <x v="3"/>
    <n v="6"/>
    <x v="5"/>
  </r>
  <r>
    <d v="2023-06-14T00:00:00"/>
    <x v="3"/>
    <x v="3"/>
    <n v="1"/>
    <x v="2"/>
    <n v="89000"/>
    <n v="65000"/>
    <n v="89000"/>
    <n v="65000"/>
    <n v="23832"/>
    <n v="167.99999999999997"/>
    <s v="35 mns"/>
    <x v="0"/>
    <n v="6"/>
    <x v="5"/>
  </r>
  <r>
    <d v="2023-06-15T00:00:00"/>
    <x v="0"/>
    <x v="0"/>
    <n v="1"/>
    <x v="0"/>
    <n v="33000"/>
    <n v="18000"/>
    <n v="33000"/>
    <n v="18000"/>
    <n v="14895"/>
    <n v="104.99999999999999"/>
    <s v="11 mns"/>
    <x v="0"/>
    <n v="6"/>
    <x v="5"/>
  </r>
  <r>
    <d v="2023-06-15T00:00:00"/>
    <x v="0"/>
    <x v="0"/>
    <n v="1"/>
    <x v="1"/>
    <n v="60000"/>
    <n v="31000"/>
    <n v="60000"/>
    <n v="31000"/>
    <n v="28797"/>
    <n v="202.99999999999997"/>
    <s v="11 mns"/>
    <x v="0"/>
    <n v="6"/>
    <x v="5"/>
  </r>
  <r>
    <d v="2023-06-15T00:00:00"/>
    <x v="0"/>
    <x v="0"/>
    <n v="1"/>
    <x v="2"/>
    <n v="89000"/>
    <n v="65000"/>
    <n v="89000"/>
    <n v="65000"/>
    <n v="23832"/>
    <n v="167.99999999999997"/>
    <s v="11 mns"/>
    <x v="1"/>
    <n v="6"/>
    <x v="5"/>
  </r>
  <r>
    <d v="2023-06-15T00:00:00"/>
    <x v="2"/>
    <x v="2"/>
    <n v="1"/>
    <x v="0"/>
    <n v="33000"/>
    <n v="18000"/>
    <n v="33000"/>
    <n v="18000"/>
    <n v="14895"/>
    <n v="104.99999999999999"/>
    <s v="30 mns"/>
    <x v="3"/>
    <n v="6"/>
    <x v="5"/>
  </r>
  <r>
    <d v="2023-06-15T00:00:00"/>
    <x v="2"/>
    <x v="2"/>
    <n v="1"/>
    <x v="1"/>
    <n v="60000"/>
    <n v="31000"/>
    <n v="60000"/>
    <n v="31000"/>
    <n v="28797"/>
    <n v="202.99999999999997"/>
    <s v="30 mns"/>
    <x v="1"/>
    <n v="6"/>
    <x v="5"/>
  </r>
  <r>
    <d v="2023-06-15T00:00:00"/>
    <x v="2"/>
    <x v="2"/>
    <n v="1"/>
    <x v="2"/>
    <n v="89000"/>
    <n v="65000"/>
    <n v="89000"/>
    <n v="65000"/>
    <n v="23832"/>
    <n v="167.99999999999997"/>
    <s v="30 mns"/>
    <x v="0"/>
    <n v="6"/>
    <x v="5"/>
  </r>
  <r>
    <d v="2023-06-15T00:00:00"/>
    <x v="3"/>
    <x v="3"/>
    <n v="1"/>
    <x v="0"/>
    <n v="33000"/>
    <n v="18000"/>
    <n v="33000"/>
    <n v="18000"/>
    <n v="14895"/>
    <n v="104.99999999999999"/>
    <s v="35 mns"/>
    <x v="3"/>
    <n v="6"/>
    <x v="5"/>
  </r>
  <r>
    <d v="2023-06-15T00:00:00"/>
    <x v="3"/>
    <x v="3"/>
    <n v="1"/>
    <x v="1"/>
    <n v="60000"/>
    <n v="31000"/>
    <n v="60000"/>
    <n v="31000"/>
    <n v="28797"/>
    <n v="202.99999999999997"/>
    <s v="35 mns"/>
    <x v="3"/>
    <n v="6"/>
    <x v="5"/>
  </r>
  <r>
    <d v="2023-06-15T00:00:00"/>
    <x v="3"/>
    <x v="3"/>
    <n v="1"/>
    <x v="2"/>
    <n v="89000"/>
    <n v="65000"/>
    <n v="89000"/>
    <n v="65000"/>
    <n v="23832"/>
    <n v="167.99999999999997"/>
    <s v="35 mns"/>
    <x v="3"/>
    <n v="6"/>
    <x v="5"/>
  </r>
  <r>
    <d v="2023-06-16T00:00:00"/>
    <x v="0"/>
    <x v="0"/>
    <n v="1"/>
    <x v="0"/>
    <n v="33000"/>
    <n v="18000"/>
    <n v="33000"/>
    <n v="18000"/>
    <n v="14895"/>
    <n v="104.99999999999999"/>
    <s v="11 mns"/>
    <x v="1"/>
    <n v="6"/>
    <x v="5"/>
  </r>
  <r>
    <d v="2023-06-16T00:00:00"/>
    <x v="0"/>
    <x v="0"/>
    <n v="1"/>
    <x v="1"/>
    <n v="60000"/>
    <n v="31000"/>
    <n v="60000"/>
    <n v="31000"/>
    <n v="28797"/>
    <n v="202.99999999999997"/>
    <s v="11 mns"/>
    <x v="1"/>
    <n v="6"/>
    <x v="5"/>
  </r>
  <r>
    <d v="2023-06-16T00:00:00"/>
    <x v="0"/>
    <x v="0"/>
    <n v="1"/>
    <x v="2"/>
    <n v="89000"/>
    <n v="65000"/>
    <n v="89000"/>
    <n v="65000"/>
    <n v="23832"/>
    <n v="167.99999999999997"/>
    <s v="11 mns"/>
    <x v="1"/>
    <n v="6"/>
    <x v="5"/>
  </r>
  <r>
    <d v="2023-06-16T00:00:00"/>
    <x v="2"/>
    <x v="2"/>
    <n v="1"/>
    <x v="0"/>
    <n v="33000"/>
    <n v="18000"/>
    <n v="33000"/>
    <n v="18000"/>
    <n v="14895"/>
    <n v="104.99999999999999"/>
    <s v="30 mns"/>
    <x v="3"/>
    <n v="6"/>
    <x v="5"/>
  </r>
  <r>
    <d v="2023-06-16T00:00:00"/>
    <x v="2"/>
    <x v="2"/>
    <n v="1"/>
    <x v="1"/>
    <n v="60000"/>
    <n v="31000"/>
    <n v="60000"/>
    <n v="31000"/>
    <n v="28797"/>
    <n v="202.99999999999997"/>
    <s v="30 mns"/>
    <x v="0"/>
    <n v="6"/>
    <x v="5"/>
  </r>
  <r>
    <d v="2023-06-16T00:00:00"/>
    <x v="2"/>
    <x v="2"/>
    <n v="1"/>
    <x v="2"/>
    <n v="89000"/>
    <n v="65000"/>
    <n v="89000"/>
    <n v="65000"/>
    <n v="23832"/>
    <n v="167.99999999999997"/>
    <s v="30 mns"/>
    <x v="3"/>
    <n v="6"/>
    <x v="5"/>
  </r>
  <r>
    <d v="2023-06-16T00:00:00"/>
    <x v="3"/>
    <x v="3"/>
    <n v="1"/>
    <x v="0"/>
    <n v="33000"/>
    <n v="18000"/>
    <n v="33000"/>
    <n v="18000"/>
    <n v="14895"/>
    <n v="104.99999999999999"/>
    <s v="35 mns"/>
    <x v="1"/>
    <n v="6"/>
    <x v="5"/>
  </r>
  <r>
    <d v="2023-06-16T00:00:00"/>
    <x v="3"/>
    <x v="3"/>
    <n v="1"/>
    <x v="1"/>
    <n v="60000"/>
    <n v="31000"/>
    <n v="60000"/>
    <n v="31000"/>
    <n v="28797"/>
    <n v="202.99999999999997"/>
    <s v="35 mns"/>
    <x v="0"/>
    <n v="6"/>
    <x v="5"/>
  </r>
  <r>
    <d v="2023-06-16T00:00:00"/>
    <x v="3"/>
    <x v="3"/>
    <n v="1"/>
    <x v="2"/>
    <n v="89000"/>
    <n v="65000"/>
    <n v="89000"/>
    <n v="65000"/>
    <n v="23832"/>
    <n v="167.99999999999997"/>
    <s v="35 mns"/>
    <x v="1"/>
    <n v="6"/>
    <x v="5"/>
  </r>
  <r>
    <d v="2023-06-17T00:00:00"/>
    <x v="0"/>
    <x v="0"/>
    <n v="1"/>
    <x v="0"/>
    <n v="33000"/>
    <n v="18000"/>
    <n v="33000"/>
    <n v="18000"/>
    <n v="14895"/>
    <n v="104.99999999999999"/>
    <s v="11 mns"/>
    <x v="3"/>
    <n v="6"/>
    <x v="5"/>
  </r>
  <r>
    <d v="2023-06-17T00:00:00"/>
    <x v="0"/>
    <x v="0"/>
    <n v="1"/>
    <x v="1"/>
    <n v="60000"/>
    <n v="31000"/>
    <n v="60000"/>
    <n v="31000"/>
    <n v="28797"/>
    <n v="202.99999999999997"/>
    <s v="11 mns"/>
    <x v="1"/>
    <n v="6"/>
    <x v="5"/>
  </r>
  <r>
    <d v="2023-06-17T00:00:00"/>
    <x v="0"/>
    <x v="0"/>
    <n v="1"/>
    <x v="2"/>
    <n v="89000"/>
    <n v="65000"/>
    <n v="89000"/>
    <n v="65000"/>
    <n v="23832"/>
    <n v="167.99999999999997"/>
    <s v="11 mns"/>
    <x v="3"/>
    <n v="6"/>
    <x v="5"/>
  </r>
  <r>
    <d v="2023-06-17T00:00:00"/>
    <x v="2"/>
    <x v="2"/>
    <n v="1"/>
    <x v="0"/>
    <n v="33000"/>
    <n v="18000"/>
    <n v="33000"/>
    <n v="18000"/>
    <n v="14895"/>
    <n v="104.99999999999999"/>
    <s v="30 mns"/>
    <x v="1"/>
    <n v="6"/>
    <x v="5"/>
  </r>
  <r>
    <d v="2023-06-17T00:00:00"/>
    <x v="2"/>
    <x v="2"/>
    <n v="1"/>
    <x v="1"/>
    <n v="60000"/>
    <n v="31000"/>
    <n v="60000"/>
    <n v="31000"/>
    <n v="28797"/>
    <n v="202.99999999999997"/>
    <s v="30 mns"/>
    <x v="3"/>
    <n v="6"/>
    <x v="5"/>
  </r>
  <r>
    <d v="2023-06-17T00:00:00"/>
    <x v="2"/>
    <x v="2"/>
    <n v="1"/>
    <x v="2"/>
    <n v="89000"/>
    <n v="65000"/>
    <n v="89000"/>
    <n v="65000"/>
    <n v="23832"/>
    <n v="167.99999999999997"/>
    <s v="30 mns"/>
    <x v="3"/>
    <n v="6"/>
    <x v="5"/>
  </r>
  <r>
    <d v="2023-06-17T00:00:00"/>
    <x v="3"/>
    <x v="3"/>
    <n v="1"/>
    <x v="0"/>
    <n v="33000"/>
    <n v="18000"/>
    <n v="33000"/>
    <n v="18000"/>
    <n v="14895"/>
    <n v="104.99999999999999"/>
    <s v="35 mns"/>
    <x v="3"/>
    <n v="6"/>
    <x v="5"/>
  </r>
  <r>
    <d v="2023-06-17T00:00:00"/>
    <x v="3"/>
    <x v="3"/>
    <n v="1"/>
    <x v="1"/>
    <n v="60000"/>
    <n v="31000"/>
    <n v="60000"/>
    <n v="31000"/>
    <n v="28797"/>
    <n v="202.99999999999997"/>
    <s v="35 mns"/>
    <x v="3"/>
    <n v="6"/>
    <x v="5"/>
  </r>
  <r>
    <d v="2023-06-17T00:00:00"/>
    <x v="3"/>
    <x v="3"/>
    <n v="1"/>
    <x v="2"/>
    <n v="89000"/>
    <n v="65000"/>
    <n v="89000"/>
    <n v="65000"/>
    <n v="23832"/>
    <n v="167.99999999999997"/>
    <s v="35 mns"/>
    <x v="3"/>
    <n v="6"/>
    <x v="5"/>
  </r>
  <r>
    <d v="2023-06-18T00:00:00"/>
    <x v="0"/>
    <x v="0"/>
    <n v="2"/>
    <x v="0"/>
    <n v="33000"/>
    <n v="18000"/>
    <n v="66000"/>
    <n v="36000"/>
    <n v="29790"/>
    <n v="209.99999999999997"/>
    <s v="11 mns"/>
    <x v="2"/>
    <n v="6"/>
    <x v="5"/>
  </r>
  <r>
    <d v="2023-06-18T00:00:00"/>
    <x v="0"/>
    <x v="0"/>
    <n v="2"/>
    <x v="1"/>
    <n v="60000"/>
    <n v="31000"/>
    <n v="120000"/>
    <n v="62000"/>
    <n v="57594"/>
    <n v="405.99999999999994"/>
    <s v="11 mns"/>
    <x v="2"/>
    <n v="6"/>
    <x v="5"/>
  </r>
  <r>
    <d v="2023-06-18T00:00:00"/>
    <x v="0"/>
    <x v="0"/>
    <n v="2"/>
    <x v="2"/>
    <n v="89000"/>
    <n v="65000"/>
    <n v="178000"/>
    <n v="130000"/>
    <n v="47664"/>
    <n v="335.99999999999994"/>
    <s v="11 mns"/>
    <x v="0"/>
    <n v="6"/>
    <x v="5"/>
  </r>
  <r>
    <d v="2023-06-18T00:00:00"/>
    <x v="2"/>
    <x v="2"/>
    <n v="2"/>
    <x v="0"/>
    <n v="33000"/>
    <n v="18000"/>
    <n v="66000"/>
    <n v="36000"/>
    <n v="29790"/>
    <n v="209.99999999999997"/>
    <s v="30 mns"/>
    <x v="3"/>
    <n v="6"/>
    <x v="5"/>
  </r>
  <r>
    <d v="2023-06-18T00:00:00"/>
    <x v="2"/>
    <x v="2"/>
    <n v="2"/>
    <x v="1"/>
    <n v="60000"/>
    <n v="31000"/>
    <n v="120000"/>
    <n v="62000"/>
    <n v="57594"/>
    <n v="405.99999999999994"/>
    <s v="30 mns"/>
    <x v="1"/>
    <n v="6"/>
    <x v="5"/>
  </r>
  <r>
    <d v="2023-06-18T00:00:00"/>
    <x v="2"/>
    <x v="2"/>
    <n v="2"/>
    <x v="2"/>
    <n v="89000"/>
    <n v="65000"/>
    <n v="178000"/>
    <n v="130000"/>
    <n v="47664"/>
    <n v="335.99999999999994"/>
    <s v="30 mns"/>
    <x v="0"/>
    <n v="6"/>
    <x v="5"/>
  </r>
  <r>
    <d v="2023-06-18T00:00:00"/>
    <x v="3"/>
    <x v="3"/>
    <n v="2"/>
    <x v="0"/>
    <n v="33000"/>
    <n v="18000"/>
    <n v="66000"/>
    <n v="36000"/>
    <n v="29790"/>
    <n v="209.99999999999997"/>
    <s v="35 mns"/>
    <x v="3"/>
    <n v="6"/>
    <x v="5"/>
  </r>
  <r>
    <d v="2023-06-18T00:00:00"/>
    <x v="3"/>
    <x v="3"/>
    <n v="2"/>
    <x v="1"/>
    <n v="60000"/>
    <n v="31000"/>
    <n v="120000"/>
    <n v="62000"/>
    <n v="57594"/>
    <n v="405.99999999999994"/>
    <s v="35 mns"/>
    <x v="3"/>
    <n v="6"/>
    <x v="5"/>
  </r>
  <r>
    <d v="2023-06-18T00:00:00"/>
    <x v="3"/>
    <x v="3"/>
    <n v="2"/>
    <x v="2"/>
    <n v="89000"/>
    <n v="65000"/>
    <n v="178000"/>
    <n v="130000"/>
    <n v="47664"/>
    <n v="335.99999999999994"/>
    <s v="35 mns"/>
    <x v="2"/>
    <n v="6"/>
    <x v="5"/>
  </r>
  <r>
    <d v="2023-06-19T00:00:00"/>
    <x v="0"/>
    <x v="0"/>
    <n v="1"/>
    <x v="0"/>
    <n v="33000"/>
    <n v="18000"/>
    <n v="33000"/>
    <n v="18000"/>
    <n v="14895"/>
    <n v="104.99999999999999"/>
    <s v="11 mns"/>
    <x v="3"/>
    <n v="6"/>
    <x v="5"/>
  </r>
  <r>
    <d v="2023-06-19T00:00:00"/>
    <x v="0"/>
    <x v="0"/>
    <n v="1"/>
    <x v="1"/>
    <n v="60000"/>
    <n v="31000"/>
    <n v="60000"/>
    <n v="31000"/>
    <n v="28797"/>
    <n v="202.99999999999997"/>
    <s v="11 mns"/>
    <x v="3"/>
    <n v="6"/>
    <x v="5"/>
  </r>
  <r>
    <d v="2023-06-19T00:00:00"/>
    <x v="0"/>
    <x v="0"/>
    <n v="1"/>
    <x v="2"/>
    <n v="89000"/>
    <n v="65000"/>
    <n v="89000"/>
    <n v="65000"/>
    <n v="23832"/>
    <n v="167.99999999999997"/>
    <s v="11 mns"/>
    <x v="3"/>
    <n v="6"/>
    <x v="5"/>
  </r>
  <r>
    <d v="2023-06-19T00:00:00"/>
    <x v="2"/>
    <x v="2"/>
    <n v="1"/>
    <x v="0"/>
    <n v="33000"/>
    <n v="18000"/>
    <n v="33000"/>
    <n v="18000"/>
    <n v="14895"/>
    <n v="104.99999999999999"/>
    <s v="30 mns"/>
    <x v="3"/>
    <n v="6"/>
    <x v="5"/>
  </r>
  <r>
    <d v="2023-06-19T00:00:00"/>
    <x v="2"/>
    <x v="2"/>
    <n v="1"/>
    <x v="1"/>
    <n v="60000"/>
    <n v="31000"/>
    <n v="60000"/>
    <n v="31000"/>
    <n v="28797"/>
    <n v="202.99999999999997"/>
    <s v="30 mns"/>
    <x v="1"/>
    <n v="6"/>
    <x v="5"/>
  </r>
  <r>
    <d v="2023-06-19T00:00:00"/>
    <x v="2"/>
    <x v="2"/>
    <n v="1"/>
    <x v="2"/>
    <n v="89000"/>
    <n v="65000"/>
    <n v="89000"/>
    <n v="65000"/>
    <n v="23832"/>
    <n v="167.99999999999997"/>
    <s v="30 mns"/>
    <x v="2"/>
    <n v="6"/>
    <x v="5"/>
  </r>
  <r>
    <d v="2023-06-19T00:00:00"/>
    <x v="3"/>
    <x v="3"/>
    <n v="1"/>
    <x v="0"/>
    <n v="33000"/>
    <n v="18000"/>
    <n v="33000"/>
    <n v="18000"/>
    <n v="14895"/>
    <n v="104.99999999999999"/>
    <s v="35 mns"/>
    <x v="1"/>
    <n v="6"/>
    <x v="5"/>
  </r>
  <r>
    <d v="2023-06-19T00:00:00"/>
    <x v="3"/>
    <x v="3"/>
    <n v="1"/>
    <x v="1"/>
    <n v="60000"/>
    <n v="31000"/>
    <n v="60000"/>
    <n v="31000"/>
    <n v="28797"/>
    <n v="202.99999999999997"/>
    <s v="35 mns"/>
    <x v="1"/>
    <n v="6"/>
    <x v="5"/>
  </r>
  <r>
    <d v="2023-06-19T00:00:00"/>
    <x v="3"/>
    <x v="3"/>
    <n v="1"/>
    <x v="2"/>
    <n v="89000"/>
    <n v="65000"/>
    <n v="89000"/>
    <n v="65000"/>
    <n v="23832"/>
    <n v="167.99999999999997"/>
    <s v="35 mns"/>
    <x v="1"/>
    <n v="6"/>
    <x v="5"/>
  </r>
  <r>
    <d v="2023-06-20T00:00:00"/>
    <x v="0"/>
    <x v="0"/>
    <n v="1"/>
    <x v="0"/>
    <n v="33000"/>
    <n v="18000"/>
    <n v="33000"/>
    <n v="18000"/>
    <n v="14895"/>
    <n v="104.99999999999999"/>
    <s v="11 mns"/>
    <x v="1"/>
    <n v="6"/>
    <x v="5"/>
  </r>
  <r>
    <d v="2023-06-20T00:00:00"/>
    <x v="0"/>
    <x v="0"/>
    <n v="1"/>
    <x v="1"/>
    <n v="60000"/>
    <n v="31000"/>
    <n v="60000"/>
    <n v="31000"/>
    <n v="28797"/>
    <n v="202.99999999999997"/>
    <s v="11 mns"/>
    <x v="3"/>
    <n v="6"/>
    <x v="5"/>
  </r>
  <r>
    <d v="2023-06-20T00:00:00"/>
    <x v="0"/>
    <x v="0"/>
    <n v="1"/>
    <x v="2"/>
    <n v="89000"/>
    <n v="65000"/>
    <n v="89000"/>
    <n v="65000"/>
    <n v="23832"/>
    <n v="167.99999999999997"/>
    <s v="11 mns"/>
    <x v="3"/>
    <n v="6"/>
    <x v="5"/>
  </r>
  <r>
    <d v="2023-06-20T00:00:00"/>
    <x v="2"/>
    <x v="2"/>
    <n v="1"/>
    <x v="0"/>
    <n v="33000"/>
    <n v="18000"/>
    <n v="33000"/>
    <n v="18000"/>
    <n v="14895"/>
    <n v="104.99999999999999"/>
    <s v="30 mns"/>
    <x v="1"/>
    <n v="6"/>
    <x v="5"/>
  </r>
  <r>
    <d v="2023-06-20T00:00:00"/>
    <x v="2"/>
    <x v="2"/>
    <n v="1"/>
    <x v="1"/>
    <n v="60000"/>
    <n v="31000"/>
    <n v="60000"/>
    <n v="31000"/>
    <n v="28797"/>
    <n v="202.99999999999997"/>
    <s v="30 mns"/>
    <x v="3"/>
    <n v="6"/>
    <x v="5"/>
  </r>
  <r>
    <d v="2023-06-20T00:00:00"/>
    <x v="2"/>
    <x v="2"/>
    <n v="1"/>
    <x v="2"/>
    <n v="89000"/>
    <n v="65000"/>
    <n v="89000"/>
    <n v="65000"/>
    <n v="23832"/>
    <n v="167.99999999999997"/>
    <s v="30 mns"/>
    <x v="2"/>
    <n v="6"/>
    <x v="5"/>
  </r>
  <r>
    <d v="2023-06-20T00:00:00"/>
    <x v="3"/>
    <x v="3"/>
    <n v="1"/>
    <x v="0"/>
    <n v="33000"/>
    <n v="18000"/>
    <n v="33000"/>
    <n v="18000"/>
    <n v="14895"/>
    <n v="104.99999999999999"/>
    <s v="35 mns"/>
    <x v="3"/>
    <n v="6"/>
    <x v="5"/>
  </r>
  <r>
    <d v="2023-06-20T00:00:00"/>
    <x v="3"/>
    <x v="3"/>
    <n v="1"/>
    <x v="1"/>
    <n v="60000"/>
    <n v="31000"/>
    <n v="60000"/>
    <n v="31000"/>
    <n v="28797"/>
    <n v="202.99999999999997"/>
    <s v="35 mns"/>
    <x v="1"/>
    <n v="6"/>
    <x v="5"/>
  </r>
  <r>
    <d v="2023-06-20T00:00:00"/>
    <x v="3"/>
    <x v="3"/>
    <n v="1"/>
    <x v="2"/>
    <n v="89000"/>
    <n v="65000"/>
    <n v="89000"/>
    <n v="65000"/>
    <n v="23832"/>
    <n v="167.99999999999997"/>
    <s v="35 mns"/>
    <x v="3"/>
    <n v="6"/>
    <x v="5"/>
  </r>
  <r>
    <d v="2023-06-21T00:00:00"/>
    <x v="0"/>
    <x v="0"/>
    <n v="2"/>
    <x v="0"/>
    <n v="33000"/>
    <n v="18000"/>
    <n v="66000"/>
    <n v="36000"/>
    <n v="29790"/>
    <n v="209.99999999999997"/>
    <s v="11 mns"/>
    <x v="1"/>
    <n v="6"/>
    <x v="5"/>
  </r>
  <r>
    <d v="2023-06-21T00:00:00"/>
    <x v="0"/>
    <x v="0"/>
    <n v="2"/>
    <x v="1"/>
    <n v="60000"/>
    <n v="31000"/>
    <n v="120000"/>
    <n v="62000"/>
    <n v="57594"/>
    <n v="405.99999999999994"/>
    <s v="11 mns"/>
    <x v="1"/>
    <n v="6"/>
    <x v="5"/>
  </r>
  <r>
    <d v="2023-06-21T00:00:00"/>
    <x v="0"/>
    <x v="0"/>
    <n v="2"/>
    <x v="2"/>
    <n v="89000"/>
    <n v="65000"/>
    <n v="178000"/>
    <n v="130000"/>
    <n v="47664"/>
    <n v="335.99999999999994"/>
    <s v="11 mns"/>
    <x v="3"/>
    <n v="6"/>
    <x v="5"/>
  </r>
  <r>
    <d v="2023-06-21T00:00:00"/>
    <x v="2"/>
    <x v="2"/>
    <n v="2"/>
    <x v="0"/>
    <n v="33000"/>
    <n v="18000"/>
    <n v="66000"/>
    <n v="36000"/>
    <n v="29790"/>
    <n v="209.99999999999997"/>
    <s v="30 mns"/>
    <x v="2"/>
    <n v="6"/>
    <x v="5"/>
  </r>
  <r>
    <d v="2023-06-21T00:00:00"/>
    <x v="2"/>
    <x v="2"/>
    <n v="2"/>
    <x v="1"/>
    <n v="60000"/>
    <n v="31000"/>
    <n v="120000"/>
    <n v="62000"/>
    <n v="57594"/>
    <n v="405.99999999999994"/>
    <s v="30 mns"/>
    <x v="2"/>
    <n v="6"/>
    <x v="5"/>
  </r>
  <r>
    <d v="2023-06-21T00:00:00"/>
    <x v="2"/>
    <x v="2"/>
    <n v="2"/>
    <x v="2"/>
    <n v="89000"/>
    <n v="65000"/>
    <n v="178000"/>
    <n v="130000"/>
    <n v="47664"/>
    <n v="335.99999999999994"/>
    <s v="30 mns"/>
    <x v="2"/>
    <n v="6"/>
    <x v="5"/>
  </r>
  <r>
    <d v="2023-06-21T00:00:00"/>
    <x v="3"/>
    <x v="3"/>
    <n v="2"/>
    <x v="0"/>
    <n v="33000"/>
    <n v="18000"/>
    <n v="66000"/>
    <n v="36000"/>
    <n v="29790"/>
    <n v="209.99999999999997"/>
    <s v="35 mns"/>
    <x v="3"/>
    <n v="6"/>
    <x v="5"/>
  </r>
  <r>
    <d v="2023-06-21T00:00:00"/>
    <x v="3"/>
    <x v="3"/>
    <n v="2"/>
    <x v="1"/>
    <n v="60000"/>
    <n v="31000"/>
    <n v="120000"/>
    <n v="62000"/>
    <n v="57594"/>
    <n v="405.99999999999994"/>
    <s v="35 mns"/>
    <x v="0"/>
    <n v="6"/>
    <x v="5"/>
  </r>
  <r>
    <d v="2023-06-21T00:00:00"/>
    <x v="3"/>
    <x v="3"/>
    <n v="2"/>
    <x v="2"/>
    <n v="89000"/>
    <n v="65000"/>
    <n v="178000"/>
    <n v="130000"/>
    <n v="47664"/>
    <n v="335.99999999999994"/>
    <s v="35 mns"/>
    <x v="0"/>
    <n v="6"/>
    <x v="5"/>
  </r>
  <r>
    <d v="2023-06-22T00:00:00"/>
    <x v="0"/>
    <x v="0"/>
    <n v="1"/>
    <x v="0"/>
    <n v="33000"/>
    <n v="18000"/>
    <n v="33000"/>
    <n v="18000"/>
    <n v="14895"/>
    <n v="104.99999999999999"/>
    <s v="11 mns"/>
    <x v="3"/>
    <n v="6"/>
    <x v="5"/>
  </r>
  <r>
    <d v="2023-06-22T00:00:00"/>
    <x v="0"/>
    <x v="0"/>
    <n v="1"/>
    <x v="1"/>
    <n v="60000"/>
    <n v="31000"/>
    <n v="60000"/>
    <n v="31000"/>
    <n v="28797"/>
    <n v="202.99999999999997"/>
    <s v="11 mns"/>
    <x v="0"/>
    <n v="6"/>
    <x v="5"/>
  </r>
  <r>
    <d v="2023-06-22T00:00:00"/>
    <x v="0"/>
    <x v="0"/>
    <n v="1"/>
    <x v="2"/>
    <n v="89000"/>
    <n v="65000"/>
    <n v="89000"/>
    <n v="65000"/>
    <n v="23832"/>
    <n v="167.99999999999997"/>
    <s v="11 mns"/>
    <x v="2"/>
    <n v="6"/>
    <x v="5"/>
  </r>
  <r>
    <d v="2023-06-22T00:00:00"/>
    <x v="2"/>
    <x v="2"/>
    <n v="1"/>
    <x v="0"/>
    <n v="33000"/>
    <n v="18000"/>
    <n v="33000"/>
    <n v="18000"/>
    <n v="14895"/>
    <n v="104.99999999999999"/>
    <s v="30 mns"/>
    <x v="0"/>
    <n v="6"/>
    <x v="5"/>
  </r>
  <r>
    <d v="2023-06-22T00:00:00"/>
    <x v="2"/>
    <x v="2"/>
    <n v="1"/>
    <x v="1"/>
    <n v="60000"/>
    <n v="31000"/>
    <n v="60000"/>
    <n v="31000"/>
    <n v="28797"/>
    <n v="202.99999999999997"/>
    <s v="30 mns"/>
    <x v="1"/>
    <n v="6"/>
    <x v="5"/>
  </r>
  <r>
    <d v="2023-06-22T00:00:00"/>
    <x v="2"/>
    <x v="2"/>
    <n v="1"/>
    <x v="2"/>
    <n v="89000"/>
    <n v="65000"/>
    <n v="89000"/>
    <n v="65000"/>
    <n v="23832"/>
    <n v="167.99999999999997"/>
    <s v="30 mns"/>
    <x v="3"/>
    <n v="6"/>
    <x v="5"/>
  </r>
  <r>
    <d v="2023-06-22T00:00:00"/>
    <x v="3"/>
    <x v="3"/>
    <n v="1"/>
    <x v="0"/>
    <n v="33000"/>
    <n v="18000"/>
    <n v="33000"/>
    <n v="18000"/>
    <n v="14895"/>
    <n v="104.99999999999999"/>
    <s v="35 mns"/>
    <x v="1"/>
    <n v="6"/>
    <x v="5"/>
  </r>
  <r>
    <d v="2023-06-22T00:00:00"/>
    <x v="3"/>
    <x v="3"/>
    <n v="1"/>
    <x v="1"/>
    <n v="60000"/>
    <n v="31000"/>
    <n v="60000"/>
    <n v="31000"/>
    <n v="28797"/>
    <n v="202.99999999999997"/>
    <s v="35 mns"/>
    <x v="3"/>
    <n v="6"/>
    <x v="5"/>
  </r>
  <r>
    <d v="2023-06-22T00:00:00"/>
    <x v="3"/>
    <x v="3"/>
    <n v="1"/>
    <x v="2"/>
    <n v="89000"/>
    <n v="65000"/>
    <n v="89000"/>
    <n v="65000"/>
    <n v="23832"/>
    <n v="167.99999999999997"/>
    <s v="35 mns"/>
    <x v="1"/>
    <n v="6"/>
    <x v="5"/>
  </r>
  <r>
    <d v="2023-06-23T00:00:00"/>
    <x v="0"/>
    <x v="0"/>
    <n v="1"/>
    <x v="0"/>
    <n v="33000"/>
    <n v="18000"/>
    <n v="33000"/>
    <n v="18000"/>
    <n v="14895"/>
    <n v="104.99999999999999"/>
    <s v="11 mns"/>
    <x v="1"/>
    <n v="6"/>
    <x v="5"/>
  </r>
  <r>
    <d v="2023-06-23T00:00:00"/>
    <x v="0"/>
    <x v="0"/>
    <n v="1"/>
    <x v="1"/>
    <n v="60000"/>
    <n v="31000"/>
    <n v="60000"/>
    <n v="31000"/>
    <n v="28797"/>
    <n v="202.99999999999997"/>
    <s v="11 mns"/>
    <x v="0"/>
    <n v="6"/>
    <x v="5"/>
  </r>
  <r>
    <d v="2023-06-23T00:00:00"/>
    <x v="0"/>
    <x v="0"/>
    <n v="1"/>
    <x v="2"/>
    <n v="89000"/>
    <n v="65000"/>
    <n v="89000"/>
    <n v="65000"/>
    <n v="23832"/>
    <n v="167.99999999999997"/>
    <s v="11 mns"/>
    <x v="2"/>
    <n v="6"/>
    <x v="5"/>
  </r>
  <r>
    <d v="2023-06-23T00:00:00"/>
    <x v="2"/>
    <x v="2"/>
    <n v="1"/>
    <x v="0"/>
    <n v="33000"/>
    <n v="18000"/>
    <n v="33000"/>
    <n v="18000"/>
    <n v="14895"/>
    <n v="104.99999999999999"/>
    <s v="30 mns"/>
    <x v="3"/>
    <n v="6"/>
    <x v="5"/>
  </r>
  <r>
    <d v="2023-06-23T00:00:00"/>
    <x v="2"/>
    <x v="2"/>
    <n v="1"/>
    <x v="1"/>
    <n v="60000"/>
    <n v="31000"/>
    <n v="60000"/>
    <n v="31000"/>
    <n v="28797"/>
    <n v="202.99999999999997"/>
    <s v="30 mns"/>
    <x v="0"/>
    <n v="6"/>
    <x v="5"/>
  </r>
  <r>
    <d v="2023-06-23T00:00:00"/>
    <x v="2"/>
    <x v="2"/>
    <n v="1"/>
    <x v="2"/>
    <n v="89000"/>
    <n v="65000"/>
    <n v="89000"/>
    <n v="65000"/>
    <n v="23832"/>
    <n v="167.99999999999997"/>
    <s v="30 mns"/>
    <x v="3"/>
    <n v="6"/>
    <x v="5"/>
  </r>
  <r>
    <d v="2023-06-23T00:00:00"/>
    <x v="3"/>
    <x v="3"/>
    <n v="1"/>
    <x v="0"/>
    <n v="33000"/>
    <n v="18000"/>
    <n v="33000"/>
    <n v="18000"/>
    <n v="14895"/>
    <n v="104.99999999999999"/>
    <s v="35 mns"/>
    <x v="1"/>
    <n v="6"/>
    <x v="5"/>
  </r>
  <r>
    <d v="2023-06-23T00:00:00"/>
    <x v="3"/>
    <x v="3"/>
    <n v="1"/>
    <x v="1"/>
    <n v="60000"/>
    <n v="31000"/>
    <n v="60000"/>
    <n v="31000"/>
    <n v="28797"/>
    <n v="202.99999999999997"/>
    <s v="35 mns"/>
    <x v="2"/>
    <n v="6"/>
    <x v="5"/>
  </r>
  <r>
    <d v="2023-06-23T00:00:00"/>
    <x v="3"/>
    <x v="3"/>
    <n v="1"/>
    <x v="2"/>
    <n v="89000"/>
    <n v="65000"/>
    <n v="89000"/>
    <n v="65000"/>
    <n v="23832"/>
    <n v="167.99999999999997"/>
    <s v="35 mns"/>
    <x v="0"/>
    <n v="6"/>
    <x v="5"/>
  </r>
  <r>
    <d v="2023-06-24T00:00:00"/>
    <x v="0"/>
    <x v="0"/>
    <n v="1"/>
    <x v="0"/>
    <n v="33000"/>
    <n v="18000"/>
    <n v="33000"/>
    <n v="18000"/>
    <n v="14895"/>
    <n v="104.99999999999999"/>
    <s v="11 mns"/>
    <x v="3"/>
    <n v="6"/>
    <x v="5"/>
  </r>
  <r>
    <d v="2023-06-24T00:00:00"/>
    <x v="0"/>
    <x v="0"/>
    <n v="1"/>
    <x v="1"/>
    <n v="60000"/>
    <n v="31000"/>
    <n v="60000"/>
    <n v="31000"/>
    <n v="28797"/>
    <n v="202.99999999999997"/>
    <s v="11 mns"/>
    <x v="3"/>
    <n v="6"/>
    <x v="5"/>
  </r>
  <r>
    <d v="2023-06-24T00:00:00"/>
    <x v="0"/>
    <x v="0"/>
    <n v="1"/>
    <x v="2"/>
    <n v="89000"/>
    <n v="65000"/>
    <n v="89000"/>
    <n v="65000"/>
    <n v="23832"/>
    <n v="167.99999999999997"/>
    <s v="11 mns"/>
    <x v="0"/>
    <n v="6"/>
    <x v="5"/>
  </r>
  <r>
    <d v="2023-06-24T00:00:00"/>
    <x v="2"/>
    <x v="2"/>
    <n v="1"/>
    <x v="0"/>
    <n v="33000"/>
    <n v="18000"/>
    <n v="33000"/>
    <n v="18000"/>
    <n v="14895"/>
    <n v="104.99999999999999"/>
    <s v="30 mns"/>
    <x v="0"/>
    <n v="6"/>
    <x v="5"/>
  </r>
  <r>
    <d v="2023-06-24T00:00:00"/>
    <x v="2"/>
    <x v="2"/>
    <n v="1"/>
    <x v="1"/>
    <n v="60000"/>
    <n v="31000"/>
    <n v="60000"/>
    <n v="31000"/>
    <n v="28797"/>
    <n v="202.99999999999997"/>
    <s v="30 mns"/>
    <x v="1"/>
    <n v="6"/>
    <x v="5"/>
  </r>
  <r>
    <d v="2023-06-24T00:00:00"/>
    <x v="2"/>
    <x v="2"/>
    <n v="1"/>
    <x v="2"/>
    <n v="89000"/>
    <n v="65000"/>
    <n v="89000"/>
    <n v="65000"/>
    <n v="23832"/>
    <n v="167.99999999999997"/>
    <s v="30 mns"/>
    <x v="0"/>
    <n v="6"/>
    <x v="5"/>
  </r>
  <r>
    <d v="2023-06-24T00:00:00"/>
    <x v="3"/>
    <x v="3"/>
    <n v="1"/>
    <x v="0"/>
    <n v="33000"/>
    <n v="18000"/>
    <n v="33000"/>
    <n v="18000"/>
    <n v="14895"/>
    <n v="104.99999999999999"/>
    <s v="35 mns"/>
    <x v="2"/>
    <n v="6"/>
    <x v="5"/>
  </r>
  <r>
    <d v="2023-06-24T00:00:00"/>
    <x v="3"/>
    <x v="3"/>
    <n v="1"/>
    <x v="1"/>
    <n v="60000"/>
    <n v="31000"/>
    <n v="60000"/>
    <n v="31000"/>
    <n v="28797"/>
    <n v="202.99999999999997"/>
    <s v="35 mns"/>
    <x v="0"/>
    <n v="6"/>
    <x v="5"/>
  </r>
  <r>
    <d v="2023-06-24T00:00:00"/>
    <x v="3"/>
    <x v="3"/>
    <n v="1"/>
    <x v="2"/>
    <n v="89000"/>
    <n v="65000"/>
    <n v="89000"/>
    <n v="65000"/>
    <n v="23832"/>
    <n v="167.99999999999997"/>
    <s v="35 mns"/>
    <x v="3"/>
    <n v="6"/>
    <x v="5"/>
  </r>
  <r>
    <d v="2023-06-25T00:00:00"/>
    <x v="0"/>
    <x v="0"/>
    <n v="1"/>
    <x v="0"/>
    <n v="33000"/>
    <n v="18000"/>
    <n v="33000"/>
    <n v="18000"/>
    <n v="14895"/>
    <n v="104.99999999999999"/>
    <s v="11 mns"/>
    <x v="1"/>
    <n v="6"/>
    <x v="5"/>
  </r>
  <r>
    <d v="2023-06-25T00:00:00"/>
    <x v="0"/>
    <x v="0"/>
    <n v="1"/>
    <x v="1"/>
    <n v="60000"/>
    <n v="31000"/>
    <n v="60000"/>
    <n v="31000"/>
    <n v="28797"/>
    <n v="202.99999999999997"/>
    <s v="11 mns"/>
    <x v="0"/>
    <n v="6"/>
    <x v="5"/>
  </r>
  <r>
    <d v="2023-06-25T00:00:00"/>
    <x v="0"/>
    <x v="0"/>
    <n v="1"/>
    <x v="2"/>
    <n v="89000"/>
    <n v="65000"/>
    <n v="89000"/>
    <n v="65000"/>
    <n v="23832"/>
    <n v="167.99999999999997"/>
    <s v="11 mns"/>
    <x v="3"/>
    <n v="6"/>
    <x v="5"/>
  </r>
  <r>
    <d v="2023-06-25T00:00:00"/>
    <x v="2"/>
    <x v="2"/>
    <n v="1"/>
    <x v="0"/>
    <n v="33000"/>
    <n v="18000"/>
    <n v="33000"/>
    <n v="18000"/>
    <n v="14895"/>
    <n v="104.99999999999999"/>
    <s v="30 mns"/>
    <x v="3"/>
    <n v="6"/>
    <x v="5"/>
  </r>
  <r>
    <d v="2023-06-25T00:00:00"/>
    <x v="2"/>
    <x v="2"/>
    <n v="1"/>
    <x v="1"/>
    <n v="60000"/>
    <n v="31000"/>
    <n v="60000"/>
    <n v="31000"/>
    <n v="28797"/>
    <n v="202.99999999999997"/>
    <s v="30 mns"/>
    <x v="3"/>
    <n v="6"/>
    <x v="5"/>
  </r>
  <r>
    <d v="2023-06-25T00:00:00"/>
    <x v="2"/>
    <x v="2"/>
    <n v="1"/>
    <x v="2"/>
    <n v="89000"/>
    <n v="65000"/>
    <n v="89000"/>
    <n v="65000"/>
    <n v="23832"/>
    <n v="167.99999999999997"/>
    <s v="30 mns"/>
    <x v="3"/>
    <n v="6"/>
    <x v="5"/>
  </r>
  <r>
    <d v="2023-06-25T00:00:00"/>
    <x v="3"/>
    <x v="3"/>
    <n v="1"/>
    <x v="0"/>
    <n v="33000"/>
    <n v="18000"/>
    <n v="33000"/>
    <n v="18000"/>
    <n v="14895"/>
    <n v="104.99999999999999"/>
    <s v="35 mns"/>
    <x v="1"/>
    <n v="6"/>
    <x v="5"/>
  </r>
  <r>
    <d v="2023-06-25T00:00:00"/>
    <x v="3"/>
    <x v="3"/>
    <n v="1"/>
    <x v="1"/>
    <n v="60000"/>
    <n v="31000"/>
    <n v="60000"/>
    <n v="31000"/>
    <n v="28797"/>
    <n v="202.99999999999997"/>
    <s v="35 mns"/>
    <x v="0"/>
    <n v="6"/>
    <x v="5"/>
  </r>
  <r>
    <d v="2023-06-25T00:00:00"/>
    <x v="3"/>
    <x v="3"/>
    <n v="1"/>
    <x v="2"/>
    <n v="89000"/>
    <n v="65000"/>
    <n v="89000"/>
    <n v="65000"/>
    <n v="23832"/>
    <n v="167.99999999999997"/>
    <s v="35 mns"/>
    <x v="3"/>
    <n v="6"/>
    <x v="5"/>
  </r>
  <r>
    <d v="2023-06-26T00:00:00"/>
    <x v="0"/>
    <x v="0"/>
    <n v="2"/>
    <x v="0"/>
    <n v="33000"/>
    <n v="18000"/>
    <n v="66000"/>
    <n v="36000"/>
    <n v="29790"/>
    <n v="209.99999999999997"/>
    <s v="11 mns"/>
    <x v="3"/>
    <n v="6"/>
    <x v="5"/>
  </r>
  <r>
    <d v="2023-06-26T00:00:00"/>
    <x v="0"/>
    <x v="0"/>
    <n v="2"/>
    <x v="1"/>
    <n v="60000"/>
    <n v="31000"/>
    <n v="120000"/>
    <n v="62000"/>
    <n v="57594"/>
    <n v="405.99999999999994"/>
    <s v="11 mns"/>
    <x v="0"/>
    <n v="6"/>
    <x v="5"/>
  </r>
  <r>
    <d v="2023-06-26T00:00:00"/>
    <x v="0"/>
    <x v="0"/>
    <n v="2"/>
    <x v="2"/>
    <n v="89000"/>
    <n v="65000"/>
    <n v="178000"/>
    <n v="130000"/>
    <n v="47664"/>
    <n v="335.99999999999994"/>
    <s v="11 mns"/>
    <x v="0"/>
    <n v="6"/>
    <x v="5"/>
  </r>
  <r>
    <d v="2023-06-26T00:00:00"/>
    <x v="2"/>
    <x v="2"/>
    <n v="2"/>
    <x v="0"/>
    <n v="33000"/>
    <n v="18000"/>
    <n v="66000"/>
    <n v="36000"/>
    <n v="29790"/>
    <n v="209.99999999999997"/>
    <s v="30 mns"/>
    <x v="0"/>
    <n v="6"/>
    <x v="5"/>
  </r>
  <r>
    <d v="2023-06-26T00:00:00"/>
    <x v="2"/>
    <x v="2"/>
    <n v="2"/>
    <x v="1"/>
    <n v="60000"/>
    <n v="31000"/>
    <n v="120000"/>
    <n v="62000"/>
    <n v="57594"/>
    <n v="405.99999999999994"/>
    <s v="30 mns"/>
    <x v="0"/>
    <n v="6"/>
    <x v="5"/>
  </r>
  <r>
    <d v="2023-06-26T00:00:00"/>
    <x v="2"/>
    <x v="2"/>
    <n v="2"/>
    <x v="2"/>
    <n v="89000"/>
    <n v="65000"/>
    <n v="178000"/>
    <n v="130000"/>
    <n v="47664"/>
    <n v="335.99999999999994"/>
    <s v="30 mns"/>
    <x v="3"/>
    <n v="6"/>
    <x v="5"/>
  </r>
  <r>
    <d v="2023-06-26T00:00:00"/>
    <x v="3"/>
    <x v="3"/>
    <n v="2"/>
    <x v="0"/>
    <n v="33000"/>
    <n v="18000"/>
    <n v="66000"/>
    <n v="36000"/>
    <n v="29790"/>
    <n v="209.99999999999997"/>
    <s v="35 mns"/>
    <x v="3"/>
    <n v="6"/>
    <x v="5"/>
  </r>
  <r>
    <d v="2023-06-26T00:00:00"/>
    <x v="3"/>
    <x v="3"/>
    <n v="2"/>
    <x v="1"/>
    <n v="60000"/>
    <n v="31000"/>
    <n v="120000"/>
    <n v="62000"/>
    <n v="57594"/>
    <n v="405.99999999999994"/>
    <s v="35 mns"/>
    <x v="0"/>
    <n v="6"/>
    <x v="5"/>
  </r>
  <r>
    <d v="2023-06-26T00:00:00"/>
    <x v="3"/>
    <x v="3"/>
    <n v="2"/>
    <x v="2"/>
    <n v="89000"/>
    <n v="65000"/>
    <n v="178000"/>
    <n v="130000"/>
    <n v="47664"/>
    <n v="335.99999999999994"/>
    <s v="35 mns"/>
    <x v="3"/>
    <n v="6"/>
    <x v="5"/>
  </r>
  <r>
    <d v="2023-06-27T00:00:00"/>
    <x v="0"/>
    <x v="0"/>
    <n v="1"/>
    <x v="0"/>
    <n v="33000"/>
    <n v="18000"/>
    <n v="33000"/>
    <n v="18000"/>
    <n v="14895"/>
    <n v="104.99999999999999"/>
    <s v="11 mns"/>
    <x v="3"/>
    <n v="6"/>
    <x v="5"/>
  </r>
  <r>
    <d v="2023-06-27T00:00:00"/>
    <x v="0"/>
    <x v="0"/>
    <n v="1"/>
    <x v="1"/>
    <n v="60000"/>
    <n v="31000"/>
    <n v="60000"/>
    <n v="31000"/>
    <n v="28797"/>
    <n v="202.99999999999997"/>
    <s v="11 mns"/>
    <x v="3"/>
    <n v="6"/>
    <x v="5"/>
  </r>
  <r>
    <d v="2023-06-27T00:00:00"/>
    <x v="0"/>
    <x v="0"/>
    <n v="1"/>
    <x v="2"/>
    <n v="89000"/>
    <n v="65000"/>
    <n v="89000"/>
    <n v="65000"/>
    <n v="23832"/>
    <n v="167.99999999999997"/>
    <s v="11 mns"/>
    <x v="0"/>
    <n v="6"/>
    <x v="5"/>
  </r>
  <r>
    <d v="2023-06-27T00:00:00"/>
    <x v="1"/>
    <x v="1"/>
    <n v="1"/>
    <x v="0"/>
    <n v="33000"/>
    <n v="18000"/>
    <n v="33000"/>
    <n v="18000"/>
    <n v="14895"/>
    <n v="104.99999999999999"/>
    <s v="58 mns"/>
    <x v="3"/>
    <n v="6"/>
    <x v="5"/>
  </r>
  <r>
    <d v="2023-06-27T00:00:00"/>
    <x v="2"/>
    <x v="2"/>
    <n v="1"/>
    <x v="0"/>
    <n v="33000"/>
    <n v="18000"/>
    <n v="33000"/>
    <n v="18000"/>
    <n v="14895"/>
    <n v="104.99999999999999"/>
    <s v="30 mns"/>
    <x v="2"/>
    <n v="6"/>
    <x v="5"/>
  </r>
  <r>
    <d v="2023-06-27T00:00:00"/>
    <x v="2"/>
    <x v="2"/>
    <n v="1"/>
    <x v="1"/>
    <n v="60000"/>
    <n v="31000"/>
    <n v="60000"/>
    <n v="31000"/>
    <n v="28797"/>
    <n v="202.99999999999997"/>
    <s v="30 mns"/>
    <x v="1"/>
    <n v="6"/>
    <x v="5"/>
  </r>
  <r>
    <d v="2023-06-27T00:00:00"/>
    <x v="2"/>
    <x v="2"/>
    <n v="1"/>
    <x v="2"/>
    <n v="89000"/>
    <n v="65000"/>
    <n v="89000"/>
    <n v="65000"/>
    <n v="23832"/>
    <n v="167.99999999999997"/>
    <s v="30 mns"/>
    <x v="1"/>
    <n v="6"/>
    <x v="5"/>
  </r>
  <r>
    <d v="2023-06-27T00:00:00"/>
    <x v="3"/>
    <x v="3"/>
    <n v="1"/>
    <x v="0"/>
    <n v="33000"/>
    <n v="18000"/>
    <n v="33000"/>
    <n v="18000"/>
    <n v="14895"/>
    <n v="104.99999999999999"/>
    <s v="35 mns"/>
    <x v="0"/>
    <n v="6"/>
    <x v="5"/>
  </r>
  <r>
    <d v="2023-06-27T00:00:00"/>
    <x v="3"/>
    <x v="3"/>
    <n v="1"/>
    <x v="1"/>
    <n v="60000"/>
    <n v="31000"/>
    <n v="60000"/>
    <n v="31000"/>
    <n v="28797"/>
    <n v="202.99999999999997"/>
    <s v="35 mns"/>
    <x v="2"/>
    <n v="6"/>
    <x v="5"/>
  </r>
  <r>
    <d v="2023-06-27T00:00:00"/>
    <x v="3"/>
    <x v="3"/>
    <n v="1"/>
    <x v="2"/>
    <n v="89000"/>
    <n v="65000"/>
    <n v="89000"/>
    <n v="65000"/>
    <n v="23832"/>
    <n v="167.99999999999997"/>
    <s v="35 mns"/>
    <x v="3"/>
    <n v="6"/>
    <x v="5"/>
  </r>
  <r>
    <d v="2023-06-28T00:00:00"/>
    <x v="0"/>
    <x v="0"/>
    <n v="1"/>
    <x v="0"/>
    <n v="33000"/>
    <n v="18000"/>
    <n v="33000"/>
    <n v="18000"/>
    <n v="14895"/>
    <n v="104.99999999999999"/>
    <s v="11 mns"/>
    <x v="3"/>
    <n v="6"/>
    <x v="5"/>
  </r>
  <r>
    <d v="2023-06-28T00:00:00"/>
    <x v="0"/>
    <x v="0"/>
    <n v="1"/>
    <x v="1"/>
    <n v="60000"/>
    <n v="31000"/>
    <n v="60000"/>
    <n v="31000"/>
    <n v="28797"/>
    <n v="202.99999999999997"/>
    <s v="11 mns"/>
    <x v="2"/>
    <n v="6"/>
    <x v="5"/>
  </r>
  <r>
    <d v="2023-06-28T00:00:00"/>
    <x v="0"/>
    <x v="0"/>
    <n v="1"/>
    <x v="2"/>
    <n v="89000"/>
    <n v="65000"/>
    <n v="89000"/>
    <n v="65000"/>
    <n v="23832"/>
    <n v="167.99999999999997"/>
    <s v="11 mns"/>
    <x v="2"/>
    <n v="6"/>
    <x v="5"/>
  </r>
  <r>
    <d v="2023-06-28T00:00:00"/>
    <x v="1"/>
    <x v="1"/>
    <n v="1"/>
    <x v="0"/>
    <n v="33000"/>
    <n v="18000"/>
    <n v="33000"/>
    <n v="18000"/>
    <n v="14895"/>
    <n v="104.99999999999999"/>
    <s v="58 mns"/>
    <x v="0"/>
    <n v="6"/>
    <x v="5"/>
  </r>
  <r>
    <d v="2023-06-28T00:00:00"/>
    <x v="2"/>
    <x v="2"/>
    <n v="1"/>
    <x v="0"/>
    <n v="33000"/>
    <n v="18000"/>
    <n v="33000"/>
    <n v="18000"/>
    <n v="14895"/>
    <n v="104.99999999999999"/>
    <s v="30 mns"/>
    <x v="3"/>
    <n v="6"/>
    <x v="5"/>
  </r>
  <r>
    <d v="2023-06-28T00:00:00"/>
    <x v="2"/>
    <x v="2"/>
    <n v="1"/>
    <x v="1"/>
    <n v="60000"/>
    <n v="31000"/>
    <n v="60000"/>
    <n v="31000"/>
    <n v="28797"/>
    <n v="202.99999999999997"/>
    <s v="30 mns"/>
    <x v="0"/>
    <n v="6"/>
    <x v="5"/>
  </r>
  <r>
    <d v="2023-06-28T00:00:00"/>
    <x v="2"/>
    <x v="2"/>
    <n v="1"/>
    <x v="2"/>
    <n v="89000"/>
    <n v="65000"/>
    <n v="89000"/>
    <n v="65000"/>
    <n v="23832"/>
    <n v="167.99999999999997"/>
    <s v="30 mns"/>
    <x v="1"/>
    <n v="6"/>
    <x v="5"/>
  </r>
  <r>
    <d v="2023-06-28T00:00:00"/>
    <x v="3"/>
    <x v="3"/>
    <n v="1"/>
    <x v="0"/>
    <n v="33000"/>
    <n v="18000"/>
    <n v="33000"/>
    <n v="18000"/>
    <n v="14895"/>
    <n v="104.99999999999999"/>
    <s v="35 mns"/>
    <x v="3"/>
    <n v="6"/>
    <x v="5"/>
  </r>
  <r>
    <d v="2023-06-28T00:00:00"/>
    <x v="3"/>
    <x v="3"/>
    <n v="1"/>
    <x v="1"/>
    <n v="60000"/>
    <n v="31000"/>
    <n v="60000"/>
    <n v="31000"/>
    <n v="28797"/>
    <n v="202.99999999999997"/>
    <s v="35 mns"/>
    <x v="0"/>
    <n v="6"/>
    <x v="5"/>
  </r>
  <r>
    <d v="2023-06-28T00:00:00"/>
    <x v="3"/>
    <x v="3"/>
    <n v="1"/>
    <x v="2"/>
    <n v="89000"/>
    <n v="65000"/>
    <n v="89000"/>
    <n v="65000"/>
    <n v="23832"/>
    <n v="167.99999999999997"/>
    <s v="35 mns"/>
    <x v="3"/>
    <n v="6"/>
    <x v="5"/>
  </r>
  <r>
    <d v="2023-06-29T00:00:00"/>
    <x v="0"/>
    <x v="0"/>
    <n v="1"/>
    <x v="0"/>
    <n v="33000"/>
    <n v="18000"/>
    <n v="33000"/>
    <n v="18000"/>
    <n v="14895"/>
    <n v="104.99999999999999"/>
    <s v="11 mns"/>
    <x v="2"/>
    <n v="6"/>
    <x v="5"/>
  </r>
  <r>
    <d v="2023-06-29T00:00:00"/>
    <x v="0"/>
    <x v="0"/>
    <n v="1"/>
    <x v="1"/>
    <n v="60000"/>
    <n v="31000"/>
    <n v="60000"/>
    <n v="31000"/>
    <n v="28797"/>
    <n v="202.99999999999997"/>
    <s v="11 mns"/>
    <x v="3"/>
    <n v="6"/>
    <x v="5"/>
  </r>
  <r>
    <d v="2023-06-29T00:00:00"/>
    <x v="0"/>
    <x v="0"/>
    <n v="1"/>
    <x v="2"/>
    <n v="89000"/>
    <n v="65000"/>
    <n v="89000"/>
    <n v="65000"/>
    <n v="23832"/>
    <n v="167.99999999999997"/>
    <s v="11 mns"/>
    <x v="1"/>
    <n v="6"/>
    <x v="5"/>
  </r>
  <r>
    <d v="2023-06-29T00:00:00"/>
    <x v="1"/>
    <x v="1"/>
    <n v="1"/>
    <x v="0"/>
    <n v="33000"/>
    <n v="18000"/>
    <n v="33000"/>
    <n v="18000"/>
    <n v="14895"/>
    <n v="104.99999999999999"/>
    <s v="58 mns"/>
    <x v="1"/>
    <n v="6"/>
    <x v="5"/>
  </r>
  <r>
    <d v="2023-06-29T00:00:00"/>
    <x v="2"/>
    <x v="2"/>
    <n v="1"/>
    <x v="0"/>
    <n v="33000"/>
    <n v="18000"/>
    <n v="33000"/>
    <n v="18000"/>
    <n v="14895"/>
    <n v="104.99999999999999"/>
    <s v="30 mns"/>
    <x v="2"/>
    <n v="6"/>
    <x v="5"/>
  </r>
  <r>
    <d v="2023-06-29T00:00:00"/>
    <x v="2"/>
    <x v="2"/>
    <n v="1"/>
    <x v="1"/>
    <n v="60000"/>
    <n v="31000"/>
    <n v="60000"/>
    <n v="31000"/>
    <n v="28797"/>
    <n v="202.99999999999997"/>
    <s v="30 mns"/>
    <x v="3"/>
    <n v="6"/>
    <x v="5"/>
  </r>
  <r>
    <d v="2023-06-29T00:00:00"/>
    <x v="2"/>
    <x v="2"/>
    <n v="1"/>
    <x v="2"/>
    <n v="89000"/>
    <n v="65000"/>
    <n v="89000"/>
    <n v="65000"/>
    <n v="23832"/>
    <n v="167.99999999999997"/>
    <s v="30 mns"/>
    <x v="1"/>
    <n v="6"/>
    <x v="5"/>
  </r>
  <r>
    <d v="2023-06-29T00:00:00"/>
    <x v="3"/>
    <x v="3"/>
    <n v="1"/>
    <x v="0"/>
    <n v="33000"/>
    <n v="18000"/>
    <n v="33000"/>
    <n v="18000"/>
    <n v="14895"/>
    <n v="104.99999999999999"/>
    <s v="35 mns"/>
    <x v="2"/>
    <n v="6"/>
    <x v="5"/>
  </r>
  <r>
    <d v="2023-06-29T00:00:00"/>
    <x v="3"/>
    <x v="3"/>
    <n v="1"/>
    <x v="1"/>
    <n v="60000"/>
    <n v="31000"/>
    <n v="60000"/>
    <n v="31000"/>
    <n v="28797"/>
    <n v="202.99999999999997"/>
    <s v="35 mns"/>
    <x v="1"/>
    <n v="6"/>
    <x v="5"/>
  </r>
  <r>
    <d v="2023-06-29T00:00:00"/>
    <x v="3"/>
    <x v="3"/>
    <n v="1"/>
    <x v="2"/>
    <n v="89000"/>
    <n v="65000"/>
    <n v="89000"/>
    <n v="65000"/>
    <n v="23832"/>
    <n v="167.99999999999997"/>
    <s v="35 mns"/>
    <x v="0"/>
    <n v="6"/>
    <x v="5"/>
  </r>
  <r>
    <d v="2023-06-30T00:00:00"/>
    <x v="0"/>
    <x v="0"/>
    <n v="1"/>
    <x v="0"/>
    <n v="33000"/>
    <n v="18000"/>
    <n v="33000"/>
    <n v="18000"/>
    <n v="14895"/>
    <n v="104.99999999999999"/>
    <s v="11 mns"/>
    <x v="2"/>
    <n v="6"/>
    <x v="5"/>
  </r>
  <r>
    <d v="2023-06-30T00:00:00"/>
    <x v="0"/>
    <x v="0"/>
    <n v="1"/>
    <x v="1"/>
    <n v="60000"/>
    <n v="31000"/>
    <n v="60000"/>
    <n v="31000"/>
    <n v="28797"/>
    <n v="202.99999999999997"/>
    <s v="11 mns"/>
    <x v="3"/>
    <n v="6"/>
    <x v="5"/>
  </r>
  <r>
    <d v="2023-06-30T00:00:00"/>
    <x v="0"/>
    <x v="0"/>
    <n v="1"/>
    <x v="2"/>
    <n v="89000"/>
    <n v="65000"/>
    <n v="89000"/>
    <n v="65000"/>
    <n v="23832"/>
    <n v="167.99999999999997"/>
    <s v="11 mns"/>
    <x v="0"/>
    <n v="6"/>
    <x v="5"/>
  </r>
  <r>
    <d v="2023-06-30T00:00:00"/>
    <x v="1"/>
    <x v="1"/>
    <n v="1"/>
    <x v="0"/>
    <n v="33000"/>
    <n v="18000"/>
    <n v="33000"/>
    <n v="18000"/>
    <n v="14895"/>
    <n v="104.99999999999999"/>
    <s v="58 mns"/>
    <x v="0"/>
    <n v="6"/>
    <x v="5"/>
  </r>
  <r>
    <d v="2023-06-30T00:00:00"/>
    <x v="2"/>
    <x v="2"/>
    <n v="1"/>
    <x v="0"/>
    <n v="33000"/>
    <n v="18000"/>
    <n v="33000"/>
    <n v="18000"/>
    <n v="14895"/>
    <n v="104.99999999999999"/>
    <s v="30 mns"/>
    <x v="0"/>
    <n v="6"/>
    <x v="5"/>
  </r>
  <r>
    <d v="2023-06-30T00:00:00"/>
    <x v="2"/>
    <x v="2"/>
    <n v="1"/>
    <x v="1"/>
    <n v="60000"/>
    <n v="31000"/>
    <n v="60000"/>
    <n v="31000"/>
    <n v="28797"/>
    <n v="202.99999999999997"/>
    <s v="30 mns"/>
    <x v="0"/>
    <n v="6"/>
    <x v="5"/>
  </r>
  <r>
    <d v="2023-06-30T00:00:00"/>
    <x v="2"/>
    <x v="2"/>
    <n v="1"/>
    <x v="2"/>
    <n v="89000"/>
    <n v="65000"/>
    <n v="89000"/>
    <n v="65000"/>
    <n v="23832"/>
    <n v="167.99999999999997"/>
    <s v="30 mns"/>
    <x v="1"/>
    <n v="6"/>
    <x v="5"/>
  </r>
  <r>
    <d v="2023-06-30T00:00:00"/>
    <x v="3"/>
    <x v="3"/>
    <n v="1"/>
    <x v="0"/>
    <n v="33000"/>
    <n v="18000"/>
    <n v="33000"/>
    <n v="18000"/>
    <n v="14895"/>
    <n v="104.99999999999999"/>
    <s v="35 mns"/>
    <x v="0"/>
    <n v="6"/>
    <x v="5"/>
  </r>
  <r>
    <d v="2023-06-30T00:00:00"/>
    <x v="3"/>
    <x v="3"/>
    <n v="1"/>
    <x v="1"/>
    <n v="60000"/>
    <n v="31000"/>
    <n v="60000"/>
    <n v="31000"/>
    <n v="28797"/>
    <n v="202.99999999999997"/>
    <s v="35 mns"/>
    <x v="3"/>
    <n v="6"/>
    <x v="5"/>
  </r>
  <r>
    <d v="2023-06-30T00:00:00"/>
    <x v="3"/>
    <x v="3"/>
    <n v="1"/>
    <x v="2"/>
    <n v="89000"/>
    <n v="65000"/>
    <n v="89000"/>
    <n v="65000"/>
    <n v="23832"/>
    <n v="167.99999999999997"/>
    <s v="35 mns"/>
    <x v="1"/>
    <n v="6"/>
    <x v="5"/>
  </r>
  <r>
    <d v="2023-07-01T00:00:00"/>
    <x v="0"/>
    <x v="0"/>
    <n v="1"/>
    <x v="0"/>
    <n v="33000"/>
    <n v="18000"/>
    <n v="33000"/>
    <n v="18000"/>
    <n v="14895"/>
    <n v="104.99999999999999"/>
    <s v="11 mns"/>
    <x v="3"/>
    <n v="7"/>
    <x v="6"/>
  </r>
  <r>
    <d v="2023-07-01T00:00:00"/>
    <x v="0"/>
    <x v="0"/>
    <n v="1"/>
    <x v="1"/>
    <n v="60000"/>
    <n v="31000"/>
    <n v="60000"/>
    <n v="31000"/>
    <n v="28797"/>
    <n v="202.99999999999997"/>
    <s v="11 mns"/>
    <x v="1"/>
    <n v="7"/>
    <x v="6"/>
  </r>
  <r>
    <d v="2023-07-01T00:00:00"/>
    <x v="0"/>
    <x v="0"/>
    <n v="1"/>
    <x v="2"/>
    <n v="89000"/>
    <n v="65000"/>
    <n v="89000"/>
    <n v="65000"/>
    <n v="23832"/>
    <n v="167.99999999999997"/>
    <s v="11 mns"/>
    <x v="2"/>
    <n v="7"/>
    <x v="6"/>
  </r>
  <r>
    <d v="2023-07-01T00:00:00"/>
    <x v="1"/>
    <x v="1"/>
    <n v="1"/>
    <x v="0"/>
    <n v="33000"/>
    <n v="18000"/>
    <n v="33000"/>
    <n v="18000"/>
    <n v="14895"/>
    <n v="104.99999999999999"/>
    <s v="58 mns"/>
    <x v="3"/>
    <n v="7"/>
    <x v="6"/>
  </r>
  <r>
    <d v="2023-07-01T00:00:00"/>
    <x v="2"/>
    <x v="2"/>
    <n v="1"/>
    <x v="0"/>
    <n v="33000"/>
    <n v="18000"/>
    <n v="33000"/>
    <n v="18000"/>
    <n v="14895"/>
    <n v="104.99999999999999"/>
    <s v="30 mns"/>
    <x v="3"/>
    <n v="7"/>
    <x v="6"/>
  </r>
  <r>
    <d v="2023-07-01T00:00:00"/>
    <x v="2"/>
    <x v="2"/>
    <n v="1"/>
    <x v="1"/>
    <n v="60000"/>
    <n v="31000"/>
    <n v="60000"/>
    <n v="31000"/>
    <n v="28797"/>
    <n v="202.99999999999997"/>
    <s v="30 mns"/>
    <x v="3"/>
    <n v="7"/>
    <x v="6"/>
  </r>
  <r>
    <d v="2023-07-01T00:00:00"/>
    <x v="2"/>
    <x v="2"/>
    <n v="1"/>
    <x v="2"/>
    <n v="89000"/>
    <n v="65000"/>
    <n v="89000"/>
    <n v="65000"/>
    <n v="23832"/>
    <n v="167.99999999999997"/>
    <s v="30 mns"/>
    <x v="3"/>
    <n v="7"/>
    <x v="6"/>
  </r>
  <r>
    <d v="2023-07-01T00:00:00"/>
    <x v="3"/>
    <x v="3"/>
    <n v="1"/>
    <x v="0"/>
    <n v="33000"/>
    <n v="18000"/>
    <n v="33000"/>
    <n v="18000"/>
    <n v="14895"/>
    <n v="104.99999999999999"/>
    <s v="35 mns"/>
    <x v="0"/>
    <n v="7"/>
    <x v="6"/>
  </r>
  <r>
    <d v="2023-07-01T00:00:00"/>
    <x v="3"/>
    <x v="3"/>
    <n v="1"/>
    <x v="1"/>
    <n v="60000"/>
    <n v="31000"/>
    <n v="60000"/>
    <n v="31000"/>
    <n v="28797"/>
    <n v="202.99999999999997"/>
    <s v="35 mns"/>
    <x v="3"/>
    <n v="7"/>
    <x v="6"/>
  </r>
  <r>
    <d v="2023-07-01T00:00:00"/>
    <x v="3"/>
    <x v="3"/>
    <n v="1"/>
    <x v="2"/>
    <n v="89000"/>
    <n v="65000"/>
    <n v="89000"/>
    <n v="65000"/>
    <n v="23832"/>
    <n v="167.99999999999997"/>
    <s v="35 mns"/>
    <x v="3"/>
    <n v="7"/>
    <x v="6"/>
  </r>
  <r>
    <d v="2023-07-02T00:00:00"/>
    <x v="0"/>
    <x v="0"/>
    <n v="1"/>
    <x v="0"/>
    <n v="33000"/>
    <n v="18000"/>
    <n v="33000"/>
    <n v="18000"/>
    <n v="14895"/>
    <n v="104.99999999999999"/>
    <s v="11 mns"/>
    <x v="3"/>
    <n v="7"/>
    <x v="6"/>
  </r>
  <r>
    <d v="2023-07-02T00:00:00"/>
    <x v="0"/>
    <x v="0"/>
    <n v="1"/>
    <x v="1"/>
    <n v="60000"/>
    <n v="31000"/>
    <n v="60000"/>
    <n v="31000"/>
    <n v="28797"/>
    <n v="202.99999999999997"/>
    <s v="11 mns"/>
    <x v="1"/>
    <n v="7"/>
    <x v="6"/>
  </r>
  <r>
    <d v="2023-07-02T00:00:00"/>
    <x v="0"/>
    <x v="0"/>
    <n v="1"/>
    <x v="2"/>
    <n v="89000"/>
    <n v="65000"/>
    <n v="89000"/>
    <n v="65000"/>
    <n v="23832"/>
    <n v="167.99999999999997"/>
    <s v="11 mns"/>
    <x v="1"/>
    <n v="7"/>
    <x v="6"/>
  </r>
  <r>
    <d v="2023-07-02T00:00:00"/>
    <x v="1"/>
    <x v="1"/>
    <n v="1"/>
    <x v="0"/>
    <n v="33000"/>
    <n v="18000"/>
    <n v="33000"/>
    <n v="18000"/>
    <n v="14895"/>
    <n v="104.99999999999999"/>
    <s v="58 mns"/>
    <x v="3"/>
    <n v="7"/>
    <x v="6"/>
  </r>
  <r>
    <d v="2023-07-02T00:00:00"/>
    <x v="2"/>
    <x v="2"/>
    <n v="1"/>
    <x v="0"/>
    <n v="33000"/>
    <n v="18000"/>
    <n v="33000"/>
    <n v="18000"/>
    <n v="14895"/>
    <n v="104.99999999999999"/>
    <s v="30 mns"/>
    <x v="1"/>
    <n v="7"/>
    <x v="6"/>
  </r>
  <r>
    <d v="2023-07-02T00:00:00"/>
    <x v="2"/>
    <x v="2"/>
    <n v="1"/>
    <x v="1"/>
    <n v="60000"/>
    <n v="31000"/>
    <n v="60000"/>
    <n v="31000"/>
    <n v="28797"/>
    <n v="202.99999999999997"/>
    <s v="30 mns"/>
    <x v="3"/>
    <n v="7"/>
    <x v="6"/>
  </r>
  <r>
    <d v="2023-07-02T00:00:00"/>
    <x v="2"/>
    <x v="2"/>
    <n v="1"/>
    <x v="2"/>
    <n v="89000"/>
    <n v="65000"/>
    <n v="89000"/>
    <n v="65000"/>
    <n v="23832"/>
    <n v="167.99999999999997"/>
    <s v="30 mns"/>
    <x v="0"/>
    <n v="7"/>
    <x v="6"/>
  </r>
  <r>
    <d v="2023-07-02T00:00:00"/>
    <x v="3"/>
    <x v="3"/>
    <n v="1"/>
    <x v="0"/>
    <n v="33000"/>
    <n v="18000"/>
    <n v="33000"/>
    <n v="18000"/>
    <n v="14895"/>
    <n v="104.99999999999999"/>
    <s v="35 mns"/>
    <x v="3"/>
    <n v="7"/>
    <x v="6"/>
  </r>
  <r>
    <d v="2023-07-02T00:00:00"/>
    <x v="3"/>
    <x v="3"/>
    <n v="1"/>
    <x v="1"/>
    <n v="60000"/>
    <n v="31000"/>
    <n v="60000"/>
    <n v="31000"/>
    <n v="28797"/>
    <n v="202.99999999999997"/>
    <s v="35 mns"/>
    <x v="3"/>
    <n v="7"/>
    <x v="6"/>
  </r>
  <r>
    <d v="2023-07-02T00:00:00"/>
    <x v="3"/>
    <x v="3"/>
    <n v="1"/>
    <x v="2"/>
    <n v="89000"/>
    <n v="65000"/>
    <n v="89000"/>
    <n v="65000"/>
    <n v="23832"/>
    <n v="167.99999999999997"/>
    <s v="35 mns"/>
    <x v="0"/>
    <n v="7"/>
    <x v="6"/>
  </r>
  <r>
    <d v="2023-07-03T00:00:00"/>
    <x v="0"/>
    <x v="0"/>
    <n v="1"/>
    <x v="0"/>
    <n v="33000"/>
    <n v="18000"/>
    <n v="33000"/>
    <n v="18000"/>
    <n v="14895"/>
    <n v="104.99999999999999"/>
    <s v="11 mns"/>
    <x v="1"/>
    <n v="7"/>
    <x v="6"/>
  </r>
  <r>
    <d v="2023-07-03T00:00:00"/>
    <x v="0"/>
    <x v="0"/>
    <n v="1"/>
    <x v="1"/>
    <n v="60000"/>
    <n v="31000"/>
    <n v="60000"/>
    <n v="31000"/>
    <n v="28797"/>
    <n v="202.99999999999997"/>
    <s v="11 mns"/>
    <x v="3"/>
    <n v="7"/>
    <x v="6"/>
  </r>
  <r>
    <d v="2023-07-03T00:00:00"/>
    <x v="0"/>
    <x v="0"/>
    <n v="1"/>
    <x v="2"/>
    <n v="89000"/>
    <n v="65000"/>
    <n v="89000"/>
    <n v="65000"/>
    <n v="23832"/>
    <n v="167.99999999999997"/>
    <s v="11 mns"/>
    <x v="2"/>
    <n v="7"/>
    <x v="6"/>
  </r>
  <r>
    <d v="2023-07-03T00:00:00"/>
    <x v="1"/>
    <x v="1"/>
    <n v="1"/>
    <x v="0"/>
    <n v="33000"/>
    <n v="18000"/>
    <n v="33000"/>
    <n v="18000"/>
    <n v="14895"/>
    <n v="104.99999999999999"/>
    <s v="58 mns"/>
    <x v="0"/>
    <n v="7"/>
    <x v="6"/>
  </r>
  <r>
    <d v="2023-07-03T00:00:00"/>
    <x v="2"/>
    <x v="2"/>
    <n v="1"/>
    <x v="0"/>
    <n v="33000"/>
    <n v="18000"/>
    <n v="33000"/>
    <n v="18000"/>
    <n v="14895"/>
    <n v="104.99999999999999"/>
    <s v="30 mns"/>
    <x v="2"/>
    <n v="7"/>
    <x v="6"/>
  </r>
  <r>
    <d v="2023-07-03T00:00:00"/>
    <x v="2"/>
    <x v="2"/>
    <n v="1"/>
    <x v="1"/>
    <n v="60000"/>
    <n v="31000"/>
    <n v="60000"/>
    <n v="31000"/>
    <n v="28797"/>
    <n v="202.99999999999997"/>
    <s v="30 mns"/>
    <x v="0"/>
    <n v="7"/>
    <x v="6"/>
  </r>
  <r>
    <d v="2023-07-03T00:00:00"/>
    <x v="2"/>
    <x v="2"/>
    <n v="1"/>
    <x v="2"/>
    <n v="89000"/>
    <n v="65000"/>
    <n v="89000"/>
    <n v="65000"/>
    <n v="23832"/>
    <n v="167.99999999999997"/>
    <s v="30 mns"/>
    <x v="0"/>
    <n v="7"/>
    <x v="6"/>
  </r>
  <r>
    <d v="2023-07-03T00:00:00"/>
    <x v="3"/>
    <x v="3"/>
    <n v="1"/>
    <x v="0"/>
    <n v="33000"/>
    <n v="18000"/>
    <n v="33000"/>
    <n v="18000"/>
    <n v="14895"/>
    <n v="104.99999999999999"/>
    <s v="35 mns"/>
    <x v="3"/>
    <n v="7"/>
    <x v="6"/>
  </r>
  <r>
    <d v="2023-07-03T00:00:00"/>
    <x v="3"/>
    <x v="3"/>
    <n v="1"/>
    <x v="1"/>
    <n v="60000"/>
    <n v="31000"/>
    <n v="60000"/>
    <n v="31000"/>
    <n v="28797"/>
    <n v="202.99999999999997"/>
    <s v="35 mns"/>
    <x v="1"/>
    <n v="7"/>
    <x v="6"/>
  </r>
  <r>
    <d v="2023-07-03T00:00:00"/>
    <x v="3"/>
    <x v="3"/>
    <n v="1"/>
    <x v="2"/>
    <n v="89000"/>
    <n v="65000"/>
    <n v="89000"/>
    <n v="65000"/>
    <n v="23832"/>
    <n v="167.99999999999997"/>
    <s v="35 mns"/>
    <x v="2"/>
    <n v="7"/>
    <x v="6"/>
  </r>
  <r>
    <d v="2023-07-04T00:00:00"/>
    <x v="0"/>
    <x v="0"/>
    <n v="1"/>
    <x v="0"/>
    <n v="33000"/>
    <n v="18000"/>
    <n v="33000"/>
    <n v="18000"/>
    <n v="14895"/>
    <n v="104.99999999999999"/>
    <s v="11 mns"/>
    <x v="0"/>
    <n v="7"/>
    <x v="6"/>
  </r>
  <r>
    <d v="2023-07-04T00:00:00"/>
    <x v="0"/>
    <x v="0"/>
    <n v="1"/>
    <x v="1"/>
    <n v="60000"/>
    <n v="31000"/>
    <n v="60000"/>
    <n v="31000"/>
    <n v="28797"/>
    <n v="202.99999999999997"/>
    <s v="11 mns"/>
    <x v="1"/>
    <n v="7"/>
    <x v="6"/>
  </r>
  <r>
    <d v="2023-07-04T00:00:00"/>
    <x v="0"/>
    <x v="0"/>
    <n v="1"/>
    <x v="2"/>
    <n v="89000"/>
    <n v="65000"/>
    <n v="89000"/>
    <n v="65000"/>
    <n v="23832"/>
    <n v="167.99999999999997"/>
    <s v="11 mns"/>
    <x v="0"/>
    <n v="7"/>
    <x v="6"/>
  </r>
  <r>
    <d v="2023-07-04T00:00:00"/>
    <x v="1"/>
    <x v="1"/>
    <n v="1"/>
    <x v="0"/>
    <n v="33000"/>
    <n v="18000"/>
    <n v="33000"/>
    <n v="18000"/>
    <n v="14895"/>
    <n v="104.99999999999999"/>
    <s v="58 mns"/>
    <x v="0"/>
    <n v="7"/>
    <x v="6"/>
  </r>
  <r>
    <d v="2023-07-04T00:00:00"/>
    <x v="2"/>
    <x v="2"/>
    <n v="1"/>
    <x v="0"/>
    <n v="33000"/>
    <n v="18000"/>
    <n v="33000"/>
    <n v="18000"/>
    <n v="14895"/>
    <n v="104.99999999999999"/>
    <s v="30 mns"/>
    <x v="0"/>
    <n v="7"/>
    <x v="6"/>
  </r>
  <r>
    <d v="2023-07-04T00:00:00"/>
    <x v="2"/>
    <x v="2"/>
    <n v="1"/>
    <x v="1"/>
    <n v="60000"/>
    <n v="31000"/>
    <n v="60000"/>
    <n v="31000"/>
    <n v="28797"/>
    <n v="202.99999999999997"/>
    <s v="30 mns"/>
    <x v="0"/>
    <n v="7"/>
    <x v="6"/>
  </r>
  <r>
    <d v="2023-07-04T00:00:00"/>
    <x v="2"/>
    <x v="2"/>
    <n v="1"/>
    <x v="2"/>
    <n v="89000"/>
    <n v="65000"/>
    <n v="89000"/>
    <n v="65000"/>
    <n v="23832"/>
    <n v="167.99999999999997"/>
    <s v="30 mns"/>
    <x v="2"/>
    <n v="7"/>
    <x v="6"/>
  </r>
  <r>
    <d v="2023-07-04T00:00:00"/>
    <x v="3"/>
    <x v="3"/>
    <n v="1"/>
    <x v="0"/>
    <n v="33000"/>
    <n v="18000"/>
    <n v="33000"/>
    <n v="18000"/>
    <n v="14895"/>
    <n v="104.99999999999999"/>
    <s v="35 mns"/>
    <x v="3"/>
    <n v="7"/>
    <x v="6"/>
  </r>
  <r>
    <d v="2023-07-04T00:00:00"/>
    <x v="3"/>
    <x v="3"/>
    <n v="1"/>
    <x v="1"/>
    <n v="60000"/>
    <n v="31000"/>
    <n v="60000"/>
    <n v="31000"/>
    <n v="28797"/>
    <n v="202.99999999999997"/>
    <s v="35 mns"/>
    <x v="0"/>
    <n v="7"/>
    <x v="6"/>
  </r>
  <r>
    <d v="2023-07-04T00:00:00"/>
    <x v="3"/>
    <x v="3"/>
    <n v="1"/>
    <x v="2"/>
    <n v="89000"/>
    <n v="65000"/>
    <n v="89000"/>
    <n v="65000"/>
    <n v="23832"/>
    <n v="167.99999999999997"/>
    <s v="35 mns"/>
    <x v="3"/>
    <n v="7"/>
    <x v="6"/>
  </r>
  <r>
    <d v="2023-07-05T00:00:00"/>
    <x v="0"/>
    <x v="0"/>
    <n v="1"/>
    <x v="0"/>
    <n v="33000"/>
    <n v="18000"/>
    <n v="33000"/>
    <n v="18000"/>
    <n v="14895"/>
    <n v="104.99999999999999"/>
    <s v="11 mns"/>
    <x v="0"/>
    <n v="7"/>
    <x v="6"/>
  </r>
  <r>
    <d v="2023-07-05T00:00:00"/>
    <x v="0"/>
    <x v="0"/>
    <n v="1"/>
    <x v="1"/>
    <n v="60000"/>
    <n v="31000"/>
    <n v="60000"/>
    <n v="31000"/>
    <n v="28797"/>
    <n v="202.99999999999997"/>
    <s v="11 mns"/>
    <x v="3"/>
    <n v="7"/>
    <x v="6"/>
  </r>
  <r>
    <d v="2023-07-05T00:00:00"/>
    <x v="0"/>
    <x v="0"/>
    <n v="1"/>
    <x v="2"/>
    <n v="89000"/>
    <n v="65000"/>
    <n v="89000"/>
    <n v="65000"/>
    <n v="23832"/>
    <n v="167.99999999999997"/>
    <s v="11 mns"/>
    <x v="2"/>
    <n v="7"/>
    <x v="6"/>
  </r>
  <r>
    <d v="2023-07-05T00:00:00"/>
    <x v="1"/>
    <x v="1"/>
    <n v="1"/>
    <x v="0"/>
    <n v="33000"/>
    <n v="18000"/>
    <n v="33000"/>
    <n v="18000"/>
    <n v="14895"/>
    <n v="104.99999999999999"/>
    <s v="58 mns"/>
    <x v="1"/>
    <n v="7"/>
    <x v="6"/>
  </r>
  <r>
    <d v="2023-07-05T00:00:00"/>
    <x v="2"/>
    <x v="2"/>
    <n v="1"/>
    <x v="0"/>
    <n v="33000"/>
    <n v="18000"/>
    <n v="33000"/>
    <n v="18000"/>
    <n v="14895"/>
    <n v="104.99999999999999"/>
    <s v="30 mns"/>
    <x v="3"/>
    <n v="7"/>
    <x v="6"/>
  </r>
  <r>
    <d v="2023-07-05T00:00:00"/>
    <x v="2"/>
    <x v="2"/>
    <n v="1"/>
    <x v="1"/>
    <n v="60000"/>
    <n v="31000"/>
    <n v="60000"/>
    <n v="31000"/>
    <n v="28797"/>
    <n v="202.99999999999997"/>
    <s v="30 mns"/>
    <x v="1"/>
    <n v="7"/>
    <x v="6"/>
  </r>
  <r>
    <d v="2023-07-05T00:00:00"/>
    <x v="2"/>
    <x v="2"/>
    <n v="1"/>
    <x v="2"/>
    <n v="89000"/>
    <n v="65000"/>
    <n v="89000"/>
    <n v="65000"/>
    <n v="23832"/>
    <n v="167.99999999999997"/>
    <s v="30 mns"/>
    <x v="3"/>
    <n v="7"/>
    <x v="6"/>
  </r>
  <r>
    <d v="2023-07-05T00:00:00"/>
    <x v="3"/>
    <x v="3"/>
    <n v="1"/>
    <x v="0"/>
    <n v="33000"/>
    <n v="18000"/>
    <n v="33000"/>
    <n v="18000"/>
    <n v="14895"/>
    <n v="104.99999999999999"/>
    <s v="35 mns"/>
    <x v="0"/>
    <n v="7"/>
    <x v="6"/>
  </r>
  <r>
    <d v="2023-07-05T00:00:00"/>
    <x v="3"/>
    <x v="3"/>
    <n v="1"/>
    <x v="1"/>
    <n v="60000"/>
    <n v="31000"/>
    <n v="60000"/>
    <n v="31000"/>
    <n v="28797"/>
    <n v="202.99999999999997"/>
    <s v="35 mns"/>
    <x v="0"/>
    <n v="7"/>
    <x v="6"/>
  </r>
  <r>
    <d v="2023-07-05T00:00:00"/>
    <x v="3"/>
    <x v="3"/>
    <n v="1"/>
    <x v="2"/>
    <n v="89000"/>
    <n v="65000"/>
    <n v="89000"/>
    <n v="65000"/>
    <n v="23832"/>
    <n v="167.99999999999997"/>
    <s v="35 mns"/>
    <x v="1"/>
    <n v="7"/>
    <x v="6"/>
  </r>
  <r>
    <d v="2023-07-06T00:00:00"/>
    <x v="0"/>
    <x v="0"/>
    <n v="1"/>
    <x v="0"/>
    <n v="33000"/>
    <n v="18000"/>
    <n v="33000"/>
    <n v="18000"/>
    <n v="14895"/>
    <n v="104.99999999999999"/>
    <s v="11 mns"/>
    <x v="2"/>
    <n v="7"/>
    <x v="6"/>
  </r>
  <r>
    <d v="2023-07-06T00:00:00"/>
    <x v="0"/>
    <x v="0"/>
    <n v="1"/>
    <x v="1"/>
    <n v="60000"/>
    <n v="31000"/>
    <n v="60000"/>
    <n v="31000"/>
    <n v="28797"/>
    <n v="202.99999999999997"/>
    <s v="11 mns"/>
    <x v="3"/>
    <n v="7"/>
    <x v="6"/>
  </r>
  <r>
    <d v="2023-07-06T00:00:00"/>
    <x v="0"/>
    <x v="0"/>
    <n v="1"/>
    <x v="2"/>
    <n v="89000"/>
    <n v="65000"/>
    <n v="89000"/>
    <n v="65000"/>
    <n v="23832"/>
    <n v="167.99999999999997"/>
    <s v="11 mns"/>
    <x v="1"/>
    <n v="7"/>
    <x v="6"/>
  </r>
  <r>
    <d v="2023-07-06T00:00:00"/>
    <x v="1"/>
    <x v="1"/>
    <n v="1"/>
    <x v="0"/>
    <n v="33000"/>
    <n v="18000"/>
    <n v="33000"/>
    <n v="18000"/>
    <n v="14895"/>
    <n v="104.99999999999999"/>
    <s v="58 mns"/>
    <x v="1"/>
    <n v="7"/>
    <x v="6"/>
  </r>
  <r>
    <d v="2023-07-06T00:00:00"/>
    <x v="2"/>
    <x v="2"/>
    <n v="1"/>
    <x v="0"/>
    <n v="33000"/>
    <n v="18000"/>
    <n v="33000"/>
    <n v="18000"/>
    <n v="14895"/>
    <n v="104.99999999999999"/>
    <s v="30 mns"/>
    <x v="3"/>
    <n v="7"/>
    <x v="6"/>
  </r>
  <r>
    <d v="2023-07-06T00:00:00"/>
    <x v="2"/>
    <x v="2"/>
    <n v="1"/>
    <x v="1"/>
    <n v="60000"/>
    <n v="31000"/>
    <n v="60000"/>
    <n v="31000"/>
    <n v="28797"/>
    <n v="202.99999999999997"/>
    <s v="30 mns"/>
    <x v="3"/>
    <n v="7"/>
    <x v="6"/>
  </r>
  <r>
    <d v="2023-07-06T00:00:00"/>
    <x v="2"/>
    <x v="2"/>
    <n v="1"/>
    <x v="2"/>
    <n v="89000"/>
    <n v="65000"/>
    <n v="89000"/>
    <n v="65000"/>
    <n v="23832"/>
    <n v="167.99999999999997"/>
    <s v="30 mns"/>
    <x v="1"/>
    <n v="7"/>
    <x v="6"/>
  </r>
  <r>
    <d v="2023-07-06T00:00:00"/>
    <x v="3"/>
    <x v="3"/>
    <n v="1"/>
    <x v="0"/>
    <n v="33000"/>
    <n v="18000"/>
    <n v="33000"/>
    <n v="18000"/>
    <n v="14895"/>
    <n v="104.99999999999999"/>
    <s v="35 mns"/>
    <x v="2"/>
    <n v="7"/>
    <x v="6"/>
  </r>
  <r>
    <d v="2023-07-06T00:00:00"/>
    <x v="3"/>
    <x v="3"/>
    <n v="1"/>
    <x v="1"/>
    <n v="60000"/>
    <n v="31000"/>
    <n v="60000"/>
    <n v="31000"/>
    <n v="28797"/>
    <n v="202.99999999999997"/>
    <s v="35 mns"/>
    <x v="0"/>
    <n v="7"/>
    <x v="6"/>
  </r>
  <r>
    <d v="2023-07-06T00:00:00"/>
    <x v="3"/>
    <x v="3"/>
    <n v="1"/>
    <x v="2"/>
    <n v="89000"/>
    <n v="65000"/>
    <n v="89000"/>
    <n v="65000"/>
    <n v="23832"/>
    <n v="167.99999999999997"/>
    <s v="35 mns"/>
    <x v="3"/>
    <n v="7"/>
    <x v="6"/>
  </r>
  <r>
    <d v="2023-07-07T00:00:00"/>
    <x v="0"/>
    <x v="0"/>
    <n v="1"/>
    <x v="0"/>
    <n v="33000"/>
    <n v="18000"/>
    <n v="33000"/>
    <n v="18000"/>
    <n v="14895"/>
    <n v="104.99999999999999"/>
    <s v="11 mns"/>
    <x v="1"/>
    <n v="7"/>
    <x v="6"/>
  </r>
  <r>
    <d v="2023-07-07T00:00:00"/>
    <x v="0"/>
    <x v="0"/>
    <n v="1"/>
    <x v="1"/>
    <n v="60000"/>
    <n v="31000"/>
    <n v="60000"/>
    <n v="31000"/>
    <n v="28797"/>
    <n v="202.99999999999997"/>
    <s v="11 mns"/>
    <x v="0"/>
    <n v="7"/>
    <x v="6"/>
  </r>
  <r>
    <d v="2023-07-07T00:00:00"/>
    <x v="0"/>
    <x v="0"/>
    <n v="1"/>
    <x v="2"/>
    <n v="89000"/>
    <n v="65000"/>
    <n v="89000"/>
    <n v="65000"/>
    <n v="23832"/>
    <n v="167.99999999999997"/>
    <s v="11 mns"/>
    <x v="1"/>
    <n v="7"/>
    <x v="6"/>
  </r>
  <r>
    <d v="2023-07-07T00:00:00"/>
    <x v="1"/>
    <x v="1"/>
    <n v="1"/>
    <x v="0"/>
    <n v="33000"/>
    <n v="18000"/>
    <n v="33000"/>
    <n v="18000"/>
    <n v="14895"/>
    <n v="104.99999999999999"/>
    <s v="58 mns"/>
    <x v="1"/>
    <n v="7"/>
    <x v="6"/>
  </r>
  <r>
    <d v="2023-07-07T00:00:00"/>
    <x v="2"/>
    <x v="2"/>
    <n v="1"/>
    <x v="0"/>
    <n v="33000"/>
    <n v="18000"/>
    <n v="33000"/>
    <n v="18000"/>
    <n v="14895"/>
    <n v="104.99999999999999"/>
    <s v="30 mns"/>
    <x v="2"/>
    <n v="7"/>
    <x v="6"/>
  </r>
  <r>
    <d v="2023-07-07T00:00:00"/>
    <x v="2"/>
    <x v="2"/>
    <n v="1"/>
    <x v="1"/>
    <n v="60000"/>
    <n v="31000"/>
    <n v="60000"/>
    <n v="31000"/>
    <n v="28797"/>
    <n v="202.99999999999997"/>
    <s v="30 mns"/>
    <x v="3"/>
    <n v="7"/>
    <x v="6"/>
  </r>
  <r>
    <d v="2023-07-07T00:00:00"/>
    <x v="2"/>
    <x v="2"/>
    <n v="1"/>
    <x v="2"/>
    <n v="89000"/>
    <n v="65000"/>
    <n v="89000"/>
    <n v="65000"/>
    <n v="23832"/>
    <n v="167.99999999999997"/>
    <s v="30 mns"/>
    <x v="3"/>
    <n v="7"/>
    <x v="6"/>
  </r>
  <r>
    <d v="2023-07-07T00:00:00"/>
    <x v="3"/>
    <x v="3"/>
    <n v="1"/>
    <x v="0"/>
    <n v="33000"/>
    <n v="18000"/>
    <n v="33000"/>
    <n v="18000"/>
    <n v="14895"/>
    <n v="104.99999999999999"/>
    <s v="35 mns"/>
    <x v="3"/>
    <n v="7"/>
    <x v="6"/>
  </r>
  <r>
    <d v="2023-07-07T00:00:00"/>
    <x v="3"/>
    <x v="3"/>
    <n v="1"/>
    <x v="1"/>
    <n v="60000"/>
    <n v="31000"/>
    <n v="60000"/>
    <n v="31000"/>
    <n v="28797"/>
    <n v="202.99999999999997"/>
    <s v="35 mns"/>
    <x v="3"/>
    <n v="7"/>
    <x v="6"/>
  </r>
  <r>
    <d v="2023-07-07T00:00:00"/>
    <x v="3"/>
    <x v="3"/>
    <n v="1"/>
    <x v="2"/>
    <n v="89000"/>
    <n v="65000"/>
    <n v="89000"/>
    <n v="65000"/>
    <n v="23832"/>
    <n v="167.99999999999997"/>
    <s v="35 mns"/>
    <x v="3"/>
    <n v="7"/>
    <x v="6"/>
  </r>
  <r>
    <d v="2023-07-08T00:00:00"/>
    <x v="0"/>
    <x v="0"/>
    <n v="2"/>
    <x v="0"/>
    <n v="33000"/>
    <n v="18000"/>
    <n v="66000"/>
    <n v="36000"/>
    <n v="29790"/>
    <n v="209.99999999999997"/>
    <s v="11 mns"/>
    <x v="3"/>
    <n v="7"/>
    <x v="6"/>
  </r>
  <r>
    <d v="2023-07-08T00:00:00"/>
    <x v="0"/>
    <x v="0"/>
    <n v="2"/>
    <x v="1"/>
    <n v="60000"/>
    <n v="31000"/>
    <n v="120000"/>
    <n v="62000"/>
    <n v="57594"/>
    <n v="405.99999999999994"/>
    <s v="11 mns"/>
    <x v="3"/>
    <n v="7"/>
    <x v="6"/>
  </r>
  <r>
    <d v="2023-07-08T00:00:00"/>
    <x v="0"/>
    <x v="0"/>
    <n v="2"/>
    <x v="2"/>
    <n v="89000"/>
    <n v="65000"/>
    <n v="178000"/>
    <n v="130000"/>
    <n v="47664"/>
    <n v="335.99999999999994"/>
    <s v="11 mns"/>
    <x v="1"/>
    <n v="7"/>
    <x v="6"/>
  </r>
  <r>
    <d v="2023-07-08T00:00:00"/>
    <x v="1"/>
    <x v="1"/>
    <n v="2"/>
    <x v="0"/>
    <n v="33000"/>
    <n v="18000"/>
    <n v="66000"/>
    <n v="36000"/>
    <n v="29790"/>
    <n v="209.99999999999997"/>
    <s v="58 mns"/>
    <x v="1"/>
    <n v="7"/>
    <x v="6"/>
  </r>
  <r>
    <d v="2023-07-08T00:00:00"/>
    <x v="2"/>
    <x v="2"/>
    <n v="2"/>
    <x v="0"/>
    <n v="33000"/>
    <n v="18000"/>
    <n v="66000"/>
    <n v="36000"/>
    <n v="29790"/>
    <n v="209.99999999999997"/>
    <s v="30 mns"/>
    <x v="2"/>
    <n v="7"/>
    <x v="6"/>
  </r>
  <r>
    <d v="2023-07-08T00:00:00"/>
    <x v="2"/>
    <x v="2"/>
    <n v="2"/>
    <x v="1"/>
    <n v="60000"/>
    <n v="31000"/>
    <n v="120000"/>
    <n v="62000"/>
    <n v="57594"/>
    <n v="405.99999999999994"/>
    <s v="30 mns"/>
    <x v="3"/>
    <n v="7"/>
    <x v="6"/>
  </r>
  <r>
    <d v="2023-07-08T00:00:00"/>
    <x v="2"/>
    <x v="2"/>
    <n v="2"/>
    <x v="2"/>
    <n v="89000"/>
    <n v="65000"/>
    <n v="178000"/>
    <n v="130000"/>
    <n v="47664"/>
    <n v="335.99999999999994"/>
    <s v="30 mns"/>
    <x v="1"/>
    <n v="7"/>
    <x v="6"/>
  </r>
  <r>
    <d v="2023-07-08T00:00:00"/>
    <x v="3"/>
    <x v="3"/>
    <n v="2"/>
    <x v="0"/>
    <n v="33000"/>
    <n v="18000"/>
    <n v="66000"/>
    <n v="36000"/>
    <n v="29790"/>
    <n v="209.99999999999997"/>
    <s v="35 mns"/>
    <x v="3"/>
    <n v="7"/>
    <x v="6"/>
  </r>
  <r>
    <d v="2023-07-08T00:00:00"/>
    <x v="3"/>
    <x v="3"/>
    <n v="2"/>
    <x v="1"/>
    <n v="60000"/>
    <n v="31000"/>
    <n v="120000"/>
    <n v="62000"/>
    <n v="57594"/>
    <n v="405.99999999999994"/>
    <s v="35 mns"/>
    <x v="0"/>
    <n v="7"/>
    <x v="6"/>
  </r>
  <r>
    <d v="2023-07-08T00:00:00"/>
    <x v="3"/>
    <x v="3"/>
    <n v="2"/>
    <x v="2"/>
    <n v="89000"/>
    <n v="65000"/>
    <n v="178000"/>
    <n v="130000"/>
    <n v="47664"/>
    <n v="335.99999999999994"/>
    <s v="35 mns"/>
    <x v="1"/>
    <n v="7"/>
    <x v="6"/>
  </r>
  <r>
    <d v="2023-07-09T00:00:00"/>
    <x v="0"/>
    <x v="0"/>
    <n v="2"/>
    <x v="0"/>
    <n v="33000"/>
    <n v="18000"/>
    <n v="66000"/>
    <n v="36000"/>
    <n v="29790"/>
    <n v="209.99999999999997"/>
    <s v="11 mns"/>
    <x v="1"/>
    <n v="7"/>
    <x v="6"/>
  </r>
  <r>
    <d v="2023-07-09T00:00:00"/>
    <x v="0"/>
    <x v="0"/>
    <n v="2"/>
    <x v="1"/>
    <n v="60000"/>
    <n v="31000"/>
    <n v="120000"/>
    <n v="62000"/>
    <n v="57594"/>
    <n v="405.99999999999994"/>
    <s v="11 mns"/>
    <x v="3"/>
    <n v="7"/>
    <x v="6"/>
  </r>
  <r>
    <d v="2023-07-09T00:00:00"/>
    <x v="0"/>
    <x v="0"/>
    <n v="2"/>
    <x v="2"/>
    <n v="89000"/>
    <n v="65000"/>
    <n v="178000"/>
    <n v="130000"/>
    <n v="47664"/>
    <n v="335.99999999999994"/>
    <s v="11 mns"/>
    <x v="1"/>
    <n v="7"/>
    <x v="6"/>
  </r>
  <r>
    <d v="2023-07-09T00:00:00"/>
    <x v="1"/>
    <x v="1"/>
    <n v="2"/>
    <x v="0"/>
    <n v="33000"/>
    <n v="18000"/>
    <n v="66000"/>
    <n v="36000"/>
    <n v="29790"/>
    <n v="209.99999999999997"/>
    <s v="58 mns"/>
    <x v="2"/>
    <n v="7"/>
    <x v="6"/>
  </r>
  <r>
    <d v="2023-07-09T00:00:00"/>
    <x v="2"/>
    <x v="2"/>
    <n v="2"/>
    <x v="0"/>
    <n v="33000"/>
    <n v="18000"/>
    <n v="66000"/>
    <n v="36000"/>
    <n v="29790"/>
    <n v="209.99999999999997"/>
    <s v="30 mns"/>
    <x v="0"/>
    <n v="7"/>
    <x v="6"/>
  </r>
  <r>
    <d v="2023-07-09T00:00:00"/>
    <x v="2"/>
    <x v="2"/>
    <n v="2"/>
    <x v="1"/>
    <n v="60000"/>
    <n v="31000"/>
    <n v="120000"/>
    <n v="62000"/>
    <n v="57594"/>
    <n v="405.99999999999994"/>
    <s v="30 mns"/>
    <x v="1"/>
    <n v="7"/>
    <x v="6"/>
  </r>
  <r>
    <d v="2023-07-09T00:00:00"/>
    <x v="2"/>
    <x v="2"/>
    <n v="2"/>
    <x v="2"/>
    <n v="89000"/>
    <n v="65000"/>
    <n v="178000"/>
    <n v="130000"/>
    <n v="47664"/>
    <n v="335.99999999999994"/>
    <s v="30 mns"/>
    <x v="2"/>
    <n v="7"/>
    <x v="6"/>
  </r>
  <r>
    <d v="2023-07-09T00:00:00"/>
    <x v="3"/>
    <x v="3"/>
    <n v="2"/>
    <x v="0"/>
    <n v="33000"/>
    <n v="18000"/>
    <n v="66000"/>
    <n v="36000"/>
    <n v="29790"/>
    <n v="209.99999999999997"/>
    <s v="35 mns"/>
    <x v="3"/>
    <n v="7"/>
    <x v="6"/>
  </r>
  <r>
    <d v="2023-07-09T00:00:00"/>
    <x v="3"/>
    <x v="3"/>
    <n v="2"/>
    <x v="1"/>
    <n v="60000"/>
    <n v="31000"/>
    <n v="120000"/>
    <n v="62000"/>
    <n v="57594"/>
    <n v="405.99999999999994"/>
    <s v="35 mns"/>
    <x v="0"/>
    <n v="7"/>
    <x v="6"/>
  </r>
  <r>
    <d v="2023-07-09T00:00:00"/>
    <x v="3"/>
    <x v="3"/>
    <n v="2"/>
    <x v="2"/>
    <n v="89000"/>
    <n v="65000"/>
    <n v="178000"/>
    <n v="130000"/>
    <n v="47664"/>
    <n v="335.99999999999994"/>
    <s v="35 mns"/>
    <x v="3"/>
    <n v="7"/>
    <x v="6"/>
  </r>
  <r>
    <d v="2023-07-10T00:00:00"/>
    <x v="0"/>
    <x v="0"/>
    <n v="1"/>
    <x v="0"/>
    <n v="33000"/>
    <n v="18000"/>
    <n v="33000"/>
    <n v="18000"/>
    <n v="14895"/>
    <n v="104.99999999999999"/>
    <s v="11 mns"/>
    <x v="1"/>
    <n v="7"/>
    <x v="6"/>
  </r>
  <r>
    <d v="2023-07-10T00:00:00"/>
    <x v="0"/>
    <x v="0"/>
    <n v="1"/>
    <x v="1"/>
    <n v="60000"/>
    <n v="31000"/>
    <n v="60000"/>
    <n v="31000"/>
    <n v="28797"/>
    <n v="202.99999999999997"/>
    <s v="11 mns"/>
    <x v="1"/>
    <n v="7"/>
    <x v="6"/>
  </r>
  <r>
    <d v="2023-07-10T00:00:00"/>
    <x v="0"/>
    <x v="0"/>
    <n v="1"/>
    <x v="2"/>
    <n v="89000"/>
    <n v="65000"/>
    <n v="89000"/>
    <n v="65000"/>
    <n v="23832"/>
    <n v="167.99999999999997"/>
    <s v="11 mns"/>
    <x v="3"/>
    <n v="7"/>
    <x v="6"/>
  </r>
  <r>
    <d v="2023-07-10T00:00:00"/>
    <x v="1"/>
    <x v="1"/>
    <n v="1"/>
    <x v="0"/>
    <n v="33000"/>
    <n v="18000"/>
    <n v="33000"/>
    <n v="18000"/>
    <n v="14895"/>
    <n v="104.99999999999999"/>
    <s v="58 mns"/>
    <x v="0"/>
    <n v="7"/>
    <x v="6"/>
  </r>
  <r>
    <d v="2023-07-10T00:00:00"/>
    <x v="2"/>
    <x v="2"/>
    <n v="1"/>
    <x v="0"/>
    <n v="33000"/>
    <n v="18000"/>
    <n v="33000"/>
    <n v="18000"/>
    <n v="14895"/>
    <n v="104.99999999999999"/>
    <s v="30 mns"/>
    <x v="1"/>
    <n v="7"/>
    <x v="6"/>
  </r>
  <r>
    <d v="2023-07-10T00:00:00"/>
    <x v="2"/>
    <x v="2"/>
    <n v="1"/>
    <x v="1"/>
    <n v="60000"/>
    <n v="31000"/>
    <n v="60000"/>
    <n v="31000"/>
    <n v="28797"/>
    <n v="202.99999999999997"/>
    <s v="30 mns"/>
    <x v="1"/>
    <n v="7"/>
    <x v="6"/>
  </r>
  <r>
    <d v="2023-07-10T00:00:00"/>
    <x v="2"/>
    <x v="2"/>
    <n v="1"/>
    <x v="2"/>
    <n v="89000"/>
    <n v="65000"/>
    <n v="89000"/>
    <n v="65000"/>
    <n v="23832"/>
    <n v="167.99999999999997"/>
    <s v="30 mns"/>
    <x v="0"/>
    <n v="7"/>
    <x v="6"/>
  </r>
  <r>
    <d v="2023-07-10T00:00:00"/>
    <x v="3"/>
    <x v="3"/>
    <n v="1"/>
    <x v="0"/>
    <n v="33000"/>
    <n v="18000"/>
    <n v="33000"/>
    <n v="18000"/>
    <n v="14895"/>
    <n v="104.99999999999999"/>
    <s v="35 mns"/>
    <x v="1"/>
    <n v="7"/>
    <x v="6"/>
  </r>
  <r>
    <d v="2023-07-10T00:00:00"/>
    <x v="3"/>
    <x v="3"/>
    <n v="1"/>
    <x v="1"/>
    <n v="60000"/>
    <n v="31000"/>
    <n v="60000"/>
    <n v="31000"/>
    <n v="28797"/>
    <n v="202.99999999999997"/>
    <s v="35 mns"/>
    <x v="2"/>
    <n v="7"/>
    <x v="6"/>
  </r>
  <r>
    <d v="2023-07-10T00:00:00"/>
    <x v="3"/>
    <x v="3"/>
    <n v="1"/>
    <x v="2"/>
    <n v="89000"/>
    <n v="65000"/>
    <n v="89000"/>
    <n v="65000"/>
    <n v="23832"/>
    <n v="167.99999999999997"/>
    <s v="35 mns"/>
    <x v="2"/>
    <n v="7"/>
    <x v="6"/>
  </r>
  <r>
    <d v="2023-07-11T00:00:00"/>
    <x v="0"/>
    <x v="0"/>
    <n v="2"/>
    <x v="0"/>
    <n v="33000"/>
    <n v="18000"/>
    <n v="66000"/>
    <n v="36000"/>
    <n v="29790"/>
    <n v="209.99999999999997"/>
    <s v="11 mns"/>
    <x v="3"/>
    <n v="7"/>
    <x v="6"/>
  </r>
  <r>
    <d v="2023-07-11T00:00:00"/>
    <x v="0"/>
    <x v="0"/>
    <n v="2"/>
    <x v="1"/>
    <n v="60000"/>
    <n v="31000"/>
    <n v="120000"/>
    <n v="62000"/>
    <n v="57594"/>
    <n v="405.99999999999994"/>
    <s v="11 mns"/>
    <x v="1"/>
    <n v="7"/>
    <x v="6"/>
  </r>
  <r>
    <d v="2023-07-11T00:00:00"/>
    <x v="0"/>
    <x v="0"/>
    <n v="2"/>
    <x v="2"/>
    <n v="89000"/>
    <n v="65000"/>
    <n v="178000"/>
    <n v="130000"/>
    <n v="47664"/>
    <n v="335.99999999999994"/>
    <s v="11 mns"/>
    <x v="3"/>
    <n v="7"/>
    <x v="6"/>
  </r>
  <r>
    <d v="2023-07-11T00:00:00"/>
    <x v="1"/>
    <x v="1"/>
    <n v="2"/>
    <x v="0"/>
    <n v="33000"/>
    <n v="18000"/>
    <n v="66000"/>
    <n v="36000"/>
    <n v="29790"/>
    <n v="209.99999999999997"/>
    <s v="58 mns"/>
    <x v="2"/>
    <n v="7"/>
    <x v="6"/>
  </r>
  <r>
    <d v="2023-07-11T00:00:00"/>
    <x v="2"/>
    <x v="2"/>
    <n v="2"/>
    <x v="0"/>
    <n v="33000"/>
    <n v="18000"/>
    <n v="66000"/>
    <n v="36000"/>
    <n v="29790"/>
    <n v="209.99999999999997"/>
    <s v="30 mns"/>
    <x v="1"/>
    <n v="7"/>
    <x v="6"/>
  </r>
  <r>
    <d v="2023-07-11T00:00:00"/>
    <x v="2"/>
    <x v="2"/>
    <n v="2"/>
    <x v="1"/>
    <n v="60000"/>
    <n v="31000"/>
    <n v="120000"/>
    <n v="62000"/>
    <n v="57594"/>
    <n v="405.99999999999994"/>
    <s v="30 mns"/>
    <x v="0"/>
    <n v="7"/>
    <x v="6"/>
  </r>
  <r>
    <d v="2023-07-11T00:00:00"/>
    <x v="2"/>
    <x v="2"/>
    <n v="2"/>
    <x v="2"/>
    <n v="89000"/>
    <n v="65000"/>
    <n v="178000"/>
    <n v="130000"/>
    <n v="47664"/>
    <n v="335.99999999999994"/>
    <s v="30 mns"/>
    <x v="0"/>
    <n v="7"/>
    <x v="6"/>
  </r>
  <r>
    <d v="2023-07-11T00:00:00"/>
    <x v="3"/>
    <x v="3"/>
    <n v="2"/>
    <x v="0"/>
    <n v="33000"/>
    <n v="18000"/>
    <n v="66000"/>
    <n v="36000"/>
    <n v="29790"/>
    <n v="209.99999999999997"/>
    <s v="35 mns"/>
    <x v="2"/>
    <n v="7"/>
    <x v="6"/>
  </r>
  <r>
    <d v="2023-07-11T00:00:00"/>
    <x v="3"/>
    <x v="3"/>
    <n v="2"/>
    <x v="1"/>
    <n v="60000"/>
    <n v="31000"/>
    <n v="120000"/>
    <n v="62000"/>
    <n v="57594"/>
    <n v="405.99999999999994"/>
    <s v="35 mns"/>
    <x v="2"/>
    <n v="7"/>
    <x v="6"/>
  </r>
  <r>
    <d v="2023-07-11T00:00:00"/>
    <x v="3"/>
    <x v="3"/>
    <n v="2"/>
    <x v="2"/>
    <n v="89000"/>
    <n v="65000"/>
    <n v="178000"/>
    <n v="130000"/>
    <n v="47664"/>
    <n v="335.99999999999994"/>
    <s v="35 mns"/>
    <x v="3"/>
    <n v="7"/>
    <x v="6"/>
  </r>
  <r>
    <d v="2023-07-12T00:00:00"/>
    <x v="0"/>
    <x v="0"/>
    <n v="1"/>
    <x v="0"/>
    <n v="33000"/>
    <n v="18000"/>
    <n v="33000"/>
    <n v="18000"/>
    <n v="14895"/>
    <n v="104.99999999999999"/>
    <s v="11 mns"/>
    <x v="2"/>
    <n v="7"/>
    <x v="6"/>
  </r>
  <r>
    <d v="2023-07-12T00:00:00"/>
    <x v="0"/>
    <x v="0"/>
    <n v="1"/>
    <x v="1"/>
    <n v="60000"/>
    <n v="31000"/>
    <n v="60000"/>
    <n v="31000"/>
    <n v="28797"/>
    <n v="202.99999999999997"/>
    <s v="11 mns"/>
    <x v="1"/>
    <n v="7"/>
    <x v="6"/>
  </r>
  <r>
    <d v="2023-07-12T00:00:00"/>
    <x v="0"/>
    <x v="0"/>
    <n v="1"/>
    <x v="2"/>
    <n v="89000"/>
    <n v="65000"/>
    <n v="89000"/>
    <n v="65000"/>
    <n v="23832"/>
    <n v="167.99999999999997"/>
    <s v="11 mns"/>
    <x v="3"/>
    <n v="7"/>
    <x v="6"/>
  </r>
  <r>
    <d v="2023-07-12T00:00:00"/>
    <x v="2"/>
    <x v="2"/>
    <n v="1"/>
    <x v="0"/>
    <n v="33000"/>
    <n v="18000"/>
    <n v="33000"/>
    <n v="18000"/>
    <n v="14895"/>
    <n v="104.99999999999999"/>
    <s v="30 mns"/>
    <x v="1"/>
    <n v="7"/>
    <x v="6"/>
  </r>
  <r>
    <d v="2023-07-12T00:00:00"/>
    <x v="2"/>
    <x v="2"/>
    <n v="1"/>
    <x v="1"/>
    <n v="60000"/>
    <n v="31000"/>
    <n v="60000"/>
    <n v="31000"/>
    <n v="28797"/>
    <n v="202.99999999999997"/>
    <s v="30 mns"/>
    <x v="3"/>
    <n v="7"/>
    <x v="6"/>
  </r>
  <r>
    <d v="2023-07-12T00:00:00"/>
    <x v="2"/>
    <x v="2"/>
    <n v="1"/>
    <x v="2"/>
    <n v="89000"/>
    <n v="65000"/>
    <n v="89000"/>
    <n v="65000"/>
    <n v="23832"/>
    <n v="167.99999999999997"/>
    <s v="30 mns"/>
    <x v="3"/>
    <n v="7"/>
    <x v="6"/>
  </r>
  <r>
    <d v="2023-07-12T00:00:00"/>
    <x v="3"/>
    <x v="3"/>
    <n v="1"/>
    <x v="0"/>
    <n v="33000"/>
    <n v="18000"/>
    <n v="33000"/>
    <n v="18000"/>
    <n v="14895"/>
    <n v="104.99999999999999"/>
    <s v="35 mns"/>
    <x v="2"/>
    <n v="7"/>
    <x v="6"/>
  </r>
  <r>
    <d v="2023-07-12T00:00:00"/>
    <x v="3"/>
    <x v="3"/>
    <n v="1"/>
    <x v="1"/>
    <n v="60000"/>
    <n v="31000"/>
    <n v="60000"/>
    <n v="31000"/>
    <n v="28797"/>
    <n v="202.99999999999997"/>
    <s v="35 mns"/>
    <x v="1"/>
    <n v="7"/>
    <x v="6"/>
  </r>
  <r>
    <d v="2023-07-12T00:00:00"/>
    <x v="3"/>
    <x v="3"/>
    <n v="1"/>
    <x v="2"/>
    <n v="89000"/>
    <n v="65000"/>
    <n v="89000"/>
    <n v="65000"/>
    <n v="23832"/>
    <n v="167.99999999999997"/>
    <s v="35 mns"/>
    <x v="0"/>
    <n v="7"/>
    <x v="6"/>
  </r>
  <r>
    <d v="2023-07-13T00:00:00"/>
    <x v="0"/>
    <x v="0"/>
    <n v="1"/>
    <x v="0"/>
    <n v="33000"/>
    <n v="18000"/>
    <n v="33000"/>
    <n v="18000"/>
    <n v="14895"/>
    <n v="104.99999999999999"/>
    <s v="11 mns"/>
    <x v="3"/>
    <n v="7"/>
    <x v="6"/>
  </r>
  <r>
    <d v="2023-07-13T00:00:00"/>
    <x v="0"/>
    <x v="0"/>
    <n v="1"/>
    <x v="1"/>
    <n v="60000"/>
    <n v="31000"/>
    <n v="60000"/>
    <n v="31000"/>
    <n v="28797"/>
    <n v="202.99999999999997"/>
    <s v="11 mns"/>
    <x v="0"/>
    <n v="7"/>
    <x v="6"/>
  </r>
  <r>
    <d v="2023-07-13T00:00:00"/>
    <x v="0"/>
    <x v="0"/>
    <n v="1"/>
    <x v="2"/>
    <n v="89000"/>
    <n v="65000"/>
    <n v="89000"/>
    <n v="65000"/>
    <n v="23832"/>
    <n v="167.99999999999997"/>
    <s v="11 mns"/>
    <x v="0"/>
    <n v="7"/>
    <x v="6"/>
  </r>
  <r>
    <d v="2023-07-13T00:00:00"/>
    <x v="2"/>
    <x v="2"/>
    <n v="1"/>
    <x v="0"/>
    <n v="33000"/>
    <n v="18000"/>
    <n v="33000"/>
    <n v="18000"/>
    <n v="14895"/>
    <n v="104.99999999999999"/>
    <s v="30 mns"/>
    <x v="1"/>
    <n v="7"/>
    <x v="6"/>
  </r>
  <r>
    <d v="2023-07-13T00:00:00"/>
    <x v="2"/>
    <x v="2"/>
    <n v="1"/>
    <x v="1"/>
    <n v="60000"/>
    <n v="31000"/>
    <n v="60000"/>
    <n v="31000"/>
    <n v="28797"/>
    <n v="202.99999999999997"/>
    <s v="30 mns"/>
    <x v="1"/>
    <n v="7"/>
    <x v="6"/>
  </r>
  <r>
    <d v="2023-07-13T00:00:00"/>
    <x v="2"/>
    <x v="2"/>
    <n v="1"/>
    <x v="2"/>
    <n v="89000"/>
    <n v="65000"/>
    <n v="89000"/>
    <n v="65000"/>
    <n v="23832"/>
    <n v="167.99999999999997"/>
    <s v="30 mns"/>
    <x v="1"/>
    <n v="7"/>
    <x v="6"/>
  </r>
  <r>
    <d v="2023-07-13T00:00:00"/>
    <x v="3"/>
    <x v="3"/>
    <n v="1"/>
    <x v="0"/>
    <n v="33000"/>
    <n v="18000"/>
    <n v="33000"/>
    <n v="18000"/>
    <n v="14895"/>
    <n v="104.99999999999999"/>
    <s v="35 mns"/>
    <x v="2"/>
    <n v="7"/>
    <x v="6"/>
  </r>
  <r>
    <d v="2023-07-13T00:00:00"/>
    <x v="3"/>
    <x v="3"/>
    <n v="1"/>
    <x v="1"/>
    <n v="60000"/>
    <n v="31000"/>
    <n v="60000"/>
    <n v="31000"/>
    <n v="28797"/>
    <n v="202.99999999999997"/>
    <s v="35 mns"/>
    <x v="3"/>
    <n v="7"/>
    <x v="6"/>
  </r>
  <r>
    <d v="2023-07-13T00:00:00"/>
    <x v="3"/>
    <x v="3"/>
    <n v="1"/>
    <x v="2"/>
    <n v="89000"/>
    <n v="65000"/>
    <n v="89000"/>
    <n v="65000"/>
    <n v="23832"/>
    <n v="167.99999999999997"/>
    <s v="35 mns"/>
    <x v="3"/>
    <n v="7"/>
    <x v="6"/>
  </r>
  <r>
    <d v="2023-07-14T00:00:00"/>
    <x v="0"/>
    <x v="0"/>
    <n v="1"/>
    <x v="0"/>
    <n v="33000"/>
    <n v="18000"/>
    <n v="33000"/>
    <n v="18000"/>
    <n v="14895"/>
    <n v="104.99999999999999"/>
    <s v="11 mns"/>
    <x v="0"/>
    <n v="7"/>
    <x v="6"/>
  </r>
  <r>
    <d v="2023-07-14T00:00:00"/>
    <x v="0"/>
    <x v="0"/>
    <n v="1"/>
    <x v="1"/>
    <n v="60000"/>
    <n v="31000"/>
    <n v="60000"/>
    <n v="31000"/>
    <n v="28797"/>
    <n v="202.99999999999997"/>
    <s v="11 mns"/>
    <x v="3"/>
    <n v="7"/>
    <x v="6"/>
  </r>
  <r>
    <d v="2023-07-14T00:00:00"/>
    <x v="0"/>
    <x v="0"/>
    <n v="1"/>
    <x v="2"/>
    <n v="89000"/>
    <n v="65000"/>
    <n v="89000"/>
    <n v="65000"/>
    <n v="23832"/>
    <n v="167.99999999999997"/>
    <s v="11 mns"/>
    <x v="0"/>
    <n v="7"/>
    <x v="6"/>
  </r>
  <r>
    <d v="2023-07-14T00:00:00"/>
    <x v="2"/>
    <x v="2"/>
    <n v="1"/>
    <x v="0"/>
    <n v="33000"/>
    <n v="18000"/>
    <n v="33000"/>
    <n v="18000"/>
    <n v="14895"/>
    <n v="104.99999999999999"/>
    <s v="30 mns"/>
    <x v="2"/>
    <n v="7"/>
    <x v="6"/>
  </r>
  <r>
    <d v="2023-07-14T00:00:00"/>
    <x v="2"/>
    <x v="2"/>
    <n v="1"/>
    <x v="1"/>
    <n v="60000"/>
    <n v="31000"/>
    <n v="60000"/>
    <n v="31000"/>
    <n v="28797"/>
    <n v="202.99999999999997"/>
    <s v="30 mns"/>
    <x v="3"/>
    <n v="7"/>
    <x v="6"/>
  </r>
  <r>
    <d v="2023-07-14T00:00:00"/>
    <x v="2"/>
    <x v="2"/>
    <n v="1"/>
    <x v="2"/>
    <n v="89000"/>
    <n v="65000"/>
    <n v="89000"/>
    <n v="65000"/>
    <n v="23832"/>
    <n v="167.99999999999997"/>
    <s v="30 mns"/>
    <x v="1"/>
    <n v="7"/>
    <x v="6"/>
  </r>
  <r>
    <d v="2023-07-14T00:00:00"/>
    <x v="3"/>
    <x v="3"/>
    <n v="1"/>
    <x v="0"/>
    <n v="33000"/>
    <n v="18000"/>
    <n v="33000"/>
    <n v="18000"/>
    <n v="14895"/>
    <n v="104.99999999999999"/>
    <s v="35 mns"/>
    <x v="3"/>
    <n v="7"/>
    <x v="6"/>
  </r>
  <r>
    <d v="2023-07-14T00:00:00"/>
    <x v="3"/>
    <x v="3"/>
    <n v="1"/>
    <x v="1"/>
    <n v="60000"/>
    <n v="31000"/>
    <n v="60000"/>
    <n v="31000"/>
    <n v="28797"/>
    <n v="202.99999999999997"/>
    <s v="35 mns"/>
    <x v="3"/>
    <n v="7"/>
    <x v="6"/>
  </r>
  <r>
    <d v="2023-07-14T00:00:00"/>
    <x v="3"/>
    <x v="3"/>
    <n v="1"/>
    <x v="2"/>
    <n v="89000"/>
    <n v="65000"/>
    <n v="89000"/>
    <n v="65000"/>
    <n v="23832"/>
    <n v="167.99999999999997"/>
    <s v="35 mns"/>
    <x v="0"/>
    <n v="7"/>
    <x v="6"/>
  </r>
  <r>
    <d v="2023-07-15T00:00:00"/>
    <x v="0"/>
    <x v="0"/>
    <n v="1"/>
    <x v="0"/>
    <n v="33000"/>
    <n v="18000"/>
    <n v="33000"/>
    <n v="18000"/>
    <n v="14895"/>
    <n v="104.99999999999999"/>
    <s v="11 mns"/>
    <x v="0"/>
    <n v="7"/>
    <x v="6"/>
  </r>
  <r>
    <d v="2023-07-15T00:00:00"/>
    <x v="0"/>
    <x v="0"/>
    <n v="1"/>
    <x v="1"/>
    <n v="60000"/>
    <n v="31000"/>
    <n v="60000"/>
    <n v="31000"/>
    <n v="28797"/>
    <n v="202.99999999999997"/>
    <s v="11 mns"/>
    <x v="1"/>
    <n v="7"/>
    <x v="6"/>
  </r>
  <r>
    <d v="2023-07-15T00:00:00"/>
    <x v="0"/>
    <x v="0"/>
    <n v="1"/>
    <x v="2"/>
    <n v="89000"/>
    <n v="65000"/>
    <n v="89000"/>
    <n v="65000"/>
    <n v="23832"/>
    <n v="167.99999999999997"/>
    <s v="11 mns"/>
    <x v="1"/>
    <n v="7"/>
    <x v="6"/>
  </r>
  <r>
    <d v="2023-07-15T00:00:00"/>
    <x v="2"/>
    <x v="2"/>
    <n v="1"/>
    <x v="0"/>
    <n v="33000"/>
    <n v="18000"/>
    <n v="33000"/>
    <n v="18000"/>
    <n v="14895"/>
    <n v="104.99999999999999"/>
    <s v="30 mns"/>
    <x v="1"/>
    <n v="7"/>
    <x v="6"/>
  </r>
  <r>
    <d v="2023-07-15T00:00:00"/>
    <x v="2"/>
    <x v="2"/>
    <n v="1"/>
    <x v="1"/>
    <n v="60000"/>
    <n v="31000"/>
    <n v="60000"/>
    <n v="31000"/>
    <n v="28797"/>
    <n v="202.99999999999997"/>
    <s v="30 mns"/>
    <x v="3"/>
    <n v="7"/>
    <x v="6"/>
  </r>
  <r>
    <d v="2023-07-15T00:00:00"/>
    <x v="2"/>
    <x v="2"/>
    <n v="1"/>
    <x v="2"/>
    <n v="89000"/>
    <n v="65000"/>
    <n v="89000"/>
    <n v="65000"/>
    <n v="23832"/>
    <n v="167.99999999999997"/>
    <s v="30 mns"/>
    <x v="3"/>
    <n v="7"/>
    <x v="6"/>
  </r>
  <r>
    <d v="2023-07-15T00:00:00"/>
    <x v="3"/>
    <x v="3"/>
    <n v="1"/>
    <x v="0"/>
    <n v="33000"/>
    <n v="18000"/>
    <n v="33000"/>
    <n v="18000"/>
    <n v="14895"/>
    <n v="104.99999999999999"/>
    <s v="35 mns"/>
    <x v="0"/>
    <n v="7"/>
    <x v="6"/>
  </r>
  <r>
    <d v="2023-07-15T00:00:00"/>
    <x v="3"/>
    <x v="3"/>
    <n v="1"/>
    <x v="1"/>
    <n v="60000"/>
    <n v="31000"/>
    <n v="60000"/>
    <n v="31000"/>
    <n v="28797"/>
    <n v="202.99999999999997"/>
    <s v="35 mns"/>
    <x v="3"/>
    <n v="7"/>
    <x v="6"/>
  </r>
  <r>
    <d v="2023-07-15T00:00:00"/>
    <x v="3"/>
    <x v="3"/>
    <n v="1"/>
    <x v="2"/>
    <n v="89000"/>
    <n v="65000"/>
    <n v="89000"/>
    <n v="65000"/>
    <n v="23832"/>
    <n v="167.99999999999997"/>
    <s v="35 mns"/>
    <x v="0"/>
    <n v="7"/>
    <x v="6"/>
  </r>
  <r>
    <d v="2023-07-16T00:00:00"/>
    <x v="0"/>
    <x v="0"/>
    <n v="1"/>
    <x v="0"/>
    <n v="33000"/>
    <n v="18000"/>
    <n v="33000"/>
    <n v="18000"/>
    <n v="14895"/>
    <n v="104.99999999999999"/>
    <s v="11 mns"/>
    <x v="1"/>
    <n v="7"/>
    <x v="6"/>
  </r>
  <r>
    <d v="2023-07-16T00:00:00"/>
    <x v="0"/>
    <x v="0"/>
    <n v="1"/>
    <x v="1"/>
    <n v="60000"/>
    <n v="31000"/>
    <n v="60000"/>
    <n v="31000"/>
    <n v="28797"/>
    <n v="202.99999999999997"/>
    <s v="11 mns"/>
    <x v="3"/>
    <n v="7"/>
    <x v="6"/>
  </r>
  <r>
    <d v="2023-07-16T00:00:00"/>
    <x v="0"/>
    <x v="0"/>
    <n v="1"/>
    <x v="2"/>
    <n v="89000"/>
    <n v="65000"/>
    <n v="89000"/>
    <n v="65000"/>
    <n v="23832"/>
    <n v="167.99999999999997"/>
    <s v="11 mns"/>
    <x v="3"/>
    <n v="7"/>
    <x v="6"/>
  </r>
  <r>
    <d v="2023-07-16T00:00:00"/>
    <x v="2"/>
    <x v="2"/>
    <n v="1"/>
    <x v="0"/>
    <n v="33000"/>
    <n v="18000"/>
    <n v="33000"/>
    <n v="18000"/>
    <n v="14895"/>
    <n v="104.99999999999999"/>
    <s v="30 mns"/>
    <x v="1"/>
    <n v="7"/>
    <x v="6"/>
  </r>
  <r>
    <d v="2023-07-16T00:00:00"/>
    <x v="2"/>
    <x v="2"/>
    <n v="1"/>
    <x v="1"/>
    <n v="60000"/>
    <n v="31000"/>
    <n v="60000"/>
    <n v="31000"/>
    <n v="28797"/>
    <n v="202.99999999999997"/>
    <s v="30 mns"/>
    <x v="0"/>
    <n v="7"/>
    <x v="6"/>
  </r>
  <r>
    <d v="2023-07-16T00:00:00"/>
    <x v="2"/>
    <x v="2"/>
    <n v="1"/>
    <x v="2"/>
    <n v="89000"/>
    <n v="65000"/>
    <n v="89000"/>
    <n v="65000"/>
    <n v="23832"/>
    <n v="167.99999999999997"/>
    <s v="30 mns"/>
    <x v="0"/>
    <n v="7"/>
    <x v="6"/>
  </r>
  <r>
    <d v="2023-07-16T00:00:00"/>
    <x v="3"/>
    <x v="3"/>
    <n v="1"/>
    <x v="0"/>
    <n v="33000"/>
    <n v="18000"/>
    <n v="33000"/>
    <n v="18000"/>
    <n v="14895"/>
    <n v="104.99999999999999"/>
    <s v="35 mns"/>
    <x v="3"/>
    <n v="7"/>
    <x v="6"/>
  </r>
  <r>
    <d v="2023-07-16T00:00:00"/>
    <x v="3"/>
    <x v="3"/>
    <n v="1"/>
    <x v="1"/>
    <n v="60000"/>
    <n v="31000"/>
    <n v="60000"/>
    <n v="31000"/>
    <n v="28797"/>
    <n v="202.99999999999997"/>
    <s v="35 mns"/>
    <x v="2"/>
    <n v="7"/>
    <x v="6"/>
  </r>
  <r>
    <d v="2023-07-16T00:00:00"/>
    <x v="3"/>
    <x v="3"/>
    <n v="1"/>
    <x v="2"/>
    <n v="89000"/>
    <n v="65000"/>
    <n v="89000"/>
    <n v="65000"/>
    <n v="23832"/>
    <n v="167.99999999999997"/>
    <s v="35 mns"/>
    <x v="3"/>
    <n v="7"/>
    <x v="6"/>
  </r>
  <r>
    <d v="2023-07-17T00:00:00"/>
    <x v="0"/>
    <x v="0"/>
    <n v="1"/>
    <x v="0"/>
    <n v="33000"/>
    <n v="18000"/>
    <n v="33000"/>
    <n v="18000"/>
    <n v="14895"/>
    <n v="104.99999999999999"/>
    <s v="11 mns"/>
    <x v="1"/>
    <n v="7"/>
    <x v="6"/>
  </r>
  <r>
    <d v="2023-07-17T00:00:00"/>
    <x v="0"/>
    <x v="0"/>
    <n v="1"/>
    <x v="1"/>
    <n v="60000"/>
    <n v="31000"/>
    <n v="60000"/>
    <n v="31000"/>
    <n v="28797"/>
    <n v="202.99999999999997"/>
    <s v="11 mns"/>
    <x v="1"/>
    <n v="7"/>
    <x v="6"/>
  </r>
  <r>
    <d v="2023-07-17T00:00:00"/>
    <x v="0"/>
    <x v="0"/>
    <n v="1"/>
    <x v="2"/>
    <n v="89000"/>
    <n v="65000"/>
    <n v="89000"/>
    <n v="65000"/>
    <n v="23832"/>
    <n v="167.99999999999997"/>
    <s v="11 mns"/>
    <x v="3"/>
    <n v="7"/>
    <x v="6"/>
  </r>
  <r>
    <d v="2023-07-17T00:00:00"/>
    <x v="2"/>
    <x v="2"/>
    <n v="1"/>
    <x v="0"/>
    <n v="33000"/>
    <n v="18000"/>
    <n v="33000"/>
    <n v="18000"/>
    <n v="14895"/>
    <n v="104.99999999999999"/>
    <s v="30 mns"/>
    <x v="0"/>
    <n v="7"/>
    <x v="6"/>
  </r>
  <r>
    <d v="2023-07-17T00:00:00"/>
    <x v="2"/>
    <x v="2"/>
    <n v="1"/>
    <x v="1"/>
    <n v="60000"/>
    <n v="31000"/>
    <n v="60000"/>
    <n v="31000"/>
    <n v="28797"/>
    <n v="202.99999999999997"/>
    <s v="30 mns"/>
    <x v="1"/>
    <n v="7"/>
    <x v="6"/>
  </r>
  <r>
    <d v="2023-07-17T00:00:00"/>
    <x v="2"/>
    <x v="2"/>
    <n v="1"/>
    <x v="2"/>
    <n v="89000"/>
    <n v="65000"/>
    <n v="89000"/>
    <n v="65000"/>
    <n v="23832"/>
    <n v="167.99999999999997"/>
    <s v="30 mns"/>
    <x v="2"/>
    <n v="7"/>
    <x v="6"/>
  </r>
  <r>
    <d v="2023-07-17T00:00:00"/>
    <x v="3"/>
    <x v="3"/>
    <n v="1"/>
    <x v="0"/>
    <n v="33000"/>
    <n v="18000"/>
    <n v="33000"/>
    <n v="18000"/>
    <n v="14895"/>
    <n v="104.99999999999999"/>
    <s v="35 mns"/>
    <x v="3"/>
    <n v="7"/>
    <x v="6"/>
  </r>
  <r>
    <d v="2023-07-17T00:00:00"/>
    <x v="3"/>
    <x v="3"/>
    <n v="1"/>
    <x v="1"/>
    <n v="60000"/>
    <n v="31000"/>
    <n v="60000"/>
    <n v="31000"/>
    <n v="28797"/>
    <n v="202.99999999999997"/>
    <s v="35 mns"/>
    <x v="1"/>
    <n v="7"/>
    <x v="6"/>
  </r>
  <r>
    <d v="2023-07-17T00:00:00"/>
    <x v="3"/>
    <x v="3"/>
    <n v="1"/>
    <x v="2"/>
    <n v="89000"/>
    <n v="65000"/>
    <n v="89000"/>
    <n v="65000"/>
    <n v="23832"/>
    <n v="167.99999999999997"/>
    <s v="35 mns"/>
    <x v="3"/>
    <n v="7"/>
    <x v="6"/>
  </r>
  <r>
    <d v="2023-07-18T00:00:00"/>
    <x v="0"/>
    <x v="0"/>
    <n v="1"/>
    <x v="0"/>
    <n v="33000"/>
    <n v="18000"/>
    <n v="33000"/>
    <n v="18000"/>
    <n v="14895"/>
    <n v="104.99999999999999"/>
    <s v="11 mns"/>
    <x v="1"/>
    <n v="7"/>
    <x v="6"/>
  </r>
  <r>
    <d v="2023-07-18T00:00:00"/>
    <x v="0"/>
    <x v="0"/>
    <n v="1"/>
    <x v="1"/>
    <n v="60000"/>
    <n v="31000"/>
    <n v="60000"/>
    <n v="31000"/>
    <n v="28797"/>
    <n v="202.99999999999997"/>
    <s v="11 mns"/>
    <x v="3"/>
    <n v="7"/>
    <x v="6"/>
  </r>
  <r>
    <d v="2023-07-18T00:00:00"/>
    <x v="0"/>
    <x v="0"/>
    <n v="1"/>
    <x v="2"/>
    <n v="89000"/>
    <n v="65000"/>
    <n v="89000"/>
    <n v="65000"/>
    <n v="23832"/>
    <n v="167.99999999999997"/>
    <s v="11 mns"/>
    <x v="3"/>
    <n v="7"/>
    <x v="6"/>
  </r>
  <r>
    <d v="2023-07-18T00:00:00"/>
    <x v="2"/>
    <x v="2"/>
    <n v="1"/>
    <x v="0"/>
    <n v="33000"/>
    <n v="18000"/>
    <n v="33000"/>
    <n v="18000"/>
    <n v="14895"/>
    <n v="104.99999999999999"/>
    <s v="30 mns"/>
    <x v="2"/>
    <n v="7"/>
    <x v="6"/>
  </r>
  <r>
    <d v="2023-07-18T00:00:00"/>
    <x v="2"/>
    <x v="2"/>
    <n v="1"/>
    <x v="1"/>
    <n v="60000"/>
    <n v="31000"/>
    <n v="60000"/>
    <n v="31000"/>
    <n v="28797"/>
    <n v="202.99999999999997"/>
    <s v="30 mns"/>
    <x v="3"/>
    <n v="7"/>
    <x v="6"/>
  </r>
  <r>
    <d v="2023-07-18T00:00:00"/>
    <x v="2"/>
    <x v="2"/>
    <n v="1"/>
    <x v="2"/>
    <n v="89000"/>
    <n v="65000"/>
    <n v="89000"/>
    <n v="65000"/>
    <n v="23832"/>
    <n v="167.99999999999997"/>
    <s v="30 mns"/>
    <x v="0"/>
    <n v="7"/>
    <x v="6"/>
  </r>
  <r>
    <d v="2023-07-18T00:00:00"/>
    <x v="3"/>
    <x v="3"/>
    <n v="1"/>
    <x v="0"/>
    <n v="33000"/>
    <n v="18000"/>
    <n v="33000"/>
    <n v="18000"/>
    <n v="14895"/>
    <n v="104.99999999999999"/>
    <s v="35 mns"/>
    <x v="0"/>
    <n v="7"/>
    <x v="6"/>
  </r>
  <r>
    <d v="2023-07-18T00:00:00"/>
    <x v="3"/>
    <x v="3"/>
    <n v="1"/>
    <x v="1"/>
    <n v="60000"/>
    <n v="31000"/>
    <n v="60000"/>
    <n v="31000"/>
    <n v="28797"/>
    <n v="202.99999999999997"/>
    <s v="35 mns"/>
    <x v="1"/>
    <n v="7"/>
    <x v="6"/>
  </r>
  <r>
    <d v="2023-07-18T00:00:00"/>
    <x v="3"/>
    <x v="3"/>
    <n v="1"/>
    <x v="2"/>
    <n v="89000"/>
    <n v="65000"/>
    <n v="89000"/>
    <n v="65000"/>
    <n v="23832"/>
    <n v="167.99999999999997"/>
    <s v="35 mns"/>
    <x v="3"/>
    <n v="7"/>
    <x v="6"/>
  </r>
  <r>
    <d v="2023-07-19T00:00:00"/>
    <x v="0"/>
    <x v="0"/>
    <n v="1"/>
    <x v="0"/>
    <n v="33000"/>
    <n v="18000"/>
    <n v="33000"/>
    <n v="18000"/>
    <n v="14895"/>
    <n v="104.99999999999999"/>
    <s v="11 mns"/>
    <x v="1"/>
    <n v="7"/>
    <x v="6"/>
  </r>
  <r>
    <d v="2023-07-19T00:00:00"/>
    <x v="0"/>
    <x v="0"/>
    <n v="1"/>
    <x v="1"/>
    <n v="60000"/>
    <n v="31000"/>
    <n v="60000"/>
    <n v="31000"/>
    <n v="28797"/>
    <n v="202.99999999999997"/>
    <s v="11 mns"/>
    <x v="3"/>
    <n v="7"/>
    <x v="6"/>
  </r>
  <r>
    <d v="2023-07-19T00:00:00"/>
    <x v="0"/>
    <x v="0"/>
    <n v="1"/>
    <x v="2"/>
    <n v="89000"/>
    <n v="65000"/>
    <n v="89000"/>
    <n v="65000"/>
    <n v="23832"/>
    <n v="167.99999999999997"/>
    <s v="11 mns"/>
    <x v="1"/>
    <n v="7"/>
    <x v="6"/>
  </r>
  <r>
    <d v="2023-07-19T00:00:00"/>
    <x v="2"/>
    <x v="2"/>
    <n v="1"/>
    <x v="0"/>
    <n v="33000"/>
    <n v="18000"/>
    <n v="33000"/>
    <n v="18000"/>
    <n v="14895"/>
    <n v="104.99999999999999"/>
    <s v="30 mns"/>
    <x v="1"/>
    <n v="7"/>
    <x v="6"/>
  </r>
  <r>
    <d v="2023-07-19T00:00:00"/>
    <x v="2"/>
    <x v="2"/>
    <n v="1"/>
    <x v="1"/>
    <n v="60000"/>
    <n v="31000"/>
    <n v="60000"/>
    <n v="31000"/>
    <n v="28797"/>
    <n v="202.99999999999997"/>
    <s v="30 mns"/>
    <x v="0"/>
    <n v="7"/>
    <x v="6"/>
  </r>
  <r>
    <d v="2023-07-19T00:00:00"/>
    <x v="2"/>
    <x v="2"/>
    <n v="1"/>
    <x v="2"/>
    <n v="89000"/>
    <n v="65000"/>
    <n v="89000"/>
    <n v="65000"/>
    <n v="23832"/>
    <n v="167.99999999999997"/>
    <s v="30 mns"/>
    <x v="2"/>
    <n v="7"/>
    <x v="6"/>
  </r>
  <r>
    <d v="2023-07-19T00:00:00"/>
    <x v="3"/>
    <x v="3"/>
    <n v="1"/>
    <x v="0"/>
    <n v="33000"/>
    <n v="18000"/>
    <n v="33000"/>
    <n v="18000"/>
    <n v="14895"/>
    <n v="104.99999999999999"/>
    <s v="35 mns"/>
    <x v="3"/>
    <n v="7"/>
    <x v="6"/>
  </r>
  <r>
    <d v="2023-07-19T00:00:00"/>
    <x v="3"/>
    <x v="3"/>
    <n v="1"/>
    <x v="1"/>
    <n v="60000"/>
    <n v="31000"/>
    <n v="60000"/>
    <n v="31000"/>
    <n v="28797"/>
    <n v="202.99999999999997"/>
    <s v="35 mns"/>
    <x v="0"/>
    <n v="7"/>
    <x v="6"/>
  </r>
  <r>
    <d v="2023-07-19T00:00:00"/>
    <x v="3"/>
    <x v="3"/>
    <n v="1"/>
    <x v="2"/>
    <n v="89000"/>
    <n v="65000"/>
    <n v="89000"/>
    <n v="65000"/>
    <n v="23832"/>
    <n v="167.99999999999997"/>
    <s v="35 mns"/>
    <x v="2"/>
    <n v="7"/>
    <x v="6"/>
  </r>
  <r>
    <d v="2023-07-20T00:00:00"/>
    <x v="0"/>
    <x v="0"/>
    <n v="1"/>
    <x v="0"/>
    <n v="33000"/>
    <n v="18000"/>
    <n v="33000"/>
    <n v="18000"/>
    <n v="14895"/>
    <n v="104.99999999999999"/>
    <s v="11 mns"/>
    <x v="0"/>
    <n v="7"/>
    <x v="6"/>
  </r>
  <r>
    <d v="2023-07-20T00:00:00"/>
    <x v="0"/>
    <x v="0"/>
    <n v="1"/>
    <x v="1"/>
    <n v="60000"/>
    <n v="31000"/>
    <n v="60000"/>
    <n v="31000"/>
    <n v="28797"/>
    <n v="202.99999999999997"/>
    <s v="11 mns"/>
    <x v="1"/>
    <n v="7"/>
    <x v="6"/>
  </r>
  <r>
    <d v="2023-07-20T00:00:00"/>
    <x v="0"/>
    <x v="0"/>
    <n v="1"/>
    <x v="2"/>
    <n v="89000"/>
    <n v="65000"/>
    <n v="89000"/>
    <n v="65000"/>
    <n v="23832"/>
    <n v="167.99999999999997"/>
    <s v="11 mns"/>
    <x v="0"/>
    <n v="7"/>
    <x v="6"/>
  </r>
  <r>
    <d v="2023-07-20T00:00:00"/>
    <x v="2"/>
    <x v="2"/>
    <n v="1"/>
    <x v="0"/>
    <n v="33000"/>
    <n v="18000"/>
    <n v="33000"/>
    <n v="18000"/>
    <n v="14895"/>
    <n v="104.99999999999999"/>
    <s v="30 mns"/>
    <x v="0"/>
    <n v="7"/>
    <x v="6"/>
  </r>
  <r>
    <d v="2023-07-20T00:00:00"/>
    <x v="2"/>
    <x v="2"/>
    <n v="1"/>
    <x v="1"/>
    <n v="60000"/>
    <n v="31000"/>
    <n v="60000"/>
    <n v="31000"/>
    <n v="28797"/>
    <n v="202.99999999999997"/>
    <s v="30 mns"/>
    <x v="1"/>
    <n v="7"/>
    <x v="6"/>
  </r>
  <r>
    <d v="2023-07-20T00:00:00"/>
    <x v="2"/>
    <x v="2"/>
    <n v="1"/>
    <x v="2"/>
    <n v="89000"/>
    <n v="65000"/>
    <n v="89000"/>
    <n v="65000"/>
    <n v="23832"/>
    <n v="167.99999999999997"/>
    <s v="30 mns"/>
    <x v="1"/>
    <n v="7"/>
    <x v="6"/>
  </r>
  <r>
    <d v="2023-07-20T00:00:00"/>
    <x v="3"/>
    <x v="3"/>
    <n v="1"/>
    <x v="0"/>
    <n v="33000"/>
    <n v="18000"/>
    <n v="33000"/>
    <n v="18000"/>
    <n v="14895"/>
    <n v="104.99999999999999"/>
    <s v="35 mns"/>
    <x v="1"/>
    <n v="7"/>
    <x v="6"/>
  </r>
  <r>
    <d v="2023-07-20T00:00:00"/>
    <x v="3"/>
    <x v="3"/>
    <n v="1"/>
    <x v="1"/>
    <n v="60000"/>
    <n v="31000"/>
    <n v="60000"/>
    <n v="31000"/>
    <n v="28797"/>
    <n v="202.99999999999997"/>
    <s v="35 mns"/>
    <x v="3"/>
    <n v="7"/>
    <x v="6"/>
  </r>
  <r>
    <d v="2023-07-20T00:00:00"/>
    <x v="3"/>
    <x v="3"/>
    <n v="1"/>
    <x v="2"/>
    <n v="89000"/>
    <n v="65000"/>
    <n v="89000"/>
    <n v="65000"/>
    <n v="23832"/>
    <n v="167.99999999999997"/>
    <s v="35 mns"/>
    <x v="3"/>
    <n v="7"/>
    <x v="6"/>
  </r>
  <r>
    <d v="2023-07-21T00:00:00"/>
    <x v="0"/>
    <x v="0"/>
    <n v="1"/>
    <x v="0"/>
    <n v="33000"/>
    <n v="18000"/>
    <n v="33000"/>
    <n v="18000"/>
    <n v="14895"/>
    <n v="104.99999999999999"/>
    <s v="11 mns"/>
    <x v="1"/>
    <n v="7"/>
    <x v="6"/>
  </r>
  <r>
    <d v="2023-07-21T00:00:00"/>
    <x v="0"/>
    <x v="0"/>
    <n v="1"/>
    <x v="1"/>
    <n v="60000"/>
    <n v="31000"/>
    <n v="60000"/>
    <n v="31000"/>
    <n v="28797"/>
    <n v="202.99999999999997"/>
    <s v="11 mns"/>
    <x v="0"/>
    <n v="7"/>
    <x v="6"/>
  </r>
  <r>
    <d v="2023-07-21T00:00:00"/>
    <x v="0"/>
    <x v="0"/>
    <n v="1"/>
    <x v="2"/>
    <n v="89000"/>
    <n v="65000"/>
    <n v="89000"/>
    <n v="65000"/>
    <n v="23832"/>
    <n v="167.99999999999997"/>
    <s v="11 mns"/>
    <x v="1"/>
    <n v="7"/>
    <x v="6"/>
  </r>
  <r>
    <d v="2023-07-21T00:00:00"/>
    <x v="2"/>
    <x v="2"/>
    <n v="1"/>
    <x v="0"/>
    <n v="33000"/>
    <n v="18000"/>
    <n v="33000"/>
    <n v="18000"/>
    <n v="14895"/>
    <n v="104.99999999999999"/>
    <s v="30 mns"/>
    <x v="3"/>
    <n v="7"/>
    <x v="6"/>
  </r>
  <r>
    <d v="2023-07-21T00:00:00"/>
    <x v="2"/>
    <x v="2"/>
    <n v="1"/>
    <x v="1"/>
    <n v="60000"/>
    <n v="31000"/>
    <n v="60000"/>
    <n v="31000"/>
    <n v="28797"/>
    <n v="202.99999999999997"/>
    <s v="30 mns"/>
    <x v="1"/>
    <n v="7"/>
    <x v="6"/>
  </r>
  <r>
    <d v="2023-07-21T00:00:00"/>
    <x v="2"/>
    <x v="2"/>
    <n v="1"/>
    <x v="2"/>
    <n v="89000"/>
    <n v="65000"/>
    <n v="89000"/>
    <n v="65000"/>
    <n v="23832"/>
    <n v="167.99999999999997"/>
    <s v="30 mns"/>
    <x v="1"/>
    <n v="7"/>
    <x v="6"/>
  </r>
  <r>
    <d v="2023-07-21T00:00:00"/>
    <x v="3"/>
    <x v="3"/>
    <n v="1"/>
    <x v="0"/>
    <n v="33000"/>
    <n v="18000"/>
    <n v="33000"/>
    <n v="18000"/>
    <n v="14895"/>
    <n v="104.99999999999999"/>
    <s v="35 mns"/>
    <x v="3"/>
    <n v="7"/>
    <x v="6"/>
  </r>
  <r>
    <d v="2023-07-21T00:00:00"/>
    <x v="3"/>
    <x v="3"/>
    <n v="1"/>
    <x v="1"/>
    <n v="60000"/>
    <n v="31000"/>
    <n v="60000"/>
    <n v="31000"/>
    <n v="28797"/>
    <n v="202.99999999999997"/>
    <s v="35 mns"/>
    <x v="1"/>
    <n v="7"/>
    <x v="6"/>
  </r>
  <r>
    <d v="2023-07-21T00:00:00"/>
    <x v="3"/>
    <x v="3"/>
    <n v="1"/>
    <x v="2"/>
    <n v="89000"/>
    <n v="65000"/>
    <n v="89000"/>
    <n v="65000"/>
    <n v="23832"/>
    <n v="167.99999999999997"/>
    <s v="35 mns"/>
    <x v="0"/>
    <n v="7"/>
    <x v="6"/>
  </r>
  <r>
    <d v="2023-07-22T00:00:00"/>
    <x v="0"/>
    <x v="0"/>
    <n v="2"/>
    <x v="0"/>
    <n v="33000"/>
    <n v="18000"/>
    <n v="66000"/>
    <n v="36000"/>
    <n v="29790"/>
    <n v="209.99999999999997"/>
    <s v="11 mns"/>
    <x v="1"/>
    <n v="7"/>
    <x v="6"/>
  </r>
  <r>
    <d v="2023-07-22T00:00:00"/>
    <x v="0"/>
    <x v="0"/>
    <n v="2"/>
    <x v="1"/>
    <n v="60000"/>
    <n v="31000"/>
    <n v="120000"/>
    <n v="62000"/>
    <n v="57594"/>
    <n v="405.99999999999994"/>
    <s v="11 mns"/>
    <x v="0"/>
    <n v="7"/>
    <x v="6"/>
  </r>
  <r>
    <d v="2023-07-22T00:00:00"/>
    <x v="0"/>
    <x v="0"/>
    <n v="2"/>
    <x v="2"/>
    <n v="89000"/>
    <n v="65000"/>
    <n v="178000"/>
    <n v="130000"/>
    <n v="47664"/>
    <n v="335.99999999999994"/>
    <s v="11 mns"/>
    <x v="0"/>
    <n v="7"/>
    <x v="6"/>
  </r>
  <r>
    <d v="2023-07-22T00:00:00"/>
    <x v="2"/>
    <x v="2"/>
    <n v="2"/>
    <x v="0"/>
    <n v="33000"/>
    <n v="18000"/>
    <n v="66000"/>
    <n v="36000"/>
    <n v="29790"/>
    <n v="209.99999999999997"/>
    <s v="30 mns"/>
    <x v="3"/>
    <n v="7"/>
    <x v="6"/>
  </r>
  <r>
    <d v="2023-07-22T00:00:00"/>
    <x v="2"/>
    <x v="2"/>
    <n v="2"/>
    <x v="1"/>
    <n v="60000"/>
    <n v="31000"/>
    <n v="120000"/>
    <n v="62000"/>
    <n v="57594"/>
    <n v="405.99999999999994"/>
    <s v="30 mns"/>
    <x v="2"/>
    <n v="7"/>
    <x v="6"/>
  </r>
  <r>
    <d v="2023-07-22T00:00:00"/>
    <x v="2"/>
    <x v="2"/>
    <n v="2"/>
    <x v="2"/>
    <n v="89000"/>
    <n v="65000"/>
    <n v="178000"/>
    <n v="130000"/>
    <n v="47664"/>
    <n v="335.99999999999994"/>
    <s v="30 mns"/>
    <x v="2"/>
    <n v="7"/>
    <x v="6"/>
  </r>
  <r>
    <d v="2023-07-22T00:00:00"/>
    <x v="3"/>
    <x v="3"/>
    <n v="2"/>
    <x v="0"/>
    <n v="33000"/>
    <n v="18000"/>
    <n v="66000"/>
    <n v="36000"/>
    <n v="29790"/>
    <n v="209.99999999999997"/>
    <s v="35 mns"/>
    <x v="2"/>
    <n v="7"/>
    <x v="6"/>
  </r>
  <r>
    <d v="2023-07-22T00:00:00"/>
    <x v="3"/>
    <x v="3"/>
    <n v="2"/>
    <x v="1"/>
    <n v="60000"/>
    <n v="31000"/>
    <n v="120000"/>
    <n v="62000"/>
    <n v="57594"/>
    <n v="405.99999999999994"/>
    <s v="35 mns"/>
    <x v="2"/>
    <n v="7"/>
    <x v="6"/>
  </r>
  <r>
    <d v="2023-07-22T00:00:00"/>
    <x v="3"/>
    <x v="3"/>
    <n v="2"/>
    <x v="2"/>
    <n v="89000"/>
    <n v="65000"/>
    <n v="178000"/>
    <n v="130000"/>
    <n v="47664"/>
    <n v="335.99999999999994"/>
    <s v="35 mns"/>
    <x v="0"/>
    <n v="7"/>
    <x v="6"/>
  </r>
  <r>
    <d v="2023-07-23T00:00:00"/>
    <x v="0"/>
    <x v="0"/>
    <n v="1"/>
    <x v="0"/>
    <n v="33000"/>
    <n v="18000"/>
    <n v="33000"/>
    <n v="18000"/>
    <n v="14895"/>
    <n v="104.99999999999999"/>
    <s v="11 mns"/>
    <x v="3"/>
    <n v="7"/>
    <x v="6"/>
  </r>
  <r>
    <d v="2023-07-23T00:00:00"/>
    <x v="0"/>
    <x v="0"/>
    <n v="1"/>
    <x v="1"/>
    <n v="60000"/>
    <n v="31000"/>
    <n v="60000"/>
    <n v="31000"/>
    <n v="28797"/>
    <n v="202.99999999999997"/>
    <s v="11 mns"/>
    <x v="2"/>
    <n v="7"/>
    <x v="6"/>
  </r>
  <r>
    <d v="2023-07-23T00:00:00"/>
    <x v="0"/>
    <x v="0"/>
    <n v="1"/>
    <x v="2"/>
    <n v="89000"/>
    <n v="65000"/>
    <n v="89000"/>
    <n v="65000"/>
    <n v="23832"/>
    <n v="167.99999999999997"/>
    <s v="11 mns"/>
    <x v="1"/>
    <n v="7"/>
    <x v="6"/>
  </r>
  <r>
    <d v="2023-07-23T00:00:00"/>
    <x v="2"/>
    <x v="2"/>
    <n v="1"/>
    <x v="0"/>
    <n v="33000"/>
    <n v="18000"/>
    <n v="33000"/>
    <n v="18000"/>
    <n v="14895"/>
    <n v="104.99999999999999"/>
    <s v="30 mns"/>
    <x v="0"/>
    <n v="7"/>
    <x v="6"/>
  </r>
  <r>
    <d v="2023-07-23T00:00:00"/>
    <x v="2"/>
    <x v="2"/>
    <n v="1"/>
    <x v="1"/>
    <n v="60000"/>
    <n v="31000"/>
    <n v="60000"/>
    <n v="31000"/>
    <n v="28797"/>
    <n v="202.99999999999997"/>
    <s v="30 mns"/>
    <x v="3"/>
    <n v="7"/>
    <x v="6"/>
  </r>
  <r>
    <d v="2023-07-23T00:00:00"/>
    <x v="2"/>
    <x v="2"/>
    <n v="1"/>
    <x v="2"/>
    <n v="89000"/>
    <n v="65000"/>
    <n v="89000"/>
    <n v="65000"/>
    <n v="23832"/>
    <n v="167.99999999999997"/>
    <s v="30 mns"/>
    <x v="1"/>
    <n v="7"/>
    <x v="6"/>
  </r>
  <r>
    <d v="2023-07-23T00:00:00"/>
    <x v="3"/>
    <x v="3"/>
    <n v="1"/>
    <x v="0"/>
    <n v="33000"/>
    <n v="18000"/>
    <n v="33000"/>
    <n v="18000"/>
    <n v="14895"/>
    <n v="104.99999999999999"/>
    <s v="35 mns"/>
    <x v="2"/>
    <n v="7"/>
    <x v="6"/>
  </r>
  <r>
    <d v="2023-07-23T00:00:00"/>
    <x v="3"/>
    <x v="3"/>
    <n v="1"/>
    <x v="1"/>
    <n v="60000"/>
    <n v="31000"/>
    <n v="60000"/>
    <n v="31000"/>
    <n v="28797"/>
    <n v="202.99999999999997"/>
    <s v="35 mns"/>
    <x v="3"/>
    <n v="7"/>
    <x v="6"/>
  </r>
  <r>
    <d v="2023-07-23T00:00:00"/>
    <x v="3"/>
    <x v="3"/>
    <n v="1"/>
    <x v="2"/>
    <n v="89000"/>
    <n v="65000"/>
    <n v="89000"/>
    <n v="65000"/>
    <n v="23832"/>
    <n v="167.99999999999997"/>
    <s v="35 mns"/>
    <x v="1"/>
    <n v="7"/>
    <x v="6"/>
  </r>
  <r>
    <d v="2023-07-24T00:00:00"/>
    <x v="0"/>
    <x v="0"/>
    <n v="1"/>
    <x v="0"/>
    <n v="33000"/>
    <n v="18000"/>
    <n v="33000"/>
    <n v="18000"/>
    <n v="14895"/>
    <n v="104.99999999999999"/>
    <s v="11 mns"/>
    <x v="1"/>
    <n v="7"/>
    <x v="6"/>
  </r>
  <r>
    <d v="2023-07-24T00:00:00"/>
    <x v="0"/>
    <x v="0"/>
    <n v="1"/>
    <x v="1"/>
    <n v="60000"/>
    <n v="31000"/>
    <n v="60000"/>
    <n v="31000"/>
    <n v="28797"/>
    <n v="202.99999999999997"/>
    <s v="11 mns"/>
    <x v="0"/>
    <n v="7"/>
    <x v="6"/>
  </r>
  <r>
    <d v="2023-07-24T00:00:00"/>
    <x v="0"/>
    <x v="0"/>
    <n v="1"/>
    <x v="2"/>
    <n v="89000"/>
    <n v="65000"/>
    <n v="89000"/>
    <n v="65000"/>
    <n v="23832"/>
    <n v="167.99999999999997"/>
    <s v="11 mns"/>
    <x v="0"/>
    <n v="7"/>
    <x v="6"/>
  </r>
  <r>
    <d v="2023-07-24T00:00:00"/>
    <x v="2"/>
    <x v="2"/>
    <n v="1"/>
    <x v="0"/>
    <n v="33000"/>
    <n v="18000"/>
    <n v="33000"/>
    <n v="18000"/>
    <n v="14895"/>
    <n v="104.99999999999999"/>
    <s v="30 mns"/>
    <x v="3"/>
    <n v="7"/>
    <x v="6"/>
  </r>
  <r>
    <d v="2023-07-24T00:00:00"/>
    <x v="2"/>
    <x v="2"/>
    <n v="1"/>
    <x v="1"/>
    <n v="60000"/>
    <n v="31000"/>
    <n v="60000"/>
    <n v="31000"/>
    <n v="28797"/>
    <n v="202.99999999999997"/>
    <s v="30 mns"/>
    <x v="1"/>
    <n v="7"/>
    <x v="6"/>
  </r>
  <r>
    <d v="2023-07-24T00:00:00"/>
    <x v="2"/>
    <x v="2"/>
    <n v="1"/>
    <x v="2"/>
    <n v="89000"/>
    <n v="65000"/>
    <n v="89000"/>
    <n v="65000"/>
    <n v="23832"/>
    <n v="167.99999999999997"/>
    <s v="30 mns"/>
    <x v="1"/>
    <n v="7"/>
    <x v="6"/>
  </r>
  <r>
    <d v="2023-07-24T00:00:00"/>
    <x v="3"/>
    <x v="3"/>
    <n v="1"/>
    <x v="0"/>
    <n v="33000"/>
    <n v="18000"/>
    <n v="33000"/>
    <n v="18000"/>
    <n v="14895"/>
    <n v="104.99999999999999"/>
    <s v="35 mns"/>
    <x v="0"/>
    <n v="7"/>
    <x v="6"/>
  </r>
  <r>
    <d v="2023-07-24T00:00:00"/>
    <x v="3"/>
    <x v="3"/>
    <n v="1"/>
    <x v="1"/>
    <n v="60000"/>
    <n v="31000"/>
    <n v="60000"/>
    <n v="31000"/>
    <n v="28797"/>
    <n v="202.99999999999997"/>
    <s v="35 mns"/>
    <x v="1"/>
    <n v="7"/>
    <x v="6"/>
  </r>
  <r>
    <d v="2023-07-24T00:00:00"/>
    <x v="3"/>
    <x v="3"/>
    <n v="1"/>
    <x v="2"/>
    <n v="89000"/>
    <n v="65000"/>
    <n v="89000"/>
    <n v="65000"/>
    <n v="23832"/>
    <n v="167.99999999999997"/>
    <s v="35 mns"/>
    <x v="1"/>
    <n v="7"/>
    <x v="6"/>
  </r>
  <r>
    <d v="2023-07-25T00:00:00"/>
    <x v="0"/>
    <x v="0"/>
    <n v="2"/>
    <x v="0"/>
    <n v="33000"/>
    <n v="18000"/>
    <n v="66000"/>
    <n v="36000"/>
    <n v="29790"/>
    <n v="209.99999999999997"/>
    <s v="11 mns"/>
    <x v="2"/>
    <n v="7"/>
    <x v="6"/>
  </r>
  <r>
    <d v="2023-07-25T00:00:00"/>
    <x v="0"/>
    <x v="0"/>
    <n v="2"/>
    <x v="1"/>
    <n v="60000"/>
    <n v="31000"/>
    <n v="120000"/>
    <n v="62000"/>
    <n v="57594"/>
    <n v="405.99999999999994"/>
    <s v="11 mns"/>
    <x v="3"/>
    <n v="7"/>
    <x v="6"/>
  </r>
  <r>
    <d v="2023-07-25T00:00:00"/>
    <x v="0"/>
    <x v="0"/>
    <n v="2"/>
    <x v="2"/>
    <n v="89000"/>
    <n v="65000"/>
    <n v="178000"/>
    <n v="130000"/>
    <n v="47664"/>
    <n v="335.99999999999994"/>
    <s v="11 mns"/>
    <x v="1"/>
    <n v="7"/>
    <x v="6"/>
  </r>
  <r>
    <d v="2023-07-25T00:00:00"/>
    <x v="2"/>
    <x v="2"/>
    <n v="2"/>
    <x v="0"/>
    <n v="33000"/>
    <n v="18000"/>
    <n v="66000"/>
    <n v="36000"/>
    <n v="29790"/>
    <n v="209.99999999999997"/>
    <s v="30 mns"/>
    <x v="0"/>
    <n v="7"/>
    <x v="6"/>
  </r>
  <r>
    <d v="2023-07-25T00:00:00"/>
    <x v="2"/>
    <x v="2"/>
    <n v="2"/>
    <x v="1"/>
    <n v="60000"/>
    <n v="31000"/>
    <n v="120000"/>
    <n v="62000"/>
    <n v="57594"/>
    <n v="405.99999999999994"/>
    <s v="30 mns"/>
    <x v="3"/>
    <n v="7"/>
    <x v="6"/>
  </r>
  <r>
    <d v="2023-07-25T00:00:00"/>
    <x v="2"/>
    <x v="2"/>
    <n v="2"/>
    <x v="2"/>
    <n v="89000"/>
    <n v="65000"/>
    <n v="178000"/>
    <n v="130000"/>
    <n v="47664"/>
    <n v="335.99999999999994"/>
    <s v="30 mns"/>
    <x v="3"/>
    <n v="7"/>
    <x v="6"/>
  </r>
  <r>
    <d v="2023-07-25T00:00:00"/>
    <x v="3"/>
    <x v="3"/>
    <n v="2"/>
    <x v="0"/>
    <n v="33000"/>
    <n v="18000"/>
    <n v="66000"/>
    <n v="36000"/>
    <n v="29790"/>
    <n v="209.99999999999997"/>
    <s v="35 mns"/>
    <x v="1"/>
    <n v="7"/>
    <x v="6"/>
  </r>
  <r>
    <d v="2023-07-25T00:00:00"/>
    <x v="3"/>
    <x v="3"/>
    <n v="2"/>
    <x v="1"/>
    <n v="60000"/>
    <n v="31000"/>
    <n v="120000"/>
    <n v="62000"/>
    <n v="57594"/>
    <n v="405.99999999999994"/>
    <s v="35 mns"/>
    <x v="3"/>
    <n v="7"/>
    <x v="6"/>
  </r>
  <r>
    <d v="2023-07-25T00:00:00"/>
    <x v="3"/>
    <x v="3"/>
    <n v="2"/>
    <x v="2"/>
    <n v="89000"/>
    <n v="65000"/>
    <n v="178000"/>
    <n v="130000"/>
    <n v="47664"/>
    <n v="335.99999999999994"/>
    <s v="35 mns"/>
    <x v="3"/>
    <n v="7"/>
    <x v="6"/>
  </r>
  <r>
    <d v="2023-07-26T00:00:00"/>
    <x v="0"/>
    <x v="0"/>
    <n v="1"/>
    <x v="0"/>
    <n v="33000"/>
    <n v="18000"/>
    <n v="33000"/>
    <n v="18000"/>
    <n v="14895"/>
    <n v="104.99999999999999"/>
    <s v="11 mns"/>
    <x v="3"/>
    <n v="7"/>
    <x v="6"/>
  </r>
  <r>
    <d v="2023-07-26T00:00:00"/>
    <x v="0"/>
    <x v="0"/>
    <n v="1"/>
    <x v="1"/>
    <n v="60000"/>
    <n v="31000"/>
    <n v="60000"/>
    <n v="31000"/>
    <n v="28797"/>
    <n v="202.99999999999997"/>
    <s v="11 mns"/>
    <x v="1"/>
    <n v="7"/>
    <x v="6"/>
  </r>
  <r>
    <d v="2023-07-26T00:00:00"/>
    <x v="0"/>
    <x v="0"/>
    <n v="1"/>
    <x v="2"/>
    <n v="89000"/>
    <n v="65000"/>
    <n v="89000"/>
    <n v="65000"/>
    <n v="23832"/>
    <n v="167.99999999999997"/>
    <s v="11 mns"/>
    <x v="1"/>
    <n v="7"/>
    <x v="6"/>
  </r>
  <r>
    <d v="2023-07-26T00:00:00"/>
    <x v="2"/>
    <x v="2"/>
    <n v="1"/>
    <x v="0"/>
    <n v="33000"/>
    <n v="18000"/>
    <n v="33000"/>
    <n v="18000"/>
    <n v="14895"/>
    <n v="104.99999999999999"/>
    <s v="30 mns"/>
    <x v="0"/>
    <n v="7"/>
    <x v="6"/>
  </r>
  <r>
    <d v="2023-07-26T00:00:00"/>
    <x v="2"/>
    <x v="2"/>
    <n v="1"/>
    <x v="1"/>
    <n v="60000"/>
    <n v="31000"/>
    <n v="60000"/>
    <n v="31000"/>
    <n v="28797"/>
    <n v="202.99999999999997"/>
    <s v="30 mns"/>
    <x v="1"/>
    <n v="7"/>
    <x v="6"/>
  </r>
  <r>
    <d v="2023-07-26T00:00:00"/>
    <x v="2"/>
    <x v="2"/>
    <n v="1"/>
    <x v="2"/>
    <n v="89000"/>
    <n v="65000"/>
    <n v="89000"/>
    <n v="65000"/>
    <n v="23832"/>
    <n v="167.99999999999997"/>
    <s v="30 mns"/>
    <x v="1"/>
    <n v="7"/>
    <x v="6"/>
  </r>
  <r>
    <d v="2023-07-26T00:00:00"/>
    <x v="3"/>
    <x v="3"/>
    <n v="1"/>
    <x v="0"/>
    <n v="33000"/>
    <n v="18000"/>
    <n v="33000"/>
    <n v="18000"/>
    <n v="14895"/>
    <n v="104.99999999999999"/>
    <s v="35 mns"/>
    <x v="0"/>
    <n v="7"/>
    <x v="6"/>
  </r>
  <r>
    <d v="2023-07-26T00:00:00"/>
    <x v="3"/>
    <x v="3"/>
    <n v="1"/>
    <x v="1"/>
    <n v="60000"/>
    <n v="31000"/>
    <n v="60000"/>
    <n v="31000"/>
    <n v="28797"/>
    <n v="202.99999999999997"/>
    <s v="35 mns"/>
    <x v="2"/>
    <n v="7"/>
    <x v="6"/>
  </r>
  <r>
    <d v="2023-07-26T00:00:00"/>
    <x v="3"/>
    <x v="3"/>
    <n v="1"/>
    <x v="2"/>
    <n v="89000"/>
    <n v="65000"/>
    <n v="89000"/>
    <n v="65000"/>
    <n v="23832"/>
    <n v="167.99999999999997"/>
    <s v="35 mns"/>
    <x v="3"/>
    <n v="7"/>
    <x v="6"/>
  </r>
  <r>
    <d v="2023-07-27T00:00:00"/>
    <x v="0"/>
    <x v="0"/>
    <n v="1"/>
    <x v="0"/>
    <n v="33000"/>
    <n v="18000"/>
    <n v="33000"/>
    <n v="18000"/>
    <n v="14895"/>
    <n v="104.99999999999999"/>
    <s v="11 mns"/>
    <x v="3"/>
    <n v="7"/>
    <x v="6"/>
  </r>
  <r>
    <d v="2023-07-27T00:00:00"/>
    <x v="0"/>
    <x v="0"/>
    <n v="1"/>
    <x v="1"/>
    <n v="60000"/>
    <n v="31000"/>
    <n v="60000"/>
    <n v="31000"/>
    <n v="28797"/>
    <n v="202.99999999999997"/>
    <s v="11 mns"/>
    <x v="1"/>
    <n v="7"/>
    <x v="6"/>
  </r>
  <r>
    <d v="2023-07-27T00:00:00"/>
    <x v="0"/>
    <x v="0"/>
    <n v="1"/>
    <x v="2"/>
    <n v="89000"/>
    <n v="65000"/>
    <n v="89000"/>
    <n v="65000"/>
    <n v="23832"/>
    <n v="167.99999999999997"/>
    <s v="11 mns"/>
    <x v="3"/>
    <n v="7"/>
    <x v="6"/>
  </r>
  <r>
    <d v="2023-07-27T00:00:00"/>
    <x v="2"/>
    <x v="2"/>
    <n v="1"/>
    <x v="0"/>
    <n v="33000"/>
    <n v="18000"/>
    <n v="33000"/>
    <n v="18000"/>
    <n v="14895"/>
    <n v="104.99999999999999"/>
    <s v="30 mns"/>
    <x v="3"/>
    <n v="7"/>
    <x v="6"/>
  </r>
  <r>
    <d v="2023-07-27T00:00:00"/>
    <x v="2"/>
    <x v="2"/>
    <n v="1"/>
    <x v="1"/>
    <n v="60000"/>
    <n v="31000"/>
    <n v="60000"/>
    <n v="31000"/>
    <n v="28797"/>
    <n v="202.99999999999997"/>
    <s v="30 mns"/>
    <x v="0"/>
    <n v="7"/>
    <x v="6"/>
  </r>
  <r>
    <d v="2023-07-27T00:00:00"/>
    <x v="2"/>
    <x v="2"/>
    <n v="1"/>
    <x v="2"/>
    <n v="89000"/>
    <n v="65000"/>
    <n v="89000"/>
    <n v="65000"/>
    <n v="23832"/>
    <n v="167.99999999999997"/>
    <s v="30 mns"/>
    <x v="1"/>
    <n v="7"/>
    <x v="6"/>
  </r>
  <r>
    <d v="2023-07-27T00:00:00"/>
    <x v="3"/>
    <x v="3"/>
    <n v="1"/>
    <x v="0"/>
    <n v="33000"/>
    <n v="18000"/>
    <n v="33000"/>
    <n v="18000"/>
    <n v="14895"/>
    <n v="104.99999999999999"/>
    <s v="35 mns"/>
    <x v="0"/>
    <n v="7"/>
    <x v="6"/>
  </r>
  <r>
    <d v="2023-07-27T00:00:00"/>
    <x v="3"/>
    <x v="3"/>
    <n v="1"/>
    <x v="1"/>
    <n v="60000"/>
    <n v="31000"/>
    <n v="60000"/>
    <n v="31000"/>
    <n v="28797"/>
    <n v="202.99999999999997"/>
    <s v="35 mns"/>
    <x v="3"/>
    <n v="7"/>
    <x v="6"/>
  </r>
  <r>
    <d v="2023-07-27T00:00:00"/>
    <x v="3"/>
    <x v="3"/>
    <n v="1"/>
    <x v="2"/>
    <n v="89000"/>
    <n v="65000"/>
    <n v="89000"/>
    <n v="65000"/>
    <n v="23832"/>
    <n v="167.99999999999997"/>
    <s v="35 mns"/>
    <x v="3"/>
    <n v="7"/>
    <x v="6"/>
  </r>
  <r>
    <d v="2023-07-28T00:00:00"/>
    <x v="0"/>
    <x v="0"/>
    <n v="2"/>
    <x v="0"/>
    <n v="33000"/>
    <n v="18000"/>
    <n v="66000"/>
    <n v="36000"/>
    <n v="29790"/>
    <n v="209.99999999999997"/>
    <s v="11 mns"/>
    <x v="3"/>
    <n v="7"/>
    <x v="6"/>
  </r>
  <r>
    <d v="2023-07-28T00:00:00"/>
    <x v="0"/>
    <x v="0"/>
    <n v="2"/>
    <x v="1"/>
    <n v="60000"/>
    <n v="31000"/>
    <n v="120000"/>
    <n v="62000"/>
    <n v="57594"/>
    <n v="405.99999999999994"/>
    <s v="11 mns"/>
    <x v="0"/>
    <n v="7"/>
    <x v="6"/>
  </r>
  <r>
    <d v="2023-07-28T00:00:00"/>
    <x v="0"/>
    <x v="0"/>
    <n v="2"/>
    <x v="2"/>
    <n v="89000"/>
    <n v="65000"/>
    <n v="178000"/>
    <n v="130000"/>
    <n v="47664"/>
    <n v="335.99999999999994"/>
    <s v="11 mns"/>
    <x v="2"/>
    <n v="7"/>
    <x v="6"/>
  </r>
  <r>
    <d v="2023-07-28T00:00:00"/>
    <x v="2"/>
    <x v="2"/>
    <n v="2"/>
    <x v="0"/>
    <n v="33000"/>
    <n v="18000"/>
    <n v="66000"/>
    <n v="36000"/>
    <n v="29790"/>
    <n v="209.99999999999997"/>
    <s v="30 mns"/>
    <x v="2"/>
    <n v="7"/>
    <x v="6"/>
  </r>
  <r>
    <d v="2023-07-28T00:00:00"/>
    <x v="2"/>
    <x v="2"/>
    <n v="2"/>
    <x v="1"/>
    <n v="60000"/>
    <n v="31000"/>
    <n v="120000"/>
    <n v="62000"/>
    <n v="57594"/>
    <n v="405.99999999999994"/>
    <s v="30 mns"/>
    <x v="2"/>
    <n v="7"/>
    <x v="6"/>
  </r>
  <r>
    <d v="2023-07-28T00:00:00"/>
    <x v="2"/>
    <x v="2"/>
    <n v="2"/>
    <x v="2"/>
    <n v="89000"/>
    <n v="65000"/>
    <n v="178000"/>
    <n v="130000"/>
    <n v="47664"/>
    <n v="335.99999999999994"/>
    <s v="30 mns"/>
    <x v="1"/>
    <n v="7"/>
    <x v="6"/>
  </r>
  <r>
    <d v="2023-07-28T00:00:00"/>
    <x v="3"/>
    <x v="3"/>
    <n v="2"/>
    <x v="0"/>
    <n v="33000"/>
    <n v="18000"/>
    <n v="66000"/>
    <n v="36000"/>
    <n v="29790"/>
    <n v="209.99999999999997"/>
    <s v="35 mns"/>
    <x v="3"/>
    <n v="7"/>
    <x v="6"/>
  </r>
  <r>
    <d v="2023-07-28T00:00:00"/>
    <x v="3"/>
    <x v="3"/>
    <n v="2"/>
    <x v="1"/>
    <n v="60000"/>
    <n v="31000"/>
    <n v="120000"/>
    <n v="62000"/>
    <n v="57594"/>
    <n v="405.99999999999994"/>
    <s v="35 mns"/>
    <x v="3"/>
    <n v="7"/>
    <x v="6"/>
  </r>
  <r>
    <d v="2023-07-28T00:00:00"/>
    <x v="3"/>
    <x v="3"/>
    <n v="2"/>
    <x v="2"/>
    <n v="89000"/>
    <n v="65000"/>
    <n v="178000"/>
    <n v="130000"/>
    <n v="47664"/>
    <n v="335.99999999999994"/>
    <s v="35 mns"/>
    <x v="1"/>
    <n v="7"/>
    <x v="6"/>
  </r>
  <r>
    <d v="2023-07-29T00:00:00"/>
    <x v="0"/>
    <x v="0"/>
    <n v="1"/>
    <x v="0"/>
    <n v="33000"/>
    <n v="18000"/>
    <n v="33000"/>
    <n v="18000"/>
    <n v="14895"/>
    <n v="104.99999999999999"/>
    <s v="11 mns"/>
    <x v="2"/>
    <n v="7"/>
    <x v="6"/>
  </r>
  <r>
    <d v="2023-07-29T00:00:00"/>
    <x v="0"/>
    <x v="0"/>
    <n v="1"/>
    <x v="1"/>
    <n v="60000"/>
    <n v="31000"/>
    <n v="60000"/>
    <n v="31000"/>
    <n v="28797"/>
    <n v="202.99999999999997"/>
    <s v="11 mns"/>
    <x v="0"/>
    <n v="7"/>
    <x v="6"/>
  </r>
  <r>
    <d v="2023-07-29T00:00:00"/>
    <x v="0"/>
    <x v="0"/>
    <n v="1"/>
    <x v="2"/>
    <n v="89000"/>
    <n v="65000"/>
    <n v="89000"/>
    <n v="65000"/>
    <n v="23832"/>
    <n v="167.99999999999997"/>
    <s v="11 mns"/>
    <x v="0"/>
    <n v="7"/>
    <x v="6"/>
  </r>
  <r>
    <d v="2023-07-29T00:00:00"/>
    <x v="2"/>
    <x v="2"/>
    <n v="1"/>
    <x v="0"/>
    <n v="33000"/>
    <n v="18000"/>
    <n v="33000"/>
    <n v="18000"/>
    <n v="14895"/>
    <n v="104.99999999999999"/>
    <s v="30 mns"/>
    <x v="2"/>
    <n v="7"/>
    <x v="6"/>
  </r>
  <r>
    <d v="2023-07-29T00:00:00"/>
    <x v="2"/>
    <x v="2"/>
    <n v="1"/>
    <x v="1"/>
    <n v="60000"/>
    <n v="31000"/>
    <n v="60000"/>
    <n v="31000"/>
    <n v="28797"/>
    <n v="202.99999999999997"/>
    <s v="30 mns"/>
    <x v="0"/>
    <n v="7"/>
    <x v="6"/>
  </r>
  <r>
    <d v="2023-07-29T00:00:00"/>
    <x v="2"/>
    <x v="2"/>
    <n v="1"/>
    <x v="2"/>
    <n v="89000"/>
    <n v="65000"/>
    <n v="89000"/>
    <n v="65000"/>
    <n v="23832"/>
    <n v="167.99999999999997"/>
    <s v="30 mns"/>
    <x v="0"/>
    <n v="7"/>
    <x v="6"/>
  </r>
  <r>
    <d v="2023-07-29T00:00:00"/>
    <x v="3"/>
    <x v="3"/>
    <n v="1"/>
    <x v="0"/>
    <n v="33000"/>
    <n v="18000"/>
    <n v="33000"/>
    <n v="18000"/>
    <n v="14895"/>
    <n v="104.99999999999999"/>
    <s v="35 mns"/>
    <x v="1"/>
    <n v="7"/>
    <x v="6"/>
  </r>
  <r>
    <d v="2023-07-29T00:00:00"/>
    <x v="3"/>
    <x v="3"/>
    <n v="1"/>
    <x v="1"/>
    <n v="60000"/>
    <n v="31000"/>
    <n v="60000"/>
    <n v="31000"/>
    <n v="28797"/>
    <n v="202.99999999999997"/>
    <s v="35 mns"/>
    <x v="2"/>
    <n v="7"/>
    <x v="6"/>
  </r>
  <r>
    <d v="2023-07-29T00:00:00"/>
    <x v="3"/>
    <x v="3"/>
    <n v="1"/>
    <x v="2"/>
    <n v="89000"/>
    <n v="65000"/>
    <n v="89000"/>
    <n v="65000"/>
    <n v="23832"/>
    <n v="167.99999999999997"/>
    <s v="35 mns"/>
    <x v="3"/>
    <n v="7"/>
    <x v="6"/>
  </r>
  <r>
    <d v="2023-07-30T00:00:00"/>
    <x v="0"/>
    <x v="0"/>
    <n v="1"/>
    <x v="0"/>
    <n v="33000"/>
    <n v="18000"/>
    <n v="33000"/>
    <n v="18000"/>
    <n v="14895"/>
    <n v="104.99999999999999"/>
    <s v="11 mns"/>
    <x v="1"/>
    <n v="7"/>
    <x v="6"/>
  </r>
  <r>
    <d v="2023-07-30T00:00:00"/>
    <x v="0"/>
    <x v="0"/>
    <n v="1"/>
    <x v="1"/>
    <n v="60000"/>
    <n v="31000"/>
    <n v="60000"/>
    <n v="31000"/>
    <n v="28797"/>
    <n v="202.99999999999997"/>
    <s v="11 mns"/>
    <x v="1"/>
    <n v="7"/>
    <x v="6"/>
  </r>
  <r>
    <d v="2023-07-30T00:00:00"/>
    <x v="0"/>
    <x v="0"/>
    <n v="1"/>
    <x v="2"/>
    <n v="89000"/>
    <n v="65000"/>
    <n v="89000"/>
    <n v="65000"/>
    <n v="23832"/>
    <n v="167.99999999999997"/>
    <s v="11 mns"/>
    <x v="3"/>
    <n v="7"/>
    <x v="6"/>
  </r>
  <r>
    <d v="2023-07-30T00:00:00"/>
    <x v="2"/>
    <x v="2"/>
    <n v="1"/>
    <x v="0"/>
    <n v="33000"/>
    <n v="18000"/>
    <n v="33000"/>
    <n v="18000"/>
    <n v="14895"/>
    <n v="104.99999999999999"/>
    <s v="30 mns"/>
    <x v="3"/>
    <n v="7"/>
    <x v="6"/>
  </r>
  <r>
    <d v="2023-07-30T00:00:00"/>
    <x v="2"/>
    <x v="2"/>
    <n v="1"/>
    <x v="1"/>
    <n v="60000"/>
    <n v="31000"/>
    <n v="60000"/>
    <n v="31000"/>
    <n v="28797"/>
    <n v="202.99999999999997"/>
    <s v="30 mns"/>
    <x v="0"/>
    <n v="7"/>
    <x v="6"/>
  </r>
  <r>
    <d v="2023-07-30T00:00:00"/>
    <x v="2"/>
    <x v="2"/>
    <n v="1"/>
    <x v="2"/>
    <n v="89000"/>
    <n v="65000"/>
    <n v="89000"/>
    <n v="65000"/>
    <n v="23832"/>
    <n v="167.99999999999997"/>
    <s v="30 mns"/>
    <x v="3"/>
    <n v="7"/>
    <x v="6"/>
  </r>
  <r>
    <d v="2023-07-30T00:00:00"/>
    <x v="3"/>
    <x v="3"/>
    <n v="1"/>
    <x v="0"/>
    <n v="33000"/>
    <n v="18000"/>
    <n v="33000"/>
    <n v="18000"/>
    <n v="14895"/>
    <n v="104.99999999999999"/>
    <s v="35 mns"/>
    <x v="2"/>
    <n v="7"/>
    <x v="6"/>
  </r>
  <r>
    <d v="2023-07-30T00:00:00"/>
    <x v="3"/>
    <x v="3"/>
    <n v="1"/>
    <x v="1"/>
    <n v="60000"/>
    <n v="31000"/>
    <n v="60000"/>
    <n v="31000"/>
    <n v="28797"/>
    <n v="202.99999999999997"/>
    <s v="35 mns"/>
    <x v="0"/>
    <n v="7"/>
    <x v="6"/>
  </r>
  <r>
    <d v="2023-07-30T00:00:00"/>
    <x v="3"/>
    <x v="3"/>
    <n v="1"/>
    <x v="2"/>
    <n v="89000"/>
    <n v="65000"/>
    <n v="89000"/>
    <n v="65000"/>
    <n v="23832"/>
    <n v="167.99999999999997"/>
    <s v="35 mns"/>
    <x v="1"/>
    <n v="7"/>
    <x v="6"/>
  </r>
  <r>
    <d v="2023-07-31T00:00:00"/>
    <x v="0"/>
    <x v="0"/>
    <n v="1"/>
    <x v="0"/>
    <n v="33000"/>
    <n v="18000"/>
    <n v="33000"/>
    <n v="18000"/>
    <n v="14895"/>
    <n v="104.99999999999999"/>
    <s v="11 mns"/>
    <x v="0"/>
    <n v="7"/>
    <x v="6"/>
  </r>
  <r>
    <d v="2023-07-31T00:00:00"/>
    <x v="0"/>
    <x v="0"/>
    <n v="1"/>
    <x v="1"/>
    <n v="60000"/>
    <n v="31000"/>
    <n v="60000"/>
    <n v="31000"/>
    <n v="28797"/>
    <n v="202.99999999999997"/>
    <s v="11 mns"/>
    <x v="2"/>
    <n v="7"/>
    <x v="6"/>
  </r>
  <r>
    <d v="2023-07-31T00:00:00"/>
    <x v="0"/>
    <x v="0"/>
    <n v="1"/>
    <x v="2"/>
    <n v="89000"/>
    <n v="65000"/>
    <n v="89000"/>
    <n v="65000"/>
    <n v="23832"/>
    <n v="167.99999999999997"/>
    <s v="11 mns"/>
    <x v="3"/>
    <n v="7"/>
    <x v="6"/>
  </r>
  <r>
    <d v="2023-07-31T00:00:00"/>
    <x v="2"/>
    <x v="2"/>
    <n v="1"/>
    <x v="0"/>
    <n v="33000"/>
    <n v="18000"/>
    <n v="33000"/>
    <n v="18000"/>
    <n v="14895"/>
    <n v="104.99999999999999"/>
    <s v="30 mns"/>
    <x v="0"/>
    <n v="7"/>
    <x v="6"/>
  </r>
  <r>
    <d v="2023-07-31T00:00:00"/>
    <x v="2"/>
    <x v="2"/>
    <n v="1"/>
    <x v="1"/>
    <n v="60000"/>
    <n v="31000"/>
    <n v="60000"/>
    <n v="31000"/>
    <n v="28797"/>
    <n v="202.99999999999997"/>
    <s v="30 mns"/>
    <x v="0"/>
    <n v="7"/>
    <x v="6"/>
  </r>
  <r>
    <d v="2023-07-31T00:00:00"/>
    <x v="2"/>
    <x v="2"/>
    <n v="1"/>
    <x v="2"/>
    <n v="89000"/>
    <n v="65000"/>
    <n v="89000"/>
    <n v="65000"/>
    <n v="23832"/>
    <n v="167.99999999999997"/>
    <s v="30 mns"/>
    <x v="1"/>
    <n v="7"/>
    <x v="6"/>
  </r>
  <r>
    <d v="2023-07-31T00:00:00"/>
    <x v="3"/>
    <x v="3"/>
    <n v="1"/>
    <x v="0"/>
    <n v="33000"/>
    <n v="18000"/>
    <n v="33000"/>
    <n v="18000"/>
    <n v="14895"/>
    <n v="104.99999999999999"/>
    <s v="35 mns"/>
    <x v="3"/>
    <n v="7"/>
    <x v="6"/>
  </r>
  <r>
    <d v="2023-07-31T00:00:00"/>
    <x v="3"/>
    <x v="3"/>
    <n v="1"/>
    <x v="1"/>
    <n v="60000"/>
    <n v="31000"/>
    <n v="60000"/>
    <n v="31000"/>
    <n v="28797"/>
    <n v="202.99999999999997"/>
    <s v="35 mns"/>
    <x v="3"/>
    <n v="7"/>
    <x v="6"/>
  </r>
  <r>
    <d v="2023-07-31T00:00:00"/>
    <x v="3"/>
    <x v="3"/>
    <n v="1"/>
    <x v="2"/>
    <n v="89000"/>
    <n v="65000"/>
    <n v="89000"/>
    <n v="65000"/>
    <n v="23832"/>
    <n v="167.99999999999997"/>
    <s v="35 mns"/>
    <x v="2"/>
    <n v="7"/>
    <x v="6"/>
  </r>
  <r>
    <d v="2023-08-01T00:00:00"/>
    <x v="0"/>
    <x v="0"/>
    <n v="1"/>
    <x v="0"/>
    <n v="33000"/>
    <n v="18000"/>
    <n v="33000"/>
    <n v="18000"/>
    <n v="14895"/>
    <n v="104.99999999999999"/>
    <s v="11 mns"/>
    <x v="1"/>
    <n v="8"/>
    <x v="7"/>
  </r>
  <r>
    <d v="2023-08-01T00:00:00"/>
    <x v="0"/>
    <x v="0"/>
    <n v="1"/>
    <x v="1"/>
    <n v="60000"/>
    <n v="31000"/>
    <n v="60000"/>
    <n v="31000"/>
    <n v="28797"/>
    <n v="202.99999999999997"/>
    <s v="11 mns"/>
    <x v="0"/>
    <n v="8"/>
    <x v="7"/>
  </r>
  <r>
    <d v="2023-08-01T00:00:00"/>
    <x v="0"/>
    <x v="0"/>
    <n v="1"/>
    <x v="2"/>
    <n v="89000"/>
    <n v="65000"/>
    <n v="89000"/>
    <n v="65000"/>
    <n v="23832"/>
    <n v="167.99999999999997"/>
    <s v="11 mns"/>
    <x v="0"/>
    <n v="8"/>
    <x v="7"/>
  </r>
  <r>
    <d v="2023-08-01T00:00:00"/>
    <x v="2"/>
    <x v="2"/>
    <n v="1"/>
    <x v="0"/>
    <n v="33000"/>
    <n v="18000"/>
    <n v="33000"/>
    <n v="18000"/>
    <n v="14895"/>
    <n v="104.99999999999999"/>
    <s v="30 mns"/>
    <x v="1"/>
    <n v="8"/>
    <x v="7"/>
  </r>
  <r>
    <d v="2023-08-01T00:00:00"/>
    <x v="2"/>
    <x v="2"/>
    <n v="1"/>
    <x v="1"/>
    <n v="60000"/>
    <n v="31000"/>
    <n v="60000"/>
    <n v="31000"/>
    <n v="28797"/>
    <n v="202.99999999999997"/>
    <s v="30 mns"/>
    <x v="3"/>
    <n v="8"/>
    <x v="7"/>
  </r>
  <r>
    <d v="2023-08-01T00:00:00"/>
    <x v="2"/>
    <x v="2"/>
    <n v="1"/>
    <x v="2"/>
    <n v="89000"/>
    <n v="65000"/>
    <n v="89000"/>
    <n v="65000"/>
    <n v="23832"/>
    <n v="167.99999999999997"/>
    <s v="30 mns"/>
    <x v="0"/>
    <n v="8"/>
    <x v="7"/>
  </r>
  <r>
    <d v="2023-08-01T00:00:00"/>
    <x v="3"/>
    <x v="3"/>
    <n v="1"/>
    <x v="0"/>
    <n v="33000"/>
    <n v="18000"/>
    <n v="33000"/>
    <n v="18000"/>
    <n v="14895"/>
    <n v="104.99999999999999"/>
    <s v="35 mns"/>
    <x v="1"/>
    <n v="8"/>
    <x v="7"/>
  </r>
  <r>
    <d v="2023-08-01T00:00:00"/>
    <x v="3"/>
    <x v="3"/>
    <n v="1"/>
    <x v="1"/>
    <n v="60000"/>
    <n v="31000"/>
    <n v="60000"/>
    <n v="31000"/>
    <n v="28797"/>
    <n v="202.99999999999997"/>
    <s v="35 mns"/>
    <x v="3"/>
    <n v="8"/>
    <x v="7"/>
  </r>
  <r>
    <d v="2023-08-01T00:00:00"/>
    <x v="3"/>
    <x v="3"/>
    <n v="1"/>
    <x v="2"/>
    <n v="89000"/>
    <n v="65000"/>
    <n v="89000"/>
    <n v="65000"/>
    <n v="23832"/>
    <n v="167.99999999999997"/>
    <s v="35 mns"/>
    <x v="3"/>
    <n v="8"/>
    <x v="7"/>
  </r>
  <r>
    <d v="2023-08-02T00:00:00"/>
    <x v="0"/>
    <x v="0"/>
    <n v="1"/>
    <x v="0"/>
    <n v="33000"/>
    <n v="18000"/>
    <n v="33000"/>
    <n v="18000"/>
    <n v="14895"/>
    <n v="104.99999999999999"/>
    <s v="11 mns"/>
    <x v="3"/>
    <n v="8"/>
    <x v="7"/>
  </r>
  <r>
    <d v="2023-08-02T00:00:00"/>
    <x v="0"/>
    <x v="0"/>
    <n v="1"/>
    <x v="1"/>
    <n v="60000"/>
    <n v="31000"/>
    <n v="60000"/>
    <n v="31000"/>
    <n v="28797"/>
    <n v="202.99999999999997"/>
    <s v="11 mns"/>
    <x v="3"/>
    <n v="8"/>
    <x v="7"/>
  </r>
  <r>
    <d v="2023-08-02T00:00:00"/>
    <x v="0"/>
    <x v="0"/>
    <n v="1"/>
    <x v="2"/>
    <n v="89000"/>
    <n v="65000"/>
    <n v="89000"/>
    <n v="65000"/>
    <n v="23832"/>
    <n v="167.99999999999997"/>
    <s v="11 mns"/>
    <x v="3"/>
    <n v="8"/>
    <x v="7"/>
  </r>
  <r>
    <d v="2023-08-02T00:00:00"/>
    <x v="2"/>
    <x v="2"/>
    <n v="1"/>
    <x v="0"/>
    <n v="33000"/>
    <n v="18000"/>
    <n v="33000"/>
    <n v="18000"/>
    <n v="14895"/>
    <n v="104.99999999999999"/>
    <s v="30 mns"/>
    <x v="2"/>
    <n v="8"/>
    <x v="7"/>
  </r>
  <r>
    <d v="2023-08-02T00:00:00"/>
    <x v="2"/>
    <x v="2"/>
    <n v="1"/>
    <x v="1"/>
    <n v="60000"/>
    <n v="31000"/>
    <n v="60000"/>
    <n v="31000"/>
    <n v="28797"/>
    <n v="202.99999999999997"/>
    <s v="30 mns"/>
    <x v="2"/>
    <n v="8"/>
    <x v="7"/>
  </r>
  <r>
    <d v="2023-08-02T00:00:00"/>
    <x v="2"/>
    <x v="2"/>
    <n v="1"/>
    <x v="2"/>
    <n v="89000"/>
    <n v="65000"/>
    <n v="89000"/>
    <n v="65000"/>
    <n v="23832"/>
    <n v="167.99999999999997"/>
    <s v="30 mns"/>
    <x v="1"/>
    <n v="8"/>
    <x v="7"/>
  </r>
  <r>
    <d v="2023-08-02T00:00:00"/>
    <x v="3"/>
    <x v="3"/>
    <n v="1"/>
    <x v="0"/>
    <n v="33000"/>
    <n v="18000"/>
    <n v="33000"/>
    <n v="18000"/>
    <n v="14895"/>
    <n v="104.99999999999999"/>
    <s v="35 mns"/>
    <x v="1"/>
    <n v="8"/>
    <x v="7"/>
  </r>
  <r>
    <d v="2023-08-02T00:00:00"/>
    <x v="3"/>
    <x v="3"/>
    <n v="1"/>
    <x v="1"/>
    <n v="60000"/>
    <n v="31000"/>
    <n v="60000"/>
    <n v="31000"/>
    <n v="28797"/>
    <n v="202.99999999999997"/>
    <s v="35 mns"/>
    <x v="1"/>
    <n v="8"/>
    <x v="7"/>
  </r>
  <r>
    <d v="2023-08-02T00:00:00"/>
    <x v="3"/>
    <x v="3"/>
    <n v="1"/>
    <x v="2"/>
    <n v="89000"/>
    <n v="65000"/>
    <n v="89000"/>
    <n v="65000"/>
    <n v="23832"/>
    <n v="167.99999999999997"/>
    <s v="35 mns"/>
    <x v="0"/>
    <n v="8"/>
    <x v="7"/>
  </r>
  <r>
    <d v="2023-08-03T00:00:00"/>
    <x v="0"/>
    <x v="0"/>
    <n v="1"/>
    <x v="0"/>
    <n v="33000"/>
    <n v="18000"/>
    <n v="33000"/>
    <n v="18000"/>
    <n v="14895"/>
    <n v="104.99999999999999"/>
    <s v="11 mns"/>
    <x v="0"/>
    <n v="8"/>
    <x v="7"/>
  </r>
  <r>
    <d v="2023-08-03T00:00:00"/>
    <x v="0"/>
    <x v="0"/>
    <n v="1"/>
    <x v="1"/>
    <n v="60000"/>
    <n v="31000"/>
    <n v="60000"/>
    <n v="31000"/>
    <n v="28797"/>
    <n v="202.99999999999997"/>
    <s v="11 mns"/>
    <x v="3"/>
    <n v="8"/>
    <x v="7"/>
  </r>
  <r>
    <d v="2023-08-03T00:00:00"/>
    <x v="0"/>
    <x v="0"/>
    <n v="1"/>
    <x v="2"/>
    <n v="89000"/>
    <n v="65000"/>
    <n v="89000"/>
    <n v="65000"/>
    <n v="23832"/>
    <n v="167.99999999999997"/>
    <s v="11 mns"/>
    <x v="3"/>
    <n v="8"/>
    <x v="7"/>
  </r>
  <r>
    <d v="2023-08-03T00:00:00"/>
    <x v="2"/>
    <x v="2"/>
    <n v="1"/>
    <x v="0"/>
    <n v="33000"/>
    <n v="18000"/>
    <n v="33000"/>
    <n v="18000"/>
    <n v="14895"/>
    <n v="104.99999999999999"/>
    <s v="30 mns"/>
    <x v="3"/>
    <n v="8"/>
    <x v="7"/>
  </r>
  <r>
    <d v="2023-08-03T00:00:00"/>
    <x v="2"/>
    <x v="2"/>
    <n v="1"/>
    <x v="1"/>
    <n v="60000"/>
    <n v="31000"/>
    <n v="60000"/>
    <n v="31000"/>
    <n v="28797"/>
    <n v="202.99999999999997"/>
    <s v="30 mns"/>
    <x v="0"/>
    <n v="8"/>
    <x v="7"/>
  </r>
  <r>
    <d v="2023-08-03T00:00:00"/>
    <x v="2"/>
    <x v="2"/>
    <n v="1"/>
    <x v="2"/>
    <n v="89000"/>
    <n v="65000"/>
    <n v="89000"/>
    <n v="65000"/>
    <n v="23832"/>
    <n v="167.99999999999997"/>
    <s v="30 mns"/>
    <x v="1"/>
    <n v="8"/>
    <x v="7"/>
  </r>
  <r>
    <d v="2023-08-03T00:00:00"/>
    <x v="3"/>
    <x v="3"/>
    <n v="1"/>
    <x v="0"/>
    <n v="33000"/>
    <n v="18000"/>
    <n v="33000"/>
    <n v="18000"/>
    <n v="14895"/>
    <n v="104.99999999999999"/>
    <s v="35 mns"/>
    <x v="3"/>
    <n v="8"/>
    <x v="7"/>
  </r>
  <r>
    <d v="2023-08-03T00:00:00"/>
    <x v="3"/>
    <x v="3"/>
    <n v="1"/>
    <x v="1"/>
    <n v="60000"/>
    <n v="31000"/>
    <n v="60000"/>
    <n v="31000"/>
    <n v="28797"/>
    <n v="202.99999999999997"/>
    <s v="35 mns"/>
    <x v="1"/>
    <n v="8"/>
    <x v="7"/>
  </r>
  <r>
    <d v="2023-08-03T00:00:00"/>
    <x v="3"/>
    <x v="3"/>
    <n v="1"/>
    <x v="2"/>
    <n v="89000"/>
    <n v="65000"/>
    <n v="89000"/>
    <n v="65000"/>
    <n v="23832"/>
    <n v="167.99999999999997"/>
    <s v="35 mns"/>
    <x v="1"/>
    <n v="8"/>
    <x v="7"/>
  </r>
  <r>
    <d v="2023-08-04T00:00:00"/>
    <x v="0"/>
    <x v="0"/>
    <n v="2"/>
    <x v="0"/>
    <n v="33000"/>
    <n v="18000"/>
    <n v="66000"/>
    <n v="36000"/>
    <n v="29790"/>
    <n v="209.99999999999997"/>
    <s v="11 mns"/>
    <x v="3"/>
    <n v="8"/>
    <x v="7"/>
  </r>
  <r>
    <d v="2023-08-04T00:00:00"/>
    <x v="0"/>
    <x v="0"/>
    <n v="2"/>
    <x v="1"/>
    <n v="60000"/>
    <n v="31000"/>
    <n v="120000"/>
    <n v="62000"/>
    <n v="57594"/>
    <n v="405.99999999999994"/>
    <s v="11 mns"/>
    <x v="3"/>
    <n v="8"/>
    <x v="7"/>
  </r>
  <r>
    <d v="2023-08-04T00:00:00"/>
    <x v="0"/>
    <x v="0"/>
    <n v="2"/>
    <x v="2"/>
    <n v="89000"/>
    <n v="65000"/>
    <n v="178000"/>
    <n v="130000"/>
    <n v="47664"/>
    <n v="335.99999999999994"/>
    <s v="11 mns"/>
    <x v="0"/>
    <n v="8"/>
    <x v="7"/>
  </r>
  <r>
    <d v="2023-08-04T00:00:00"/>
    <x v="2"/>
    <x v="2"/>
    <n v="2"/>
    <x v="0"/>
    <n v="33000"/>
    <n v="18000"/>
    <n v="66000"/>
    <n v="36000"/>
    <n v="29790"/>
    <n v="209.99999999999997"/>
    <s v="30 mns"/>
    <x v="1"/>
    <n v="8"/>
    <x v="7"/>
  </r>
  <r>
    <d v="2023-08-04T00:00:00"/>
    <x v="2"/>
    <x v="2"/>
    <n v="2"/>
    <x v="1"/>
    <n v="60000"/>
    <n v="31000"/>
    <n v="120000"/>
    <n v="62000"/>
    <n v="57594"/>
    <n v="405.99999999999994"/>
    <s v="30 mns"/>
    <x v="3"/>
    <n v="8"/>
    <x v="7"/>
  </r>
  <r>
    <d v="2023-08-04T00:00:00"/>
    <x v="2"/>
    <x v="2"/>
    <n v="2"/>
    <x v="2"/>
    <n v="89000"/>
    <n v="65000"/>
    <n v="178000"/>
    <n v="130000"/>
    <n v="47664"/>
    <n v="335.99999999999994"/>
    <s v="30 mns"/>
    <x v="1"/>
    <n v="8"/>
    <x v="7"/>
  </r>
  <r>
    <d v="2023-08-04T00:00:00"/>
    <x v="3"/>
    <x v="3"/>
    <n v="2"/>
    <x v="0"/>
    <n v="33000"/>
    <n v="18000"/>
    <n v="66000"/>
    <n v="36000"/>
    <n v="29790"/>
    <n v="209.99999999999997"/>
    <s v="35 mns"/>
    <x v="3"/>
    <n v="8"/>
    <x v="7"/>
  </r>
  <r>
    <d v="2023-08-04T00:00:00"/>
    <x v="3"/>
    <x v="3"/>
    <n v="2"/>
    <x v="1"/>
    <n v="60000"/>
    <n v="31000"/>
    <n v="120000"/>
    <n v="62000"/>
    <n v="57594"/>
    <n v="405.99999999999994"/>
    <s v="35 mns"/>
    <x v="3"/>
    <n v="8"/>
    <x v="7"/>
  </r>
  <r>
    <d v="2023-08-04T00:00:00"/>
    <x v="3"/>
    <x v="3"/>
    <n v="2"/>
    <x v="2"/>
    <n v="89000"/>
    <n v="65000"/>
    <n v="178000"/>
    <n v="130000"/>
    <n v="47664"/>
    <n v="335.99999999999994"/>
    <s v="35 mns"/>
    <x v="2"/>
    <n v="8"/>
    <x v="7"/>
  </r>
  <r>
    <d v="2023-08-05T00:00:00"/>
    <x v="0"/>
    <x v="0"/>
    <n v="1"/>
    <x v="0"/>
    <n v="33000"/>
    <n v="18000"/>
    <n v="33000"/>
    <n v="18000"/>
    <n v="14895"/>
    <n v="104.99999999999999"/>
    <s v="11 mns"/>
    <x v="1"/>
    <n v="8"/>
    <x v="7"/>
  </r>
  <r>
    <d v="2023-08-05T00:00:00"/>
    <x v="0"/>
    <x v="0"/>
    <n v="1"/>
    <x v="1"/>
    <n v="60000"/>
    <n v="31000"/>
    <n v="60000"/>
    <n v="31000"/>
    <n v="28797"/>
    <n v="202.99999999999997"/>
    <s v="11 mns"/>
    <x v="3"/>
    <n v="8"/>
    <x v="7"/>
  </r>
  <r>
    <d v="2023-08-05T00:00:00"/>
    <x v="0"/>
    <x v="0"/>
    <n v="1"/>
    <x v="2"/>
    <n v="89000"/>
    <n v="65000"/>
    <n v="89000"/>
    <n v="65000"/>
    <n v="23832"/>
    <n v="167.99999999999997"/>
    <s v="11 mns"/>
    <x v="1"/>
    <n v="8"/>
    <x v="7"/>
  </r>
  <r>
    <d v="2023-08-05T00:00:00"/>
    <x v="2"/>
    <x v="2"/>
    <n v="1"/>
    <x v="0"/>
    <n v="33000"/>
    <n v="18000"/>
    <n v="33000"/>
    <n v="18000"/>
    <n v="14895"/>
    <n v="104.99999999999999"/>
    <s v="30 mns"/>
    <x v="0"/>
    <n v="8"/>
    <x v="7"/>
  </r>
  <r>
    <d v="2023-08-05T00:00:00"/>
    <x v="2"/>
    <x v="2"/>
    <n v="1"/>
    <x v="1"/>
    <n v="60000"/>
    <n v="31000"/>
    <n v="60000"/>
    <n v="31000"/>
    <n v="28797"/>
    <n v="202.99999999999997"/>
    <s v="30 mns"/>
    <x v="3"/>
    <n v="8"/>
    <x v="7"/>
  </r>
  <r>
    <d v="2023-08-05T00:00:00"/>
    <x v="2"/>
    <x v="2"/>
    <n v="1"/>
    <x v="2"/>
    <n v="89000"/>
    <n v="65000"/>
    <n v="89000"/>
    <n v="65000"/>
    <n v="23832"/>
    <n v="167.99999999999997"/>
    <s v="30 mns"/>
    <x v="1"/>
    <n v="8"/>
    <x v="7"/>
  </r>
  <r>
    <d v="2023-08-05T00:00:00"/>
    <x v="3"/>
    <x v="3"/>
    <n v="1"/>
    <x v="0"/>
    <n v="33000"/>
    <n v="18000"/>
    <n v="33000"/>
    <n v="18000"/>
    <n v="14895"/>
    <n v="104.99999999999999"/>
    <s v="35 mns"/>
    <x v="1"/>
    <n v="8"/>
    <x v="7"/>
  </r>
  <r>
    <d v="2023-08-05T00:00:00"/>
    <x v="3"/>
    <x v="3"/>
    <n v="1"/>
    <x v="1"/>
    <n v="60000"/>
    <n v="31000"/>
    <n v="60000"/>
    <n v="31000"/>
    <n v="28797"/>
    <n v="202.99999999999997"/>
    <s v="35 mns"/>
    <x v="3"/>
    <n v="8"/>
    <x v="7"/>
  </r>
  <r>
    <d v="2023-08-05T00:00:00"/>
    <x v="3"/>
    <x v="3"/>
    <n v="1"/>
    <x v="2"/>
    <n v="89000"/>
    <n v="65000"/>
    <n v="89000"/>
    <n v="65000"/>
    <n v="23832"/>
    <n v="167.99999999999997"/>
    <s v="35 mns"/>
    <x v="1"/>
    <n v="8"/>
    <x v="7"/>
  </r>
  <r>
    <d v="2023-08-06T00:00:00"/>
    <x v="0"/>
    <x v="0"/>
    <n v="2"/>
    <x v="0"/>
    <n v="33000"/>
    <n v="18000"/>
    <n v="66000"/>
    <n v="36000"/>
    <n v="29790"/>
    <n v="209.99999999999997"/>
    <s v="11 mns"/>
    <x v="1"/>
    <n v="8"/>
    <x v="7"/>
  </r>
  <r>
    <d v="2023-08-06T00:00:00"/>
    <x v="0"/>
    <x v="0"/>
    <n v="2"/>
    <x v="1"/>
    <n v="60000"/>
    <n v="31000"/>
    <n v="120000"/>
    <n v="62000"/>
    <n v="57594"/>
    <n v="405.99999999999994"/>
    <s v="11 mns"/>
    <x v="3"/>
    <n v="8"/>
    <x v="7"/>
  </r>
  <r>
    <d v="2023-08-06T00:00:00"/>
    <x v="0"/>
    <x v="0"/>
    <n v="2"/>
    <x v="2"/>
    <n v="89000"/>
    <n v="65000"/>
    <n v="178000"/>
    <n v="130000"/>
    <n v="47664"/>
    <n v="335.99999999999994"/>
    <s v="11 mns"/>
    <x v="0"/>
    <n v="8"/>
    <x v="7"/>
  </r>
  <r>
    <d v="2023-08-06T00:00:00"/>
    <x v="2"/>
    <x v="2"/>
    <n v="2"/>
    <x v="0"/>
    <n v="33000"/>
    <n v="18000"/>
    <n v="66000"/>
    <n v="36000"/>
    <n v="29790"/>
    <n v="209.99999999999997"/>
    <s v="30 mns"/>
    <x v="0"/>
    <n v="8"/>
    <x v="7"/>
  </r>
  <r>
    <d v="2023-08-06T00:00:00"/>
    <x v="2"/>
    <x v="2"/>
    <n v="2"/>
    <x v="1"/>
    <n v="60000"/>
    <n v="31000"/>
    <n v="120000"/>
    <n v="62000"/>
    <n v="57594"/>
    <n v="405.99999999999994"/>
    <s v="30 mns"/>
    <x v="3"/>
    <n v="8"/>
    <x v="7"/>
  </r>
  <r>
    <d v="2023-08-06T00:00:00"/>
    <x v="2"/>
    <x v="2"/>
    <n v="2"/>
    <x v="2"/>
    <n v="89000"/>
    <n v="65000"/>
    <n v="178000"/>
    <n v="130000"/>
    <n v="47664"/>
    <n v="335.99999999999994"/>
    <s v="30 mns"/>
    <x v="1"/>
    <n v="8"/>
    <x v="7"/>
  </r>
  <r>
    <d v="2023-08-06T00:00:00"/>
    <x v="3"/>
    <x v="3"/>
    <n v="2"/>
    <x v="0"/>
    <n v="33000"/>
    <n v="18000"/>
    <n v="66000"/>
    <n v="36000"/>
    <n v="29790"/>
    <n v="209.99999999999997"/>
    <s v="35 mns"/>
    <x v="3"/>
    <n v="8"/>
    <x v="7"/>
  </r>
  <r>
    <d v="2023-08-06T00:00:00"/>
    <x v="3"/>
    <x v="3"/>
    <n v="2"/>
    <x v="1"/>
    <n v="60000"/>
    <n v="31000"/>
    <n v="120000"/>
    <n v="62000"/>
    <n v="57594"/>
    <n v="405.99999999999994"/>
    <s v="35 mns"/>
    <x v="1"/>
    <n v="8"/>
    <x v="7"/>
  </r>
  <r>
    <d v="2023-08-06T00:00:00"/>
    <x v="3"/>
    <x v="3"/>
    <n v="2"/>
    <x v="2"/>
    <n v="89000"/>
    <n v="65000"/>
    <n v="178000"/>
    <n v="130000"/>
    <n v="47664"/>
    <n v="335.99999999999994"/>
    <s v="35 mns"/>
    <x v="1"/>
    <n v="8"/>
    <x v="7"/>
  </r>
  <r>
    <d v="2023-08-07T00:00:00"/>
    <x v="0"/>
    <x v="0"/>
    <n v="1"/>
    <x v="0"/>
    <n v="33000"/>
    <n v="18000"/>
    <n v="33000"/>
    <n v="18000"/>
    <n v="14895"/>
    <n v="104.99999999999999"/>
    <s v="11 mns"/>
    <x v="3"/>
    <n v="8"/>
    <x v="7"/>
  </r>
  <r>
    <d v="2023-08-07T00:00:00"/>
    <x v="0"/>
    <x v="0"/>
    <n v="1"/>
    <x v="1"/>
    <n v="60000"/>
    <n v="31000"/>
    <n v="60000"/>
    <n v="31000"/>
    <n v="28797"/>
    <n v="202.99999999999997"/>
    <s v="11 mns"/>
    <x v="2"/>
    <n v="8"/>
    <x v="7"/>
  </r>
  <r>
    <d v="2023-08-07T00:00:00"/>
    <x v="0"/>
    <x v="0"/>
    <n v="1"/>
    <x v="2"/>
    <n v="89000"/>
    <n v="65000"/>
    <n v="89000"/>
    <n v="65000"/>
    <n v="23832"/>
    <n v="167.99999999999997"/>
    <s v="11 mns"/>
    <x v="0"/>
    <n v="8"/>
    <x v="7"/>
  </r>
  <r>
    <d v="2023-08-07T00:00:00"/>
    <x v="1"/>
    <x v="1"/>
    <n v="1"/>
    <x v="1"/>
    <n v="60000"/>
    <n v="31000"/>
    <n v="60000"/>
    <n v="31000"/>
    <n v="28797"/>
    <n v="202.99999999999997"/>
    <s v="58 mns"/>
    <x v="3"/>
    <n v="8"/>
    <x v="7"/>
  </r>
  <r>
    <d v="2023-08-07T00:00:00"/>
    <x v="2"/>
    <x v="2"/>
    <n v="1"/>
    <x v="0"/>
    <n v="33000"/>
    <n v="18000"/>
    <n v="33000"/>
    <n v="18000"/>
    <n v="14895"/>
    <n v="104.99999999999999"/>
    <s v="30 mns"/>
    <x v="3"/>
    <n v="8"/>
    <x v="7"/>
  </r>
  <r>
    <d v="2023-08-07T00:00:00"/>
    <x v="2"/>
    <x v="2"/>
    <n v="1"/>
    <x v="1"/>
    <n v="60000"/>
    <n v="31000"/>
    <n v="60000"/>
    <n v="31000"/>
    <n v="28797"/>
    <n v="202.99999999999997"/>
    <s v="30 mns"/>
    <x v="1"/>
    <n v="8"/>
    <x v="7"/>
  </r>
  <r>
    <d v="2023-08-07T00:00:00"/>
    <x v="2"/>
    <x v="2"/>
    <n v="1"/>
    <x v="2"/>
    <n v="89000"/>
    <n v="65000"/>
    <n v="89000"/>
    <n v="65000"/>
    <n v="23832"/>
    <n v="167.99999999999997"/>
    <s v="30 mns"/>
    <x v="3"/>
    <n v="8"/>
    <x v="7"/>
  </r>
  <r>
    <d v="2023-08-07T00:00:00"/>
    <x v="3"/>
    <x v="3"/>
    <n v="1"/>
    <x v="0"/>
    <n v="33000"/>
    <n v="18000"/>
    <n v="33000"/>
    <n v="18000"/>
    <n v="14895"/>
    <n v="104.99999999999999"/>
    <s v="35 mns"/>
    <x v="1"/>
    <n v="8"/>
    <x v="7"/>
  </r>
  <r>
    <d v="2023-08-07T00:00:00"/>
    <x v="3"/>
    <x v="3"/>
    <n v="1"/>
    <x v="1"/>
    <n v="60000"/>
    <n v="31000"/>
    <n v="60000"/>
    <n v="31000"/>
    <n v="28797"/>
    <n v="202.99999999999997"/>
    <s v="35 mns"/>
    <x v="3"/>
    <n v="8"/>
    <x v="7"/>
  </r>
  <r>
    <d v="2023-08-07T00:00:00"/>
    <x v="3"/>
    <x v="3"/>
    <n v="1"/>
    <x v="2"/>
    <n v="89000"/>
    <n v="65000"/>
    <n v="89000"/>
    <n v="65000"/>
    <n v="23832"/>
    <n v="167.99999999999997"/>
    <s v="35 mns"/>
    <x v="3"/>
    <n v="8"/>
    <x v="7"/>
  </r>
  <r>
    <d v="2023-08-08T00:00:00"/>
    <x v="0"/>
    <x v="0"/>
    <n v="1"/>
    <x v="0"/>
    <n v="33000"/>
    <n v="18000"/>
    <n v="33000"/>
    <n v="18000"/>
    <n v="14895"/>
    <n v="104.99999999999999"/>
    <s v="11 mns"/>
    <x v="1"/>
    <n v="8"/>
    <x v="7"/>
  </r>
  <r>
    <d v="2023-08-08T00:00:00"/>
    <x v="0"/>
    <x v="0"/>
    <n v="1"/>
    <x v="1"/>
    <n v="60000"/>
    <n v="31000"/>
    <n v="60000"/>
    <n v="31000"/>
    <n v="28797"/>
    <n v="202.99999999999997"/>
    <s v="11 mns"/>
    <x v="1"/>
    <n v="8"/>
    <x v="7"/>
  </r>
  <r>
    <d v="2023-08-08T00:00:00"/>
    <x v="0"/>
    <x v="0"/>
    <n v="1"/>
    <x v="2"/>
    <n v="89000"/>
    <n v="65000"/>
    <n v="89000"/>
    <n v="65000"/>
    <n v="23832"/>
    <n v="167.99999999999997"/>
    <s v="11 mns"/>
    <x v="1"/>
    <n v="8"/>
    <x v="7"/>
  </r>
  <r>
    <d v="2023-08-08T00:00:00"/>
    <x v="1"/>
    <x v="1"/>
    <n v="1"/>
    <x v="1"/>
    <n v="60000"/>
    <n v="31000"/>
    <n v="60000"/>
    <n v="31000"/>
    <n v="28797"/>
    <n v="202.99999999999997"/>
    <s v="58 mns"/>
    <x v="2"/>
    <n v="8"/>
    <x v="7"/>
  </r>
  <r>
    <d v="2023-08-08T00:00:00"/>
    <x v="2"/>
    <x v="2"/>
    <n v="1"/>
    <x v="0"/>
    <n v="33000"/>
    <n v="18000"/>
    <n v="33000"/>
    <n v="18000"/>
    <n v="14895"/>
    <n v="104.99999999999999"/>
    <s v="30 mns"/>
    <x v="0"/>
    <n v="8"/>
    <x v="7"/>
  </r>
  <r>
    <d v="2023-08-08T00:00:00"/>
    <x v="2"/>
    <x v="2"/>
    <n v="1"/>
    <x v="1"/>
    <n v="60000"/>
    <n v="31000"/>
    <n v="60000"/>
    <n v="31000"/>
    <n v="28797"/>
    <n v="202.99999999999997"/>
    <s v="30 mns"/>
    <x v="0"/>
    <n v="8"/>
    <x v="7"/>
  </r>
  <r>
    <d v="2023-08-08T00:00:00"/>
    <x v="2"/>
    <x v="2"/>
    <n v="1"/>
    <x v="2"/>
    <n v="89000"/>
    <n v="65000"/>
    <n v="89000"/>
    <n v="65000"/>
    <n v="23832"/>
    <n v="167.99999999999997"/>
    <s v="30 mns"/>
    <x v="0"/>
    <n v="8"/>
    <x v="7"/>
  </r>
  <r>
    <d v="2023-08-08T00:00:00"/>
    <x v="3"/>
    <x v="3"/>
    <n v="1"/>
    <x v="0"/>
    <n v="33000"/>
    <n v="18000"/>
    <n v="33000"/>
    <n v="18000"/>
    <n v="14895"/>
    <n v="104.99999999999999"/>
    <s v="35 mns"/>
    <x v="1"/>
    <n v="8"/>
    <x v="7"/>
  </r>
  <r>
    <d v="2023-08-08T00:00:00"/>
    <x v="3"/>
    <x v="3"/>
    <n v="1"/>
    <x v="1"/>
    <n v="60000"/>
    <n v="31000"/>
    <n v="60000"/>
    <n v="31000"/>
    <n v="28797"/>
    <n v="202.99999999999997"/>
    <s v="35 mns"/>
    <x v="3"/>
    <n v="8"/>
    <x v="7"/>
  </r>
  <r>
    <d v="2023-08-08T00:00:00"/>
    <x v="3"/>
    <x v="3"/>
    <n v="1"/>
    <x v="2"/>
    <n v="89000"/>
    <n v="65000"/>
    <n v="89000"/>
    <n v="65000"/>
    <n v="23832"/>
    <n v="167.99999999999997"/>
    <s v="35 mns"/>
    <x v="0"/>
    <n v="8"/>
    <x v="7"/>
  </r>
  <r>
    <d v="2023-08-09T00:00:00"/>
    <x v="0"/>
    <x v="0"/>
    <n v="1"/>
    <x v="0"/>
    <n v="33000"/>
    <n v="18000"/>
    <n v="33000"/>
    <n v="18000"/>
    <n v="14895"/>
    <n v="104.99999999999999"/>
    <s v="11 mns"/>
    <x v="3"/>
    <n v="8"/>
    <x v="7"/>
  </r>
  <r>
    <d v="2023-08-09T00:00:00"/>
    <x v="0"/>
    <x v="0"/>
    <n v="1"/>
    <x v="1"/>
    <n v="60000"/>
    <n v="31000"/>
    <n v="60000"/>
    <n v="31000"/>
    <n v="28797"/>
    <n v="202.99999999999997"/>
    <s v="11 mns"/>
    <x v="1"/>
    <n v="8"/>
    <x v="7"/>
  </r>
  <r>
    <d v="2023-08-09T00:00:00"/>
    <x v="0"/>
    <x v="0"/>
    <n v="1"/>
    <x v="2"/>
    <n v="89000"/>
    <n v="65000"/>
    <n v="89000"/>
    <n v="65000"/>
    <n v="23832"/>
    <n v="167.99999999999997"/>
    <s v="11 mns"/>
    <x v="0"/>
    <n v="8"/>
    <x v="7"/>
  </r>
  <r>
    <d v="2023-08-09T00:00:00"/>
    <x v="1"/>
    <x v="1"/>
    <n v="1"/>
    <x v="1"/>
    <n v="60000"/>
    <n v="31000"/>
    <n v="60000"/>
    <n v="31000"/>
    <n v="28797"/>
    <n v="202.99999999999997"/>
    <s v="58 mns"/>
    <x v="3"/>
    <n v="8"/>
    <x v="7"/>
  </r>
  <r>
    <d v="2023-08-09T00:00:00"/>
    <x v="2"/>
    <x v="2"/>
    <n v="1"/>
    <x v="0"/>
    <n v="33000"/>
    <n v="18000"/>
    <n v="33000"/>
    <n v="18000"/>
    <n v="14895"/>
    <n v="104.99999999999999"/>
    <s v="30 mns"/>
    <x v="0"/>
    <n v="8"/>
    <x v="7"/>
  </r>
  <r>
    <d v="2023-08-09T00:00:00"/>
    <x v="2"/>
    <x v="2"/>
    <n v="1"/>
    <x v="1"/>
    <n v="60000"/>
    <n v="31000"/>
    <n v="60000"/>
    <n v="31000"/>
    <n v="28797"/>
    <n v="202.99999999999997"/>
    <s v="30 mns"/>
    <x v="3"/>
    <n v="8"/>
    <x v="7"/>
  </r>
  <r>
    <d v="2023-08-09T00:00:00"/>
    <x v="2"/>
    <x v="2"/>
    <n v="1"/>
    <x v="2"/>
    <n v="89000"/>
    <n v="65000"/>
    <n v="89000"/>
    <n v="65000"/>
    <n v="23832"/>
    <n v="167.99999999999997"/>
    <s v="30 mns"/>
    <x v="3"/>
    <n v="8"/>
    <x v="7"/>
  </r>
  <r>
    <d v="2023-08-09T00:00:00"/>
    <x v="3"/>
    <x v="3"/>
    <n v="1"/>
    <x v="0"/>
    <n v="33000"/>
    <n v="18000"/>
    <n v="33000"/>
    <n v="18000"/>
    <n v="14895"/>
    <n v="104.99999999999999"/>
    <s v="35 mns"/>
    <x v="1"/>
    <n v="8"/>
    <x v="7"/>
  </r>
  <r>
    <d v="2023-08-09T00:00:00"/>
    <x v="3"/>
    <x v="3"/>
    <n v="1"/>
    <x v="1"/>
    <n v="60000"/>
    <n v="31000"/>
    <n v="60000"/>
    <n v="31000"/>
    <n v="28797"/>
    <n v="202.99999999999997"/>
    <s v="35 mns"/>
    <x v="0"/>
    <n v="8"/>
    <x v="7"/>
  </r>
  <r>
    <d v="2023-08-09T00:00:00"/>
    <x v="3"/>
    <x v="3"/>
    <n v="1"/>
    <x v="2"/>
    <n v="89000"/>
    <n v="65000"/>
    <n v="89000"/>
    <n v="65000"/>
    <n v="23832"/>
    <n v="167.99999999999997"/>
    <s v="35 mns"/>
    <x v="3"/>
    <n v="8"/>
    <x v="7"/>
  </r>
  <r>
    <d v="2023-08-10T00:00:00"/>
    <x v="0"/>
    <x v="0"/>
    <n v="1"/>
    <x v="0"/>
    <n v="33000"/>
    <n v="18000"/>
    <n v="33000"/>
    <n v="18000"/>
    <n v="14895"/>
    <n v="104.99999999999999"/>
    <s v="11 mns"/>
    <x v="0"/>
    <n v="8"/>
    <x v="7"/>
  </r>
  <r>
    <d v="2023-08-10T00:00:00"/>
    <x v="0"/>
    <x v="0"/>
    <n v="1"/>
    <x v="1"/>
    <n v="60000"/>
    <n v="31000"/>
    <n v="60000"/>
    <n v="31000"/>
    <n v="28797"/>
    <n v="202.99999999999997"/>
    <s v="11 mns"/>
    <x v="3"/>
    <n v="8"/>
    <x v="7"/>
  </r>
  <r>
    <d v="2023-08-10T00:00:00"/>
    <x v="0"/>
    <x v="0"/>
    <n v="1"/>
    <x v="2"/>
    <n v="89000"/>
    <n v="65000"/>
    <n v="89000"/>
    <n v="65000"/>
    <n v="23832"/>
    <n v="167.99999999999997"/>
    <s v="11 mns"/>
    <x v="2"/>
    <n v="8"/>
    <x v="7"/>
  </r>
  <r>
    <d v="2023-08-10T00:00:00"/>
    <x v="1"/>
    <x v="1"/>
    <n v="1"/>
    <x v="1"/>
    <n v="60000"/>
    <n v="31000"/>
    <n v="60000"/>
    <n v="31000"/>
    <n v="28797"/>
    <n v="202.99999999999997"/>
    <s v="58 mns"/>
    <x v="2"/>
    <n v="8"/>
    <x v="7"/>
  </r>
  <r>
    <d v="2023-08-10T00:00:00"/>
    <x v="2"/>
    <x v="2"/>
    <n v="1"/>
    <x v="0"/>
    <n v="33000"/>
    <n v="18000"/>
    <n v="33000"/>
    <n v="18000"/>
    <n v="14895"/>
    <n v="104.99999999999999"/>
    <s v="30 mns"/>
    <x v="0"/>
    <n v="8"/>
    <x v="7"/>
  </r>
  <r>
    <d v="2023-08-10T00:00:00"/>
    <x v="2"/>
    <x v="2"/>
    <n v="1"/>
    <x v="1"/>
    <n v="60000"/>
    <n v="31000"/>
    <n v="60000"/>
    <n v="31000"/>
    <n v="28797"/>
    <n v="202.99999999999997"/>
    <s v="30 mns"/>
    <x v="3"/>
    <n v="8"/>
    <x v="7"/>
  </r>
  <r>
    <d v="2023-08-10T00:00:00"/>
    <x v="2"/>
    <x v="2"/>
    <n v="1"/>
    <x v="2"/>
    <n v="89000"/>
    <n v="65000"/>
    <n v="89000"/>
    <n v="65000"/>
    <n v="23832"/>
    <n v="167.99999999999997"/>
    <s v="30 mns"/>
    <x v="1"/>
    <n v="8"/>
    <x v="7"/>
  </r>
  <r>
    <d v="2023-08-10T00:00:00"/>
    <x v="3"/>
    <x v="3"/>
    <n v="1"/>
    <x v="0"/>
    <n v="33000"/>
    <n v="18000"/>
    <n v="33000"/>
    <n v="18000"/>
    <n v="14895"/>
    <n v="104.99999999999999"/>
    <s v="35 mns"/>
    <x v="1"/>
    <n v="8"/>
    <x v="7"/>
  </r>
  <r>
    <d v="2023-08-10T00:00:00"/>
    <x v="3"/>
    <x v="3"/>
    <n v="1"/>
    <x v="1"/>
    <n v="60000"/>
    <n v="31000"/>
    <n v="60000"/>
    <n v="31000"/>
    <n v="28797"/>
    <n v="202.99999999999997"/>
    <s v="35 mns"/>
    <x v="3"/>
    <n v="8"/>
    <x v="7"/>
  </r>
  <r>
    <d v="2023-08-10T00:00:00"/>
    <x v="3"/>
    <x v="3"/>
    <n v="1"/>
    <x v="2"/>
    <n v="89000"/>
    <n v="65000"/>
    <n v="89000"/>
    <n v="65000"/>
    <n v="23832"/>
    <n v="167.99999999999997"/>
    <s v="35 mns"/>
    <x v="3"/>
    <n v="8"/>
    <x v="7"/>
  </r>
  <r>
    <d v="2023-08-11T00:00:00"/>
    <x v="0"/>
    <x v="0"/>
    <n v="1"/>
    <x v="0"/>
    <n v="33000"/>
    <n v="18000"/>
    <n v="33000"/>
    <n v="18000"/>
    <n v="14895"/>
    <n v="104.99999999999999"/>
    <s v="11 mns"/>
    <x v="0"/>
    <n v="8"/>
    <x v="7"/>
  </r>
  <r>
    <d v="2023-08-11T00:00:00"/>
    <x v="0"/>
    <x v="0"/>
    <n v="1"/>
    <x v="1"/>
    <n v="60000"/>
    <n v="31000"/>
    <n v="60000"/>
    <n v="31000"/>
    <n v="28797"/>
    <n v="202.99999999999997"/>
    <s v="11 mns"/>
    <x v="2"/>
    <n v="8"/>
    <x v="7"/>
  </r>
  <r>
    <d v="2023-08-11T00:00:00"/>
    <x v="0"/>
    <x v="0"/>
    <n v="1"/>
    <x v="2"/>
    <n v="89000"/>
    <n v="65000"/>
    <n v="89000"/>
    <n v="65000"/>
    <n v="23832"/>
    <n v="167.99999999999997"/>
    <s v="11 mns"/>
    <x v="3"/>
    <n v="8"/>
    <x v="7"/>
  </r>
  <r>
    <d v="2023-08-11T00:00:00"/>
    <x v="1"/>
    <x v="1"/>
    <n v="1"/>
    <x v="1"/>
    <n v="60000"/>
    <n v="31000"/>
    <n v="60000"/>
    <n v="31000"/>
    <n v="28797"/>
    <n v="202.99999999999997"/>
    <s v="58 mns"/>
    <x v="1"/>
    <n v="8"/>
    <x v="7"/>
  </r>
  <r>
    <d v="2023-08-11T00:00:00"/>
    <x v="2"/>
    <x v="2"/>
    <n v="1"/>
    <x v="0"/>
    <n v="33000"/>
    <n v="18000"/>
    <n v="33000"/>
    <n v="18000"/>
    <n v="14895"/>
    <n v="104.99999999999999"/>
    <s v="30 mns"/>
    <x v="3"/>
    <n v="8"/>
    <x v="7"/>
  </r>
  <r>
    <d v="2023-08-11T00:00:00"/>
    <x v="2"/>
    <x v="2"/>
    <n v="1"/>
    <x v="1"/>
    <n v="60000"/>
    <n v="31000"/>
    <n v="60000"/>
    <n v="31000"/>
    <n v="28797"/>
    <n v="202.99999999999997"/>
    <s v="30 mns"/>
    <x v="3"/>
    <n v="8"/>
    <x v="7"/>
  </r>
  <r>
    <d v="2023-08-11T00:00:00"/>
    <x v="2"/>
    <x v="2"/>
    <n v="1"/>
    <x v="2"/>
    <n v="89000"/>
    <n v="65000"/>
    <n v="89000"/>
    <n v="65000"/>
    <n v="23832"/>
    <n v="167.99999999999997"/>
    <s v="30 mns"/>
    <x v="1"/>
    <n v="8"/>
    <x v="7"/>
  </r>
  <r>
    <d v="2023-08-11T00:00:00"/>
    <x v="3"/>
    <x v="3"/>
    <n v="1"/>
    <x v="0"/>
    <n v="33000"/>
    <n v="18000"/>
    <n v="33000"/>
    <n v="18000"/>
    <n v="14895"/>
    <n v="104.99999999999999"/>
    <s v="35 mns"/>
    <x v="0"/>
    <n v="8"/>
    <x v="7"/>
  </r>
  <r>
    <d v="2023-08-11T00:00:00"/>
    <x v="3"/>
    <x v="3"/>
    <n v="1"/>
    <x v="1"/>
    <n v="60000"/>
    <n v="31000"/>
    <n v="60000"/>
    <n v="31000"/>
    <n v="28797"/>
    <n v="202.99999999999997"/>
    <s v="35 mns"/>
    <x v="1"/>
    <n v="8"/>
    <x v="7"/>
  </r>
  <r>
    <d v="2023-08-11T00:00:00"/>
    <x v="3"/>
    <x v="3"/>
    <n v="1"/>
    <x v="2"/>
    <n v="89000"/>
    <n v="65000"/>
    <n v="89000"/>
    <n v="65000"/>
    <n v="23832"/>
    <n v="167.99999999999997"/>
    <s v="35 mns"/>
    <x v="2"/>
    <n v="8"/>
    <x v="7"/>
  </r>
  <r>
    <d v="2023-08-12T00:00:00"/>
    <x v="0"/>
    <x v="0"/>
    <n v="2"/>
    <x v="0"/>
    <n v="33000"/>
    <n v="18000"/>
    <n v="66000"/>
    <n v="36000"/>
    <n v="29790"/>
    <n v="209.99999999999997"/>
    <s v="11 mns"/>
    <x v="3"/>
    <n v="8"/>
    <x v="7"/>
  </r>
  <r>
    <d v="2023-08-12T00:00:00"/>
    <x v="0"/>
    <x v="0"/>
    <n v="2"/>
    <x v="1"/>
    <n v="60000"/>
    <n v="31000"/>
    <n v="120000"/>
    <n v="62000"/>
    <n v="57594"/>
    <n v="405.99999999999994"/>
    <s v="11 mns"/>
    <x v="2"/>
    <n v="8"/>
    <x v="7"/>
  </r>
  <r>
    <d v="2023-08-12T00:00:00"/>
    <x v="0"/>
    <x v="0"/>
    <n v="2"/>
    <x v="2"/>
    <n v="89000"/>
    <n v="65000"/>
    <n v="178000"/>
    <n v="130000"/>
    <n v="47664"/>
    <n v="335.99999999999994"/>
    <s v="11 mns"/>
    <x v="1"/>
    <n v="8"/>
    <x v="7"/>
  </r>
  <r>
    <d v="2023-08-12T00:00:00"/>
    <x v="1"/>
    <x v="1"/>
    <n v="2"/>
    <x v="1"/>
    <n v="60000"/>
    <n v="31000"/>
    <n v="120000"/>
    <n v="62000"/>
    <n v="57594"/>
    <n v="405.99999999999994"/>
    <s v="58 mns"/>
    <x v="3"/>
    <n v="8"/>
    <x v="7"/>
  </r>
  <r>
    <d v="2023-08-12T00:00:00"/>
    <x v="2"/>
    <x v="2"/>
    <n v="2"/>
    <x v="0"/>
    <n v="33000"/>
    <n v="18000"/>
    <n v="66000"/>
    <n v="36000"/>
    <n v="29790"/>
    <n v="209.99999999999997"/>
    <s v="30 mns"/>
    <x v="3"/>
    <n v="8"/>
    <x v="7"/>
  </r>
  <r>
    <d v="2023-08-12T00:00:00"/>
    <x v="2"/>
    <x v="2"/>
    <n v="2"/>
    <x v="1"/>
    <n v="60000"/>
    <n v="31000"/>
    <n v="120000"/>
    <n v="62000"/>
    <n v="57594"/>
    <n v="405.99999999999994"/>
    <s v="30 mns"/>
    <x v="3"/>
    <n v="8"/>
    <x v="7"/>
  </r>
  <r>
    <d v="2023-08-12T00:00:00"/>
    <x v="2"/>
    <x v="2"/>
    <n v="2"/>
    <x v="2"/>
    <n v="89000"/>
    <n v="65000"/>
    <n v="178000"/>
    <n v="130000"/>
    <n v="47664"/>
    <n v="335.99999999999994"/>
    <s v="30 mns"/>
    <x v="3"/>
    <n v="8"/>
    <x v="7"/>
  </r>
  <r>
    <d v="2023-08-12T00:00:00"/>
    <x v="3"/>
    <x v="3"/>
    <n v="2"/>
    <x v="0"/>
    <n v="33000"/>
    <n v="18000"/>
    <n v="66000"/>
    <n v="36000"/>
    <n v="29790"/>
    <n v="209.99999999999997"/>
    <s v="35 mns"/>
    <x v="3"/>
    <n v="8"/>
    <x v="7"/>
  </r>
  <r>
    <d v="2023-08-12T00:00:00"/>
    <x v="3"/>
    <x v="3"/>
    <n v="2"/>
    <x v="1"/>
    <n v="60000"/>
    <n v="31000"/>
    <n v="120000"/>
    <n v="62000"/>
    <n v="57594"/>
    <n v="405.99999999999994"/>
    <s v="35 mns"/>
    <x v="0"/>
    <n v="8"/>
    <x v="7"/>
  </r>
  <r>
    <d v="2023-08-12T00:00:00"/>
    <x v="3"/>
    <x v="3"/>
    <n v="2"/>
    <x v="2"/>
    <n v="89000"/>
    <n v="65000"/>
    <n v="178000"/>
    <n v="130000"/>
    <n v="47664"/>
    <n v="335.99999999999994"/>
    <s v="35 mns"/>
    <x v="0"/>
    <n v="8"/>
    <x v="7"/>
  </r>
  <r>
    <d v="2023-08-13T00:00:00"/>
    <x v="0"/>
    <x v="0"/>
    <n v="1"/>
    <x v="0"/>
    <n v="33000"/>
    <n v="18000"/>
    <n v="33000"/>
    <n v="18000"/>
    <n v="14895"/>
    <n v="104.99999999999999"/>
    <s v="11 mns"/>
    <x v="3"/>
    <n v="8"/>
    <x v="7"/>
  </r>
  <r>
    <d v="2023-08-13T00:00:00"/>
    <x v="0"/>
    <x v="0"/>
    <n v="1"/>
    <x v="1"/>
    <n v="60000"/>
    <n v="31000"/>
    <n v="60000"/>
    <n v="31000"/>
    <n v="28797"/>
    <n v="202.99999999999997"/>
    <s v="11 mns"/>
    <x v="0"/>
    <n v="8"/>
    <x v="7"/>
  </r>
  <r>
    <d v="2023-08-13T00:00:00"/>
    <x v="0"/>
    <x v="0"/>
    <n v="1"/>
    <x v="2"/>
    <n v="89000"/>
    <n v="65000"/>
    <n v="89000"/>
    <n v="65000"/>
    <n v="23832"/>
    <n v="167.99999999999997"/>
    <s v="11 mns"/>
    <x v="1"/>
    <n v="8"/>
    <x v="7"/>
  </r>
  <r>
    <d v="2023-08-13T00:00:00"/>
    <x v="1"/>
    <x v="1"/>
    <n v="1"/>
    <x v="1"/>
    <n v="60000"/>
    <n v="31000"/>
    <n v="60000"/>
    <n v="31000"/>
    <n v="28797"/>
    <n v="202.99999999999997"/>
    <s v="58 mns"/>
    <x v="3"/>
    <n v="8"/>
    <x v="7"/>
  </r>
  <r>
    <d v="2023-08-13T00:00:00"/>
    <x v="2"/>
    <x v="2"/>
    <n v="1"/>
    <x v="0"/>
    <n v="33000"/>
    <n v="18000"/>
    <n v="33000"/>
    <n v="18000"/>
    <n v="14895"/>
    <n v="104.99999999999999"/>
    <s v="30 mns"/>
    <x v="0"/>
    <n v="8"/>
    <x v="7"/>
  </r>
  <r>
    <d v="2023-08-13T00:00:00"/>
    <x v="2"/>
    <x v="2"/>
    <n v="1"/>
    <x v="1"/>
    <n v="60000"/>
    <n v="31000"/>
    <n v="60000"/>
    <n v="31000"/>
    <n v="28797"/>
    <n v="202.99999999999997"/>
    <s v="30 mns"/>
    <x v="3"/>
    <n v="8"/>
    <x v="7"/>
  </r>
  <r>
    <d v="2023-08-13T00:00:00"/>
    <x v="2"/>
    <x v="2"/>
    <n v="1"/>
    <x v="2"/>
    <n v="89000"/>
    <n v="65000"/>
    <n v="89000"/>
    <n v="65000"/>
    <n v="23832"/>
    <n v="167.99999999999997"/>
    <s v="30 mns"/>
    <x v="3"/>
    <n v="8"/>
    <x v="7"/>
  </r>
  <r>
    <d v="2023-08-13T00:00:00"/>
    <x v="3"/>
    <x v="3"/>
    <n v="1"/>
    <x v="0"/>
    <n v="33000"/>
    <n v="18000"/>
    <n v="33000"/>
    <n v="18000"/>
    <n v="14895"/>
    <n v="104.99999999999999"/>
    <s v="35 mns"/>
    <x v="1"/>
    <n v="8"/>
    <x v="7"/>
  </r>
  <r>
    <d v="2023-08-13T00:00:00"/>
    <x v="3"/>
    <x v="3"/>
    <n v="1"/>
    <x v="1"/>
    <n v="60000"/>
    <n v="31000"/>
    <n v="60000"/>
    <n v="31000"/>
    <n v="28797"/>
    <n v="202.99999999999997"/>
    <s v="35 mns"/>
    <x v="1"/>
    <n v="8"/>
    <x v="7"/>
  </r>
  <r>
    <d v="2023-08-13T00:00:00"/>
    <x v="3"/>
    <x v="3"/>
    <n v="1"/>
    <x v="2"/>
    <n v="89000"/>
    <n v="65000"/>
    <n v="89000"/>
    <n v="65000"/>
    <n v="23832"/>
    <n v="167.99999999999997"/>
    <s v="35 mns"/>
    <x v="1"/>
    <n v="8"/>
    <x v="7"/>
  </r>
  <r>
    <d v="2023-08-14T00:00:00"/>
    <x v="0"/>
    <x v="0"/>
    <n v="1"/>
    <x v="0"/>
    <n v="33000"/>
    <n v="18000"/>
    <n v="33000"/>
    <n v="18000"/>
    <n v="14895"/>
    <n v="104.99999999999999"/>
    <s v="11 mns"/>
    <x v="3"/>
    <n v="8"/>
    <x v="7"/>
  </r>
  <r>
    <d v="2023-08-14T00:00:00"/>
    <x v="0"/>
    <x v="0"/>
    <n v="1"/>
    <x v="1"/>
    <n v="60000"/>
    <n v="31000"/>
    <n v="60000"/>
    <n v="31000"/>
    <n v="28797"/>
    <n v="202.99999999999997"/>
    <s v="11 mns"/>
    <x v="2"/>
    <n v="8"/>
    <x v="7"/>
  </r>
  <r>
    <d v="2023-08-14T00:00:00"/>
    <x v="0"/>
    <x v="0"/>
    <n v="1"/>
    <x v="2"/>
    <n v="89000"/>
    <n v="65000"/>
    <n v="89000"/>
    <n v="65000"/>
    <n v="23832"/>
    <n v="167.99999999999997"/>
    <s v="11 mns"/>
    <x v="0"/>
    <n v="8"/>
    <x v="7"/>
  </r>
  <r>
    <d v="2023-08-14T00:00:00"/>
    <x v="1"/>
    <x v="1"/>
    <n v="1"/>
    <x v="1"/>
    <n v="60000"/>
    <n v="31000"/>
    <n v="60000"/>
    <n v="31000"/>
    <n v="28797"/>
    <n v="202.99999999999997"/>
    <s v="58 mns"/>
    <x v="2"/>
    <n v="8"/>
    <x v="7"/>
  </r>
  <r>
    <d v="2023-08-14T00:00:00"/>
    <x v="2"/>
    <x v="2"/>
    <n v="1"/>
    <x v="0"/>
    <n v="33000"/>
    <n v="18000"/>
    <n v="33000"/>
    <n v="18000"/>
    <n v="14895"/>
    <n v="104.99999999999999"/>
    <s v="30 mns"/>
    <x v="3"/>
    <n v="8"/>
    <x v="7"/>
  </r>
  <r>
    <d v="2023-08-14T00:00:00"/>
    <x v="2"/>
    <x v="2"/>
    <n v="1"/>
    <x v="1"/>
    <n v="60000"/>
    <n v="31000"/>
    <n v="60000"/>
    <n v="31000"/>
    <n v="28797"/>
    <n v="202.99999999999997"/>
    <s v="30 mns"/>
    <x v="3"/>
    <n v="8"/>
    <x v="7"/>
  </r>
  <r>
    <d v="2023-08-14T00:00:00"/>
    <x v="2"/>
    <x v="2"/>
    <n v="1"/>
    <x v="2"/>
    <n v="89000"/>
    <n v="65000"/>
    <n v="89000"/>
    <n v="65000"/>
    <n v="23832"/>
    <n v="167.99999999999997"/>
    <s v="30 mns"/>
    <x v="1"/>
    <n v="8"/>
    <x v="7"/>
  </r>
  <r>
    <d v="2023-08-14T00:00:00"/>
    <x v="3"/>
    <x v="3"/>
    <n v="1"/>
    <x v="0"/>
    <n v="33000"/>
    <n v="18000"/>
    <n v="33000"/>
    <n v="18000"/>
    <n v="14895"/>
    <n v="104.99999999999999"/>
    <s v="35 mns"/>
    <x v="1"/>
    <n v="8"/>
    <x v="7"/>
  </r>
  <r>
    <d v="2023-08-14T00:00:00"/>
    <x v="3"/>
    <x v="3"/>
    <n v="1"/>
    <x v="1"/>
    <n v="60000"/>
    <n v="31000"/>
    <n v="60000"/>
    <n v="31000"/>
    <n v="28797"/>
    <n v="202.99999999999997"/>
    <s v="35 mns"/>
    <x v="1"/>
    <n v="8"/>
    <x v="7"/>
  </r>
  <r>
    <d v="2023-08-14T00:00:00"/>
    <x v="3"/>
    <x v="3"/>
    <n v="1"/>
    <x v="2"/>
    <n v="89000"/>
    <n v="65000"/>
    <n v="89000"/>
    <n v="65000"/>
    <n v="23832"/>
    <n v="167.99999999999997"/>
    <s v="35 mns"/>
    <x v="1"/>
    <n v="8"/>
    <x v="7"/>
  </r>
  <r>
    <d v="2023-08-15T00:00:00"/>
    <x v="0"/>
    <x v="0"/>
    <n v="2"/>
    <x v="0"/>
    <n v="33000"/>
    <n v="18000"/>
    <n v="66000"/>
    <n v="36000"/>
    <n v="29790"/>
    <n v="209.99999999999997"/>
    <s v="11 mns"/>
    <x v="3"/>
    <n v="8"/>
    <x v="7"/>
  </r>
  <r>
    <d v="2023-08-15T00:00:00"/>
    <x v="0"/>
    <x v="0"/>
    <n v="2"/>
    <x v="1"/>
    <n v="60000"/>
    <n v="31000"/>
    <n v="120000"/>
    <n v="62000"/>
    <n v="57594"/>
    <n v="405.99999999999994"/>
    <s v="11 mns"/>
    <x v="3"/>
    <n v="8"/>
    <x v="7"/>
  </r>
  <r>
    <d v="2023-08-15T00:00:00"/>
    <x v="0"/>
    <x v="0"/>
    <n v="2"/>
    <x v="2"/>
    <n v="89000"/>
    <n v="65000"/>
    <n v="178000"/>
    <n v="130000"/>
    <n v="47664"/>
    <n v="335.99999999999994"/>
    <s v="11 mns"/>
    <x v="1"/>
    <n v="8"/>
    <x v="7"/>
  </r>
  <r>
    <d v="2023-08-15T00:00:00"/>
    <x v="1"/>
    <x v="1"/>
    <n v="2"/>
    <x v="1"/>
    <n v="60000"/>
    <n v="31000"/>
    <n v="120000"/>
    <n v="62000"/>
    <n v="57594"/>
    <n v="405.99999999999994"/>
    <s v="58 mns"/>
    <x v="3"/>
    <n v="8"/>
    <x v="7"/>
  </r>
  <r>
    <d v="2023-08-15T00:00:00"/>
    <x v="2"/>
    <x v="2"/>
    <n v="2"/>
    <x v="0"/>
    <n v="33000"/>
    <n v="18000"/>
    <n v="66000"/>
    <n v="36000"/>
    <n v="29790"/>
    <n v="209.99999999999997"/>
    <s v="30 mns"/>
    <x v="1"/>
    <n v="8"/>
    <x v="7"/>
  </r>
  <r>
    <d v="2023-08-15T00:00:00"/>
    <x v="2"/>
    <x v="2"/>
    <n v="2"/>
    <x v="1"/>
    <n v="60000"/>
    <n v="31000"/>
    <n v="120000"/>
    <n v="62000"/>
    <n v="57594"/>
    <n v="405.99999999999994"/>
    <s v="30 mns"/>
    <x v="3"/>
    <n v="8"/>
    <x v="7"/>
  </r>
  <r>
    <d v="2023-08-15T00:00:00"/>
    <x v="2"/>
    <x v="2"/>
    <n v="2"/>
    <x v="2"/>
    <n v="89000"/>
    <n v="65000"/>
    <n v="178000"/>
    <n v="130000"/>
    <n v="47664"/>
    <n v="335.99999999999994"/>
    <s v="30 mns"/>
    <x v="0"/>
    <n v="8"/>
    <x v="7"/>
  </r>
  <r>
    <d v="2023-08-15T00:00:00"/>
    <x v="3"/>
    <x v="3"/>
    <n v="2"/>
    <x v="0"/>
    <n v="33000"/>
    <n v="18000"/>
    <n v="66000"/>
    <n v="36000"/>
    <n v="29790"/>
    <n v="209.99999999999997"/>
    <s v="35 mns"/>
    <x v="2"/>
    <n v="8"/>
    <x v="7"/>
  </r>
  <r>
    <d v="2023-08-15T00:00:00"/>
    <x v="3"/>
    <x v="3"/>
    <n v="2"/>
    <x v="1"/>
    <n v="60000"/>
    <n v="31000"/>
    <n v="120000"/>
    <n v="62000"/>
    <n v="57594"/>
    <n v="405.99999999999994"/>
    <s v="35 mns"/>
    <x v="3"/>
    <n v="8"/>
    <x v="7"/>
  </r>
  <r>
    <d v="2023-08-15T00:00:00"/>
    <x v="3"/>
    <x v="3"/>
    <n v="2"/>
    <x v="2"/>
    <n v="89000"/>
    <n v="65000"/>
    <n v="178000"/>
    <n v="130000"/>
    <n v="47664"/>
    <n v="335.99999999999994"/>
    <s v="35 mns"/>
    <x v="1"/>
    <n v="8"/>
    <x v="7"/>
  </r>
  <r>
    <d v="2023-08-16T00:00:00"/>
    <x v="0"/>
    <x v="0"/>
    <n v="2"/>
    <x v="0"/>
    <n v="33000"/>
    <n v="18000"/>
    <n v="66000"/>
    <n v="36000"/>
    <n v="29790"/>
    <n v="209.99999999999997"/>
    <s v="11 mns"/>
    <x v="3"/>
    <n v="8"/>
    <x v="7"/>
  </r>
  <r>
    <d v="2023-08-16T00:00:00"/>
    <x v="0"/>
    <x v="0"/>
    <n v="2"/>
    <x v="1"/>
    <n v="60000"/>
    <n v="31000"/>
    <n v="120000"/>
    <n v="62000"/>
    <n v="57594"/>
    <n v="405.99999999999994"/>
    <s v="11 mns"/>
    <x v="2"/>
    <n v="8"/>
    <x v="7"/>
  </r>
  <r>
    <d v="2023-08-16T00:00:00"/>
    <x v="0"/>
    <x v="0"/>
    <n v="2"/>
    <x v="2"/>
    <n v="89000"/>
    <n v="65000"/>
    <n v="178000"/>
    <n v="130000"/>
    <n v="47664"/>
    <n v="335.99999999999994"/>
    <s v="11 mns"/>
    <x v="2"/>
    <n v="8"/>
    <x v="7"/>
  </r>
  <r>
    <d v="2023-08-16T00:00:00"/>
    <x v="1"/>
    <x v="1"/>
    <n v="2"/>
    <x v="1"/>
    <n v="60000"/>
    <n v="31000"/>
    <n v="120000"/>
    <n v="62000"/>
    <n v="57594"/>
    <n v="405.99999999999994"/>
    <s v="58 mns"/>
    <x v="0"/>
    <n v="8"/>
    <x v="7"/>
  </r>
  <r>
    <d v="2023-08-16T00:00:00"/>
    <x v="2"/>
    <x v="2"/>
    <n v="2"/>
    <x v="0"/>
    <n v="33000"/>
    <n v="18000"/>
    <n v="66000"/>
    <n v="36000"/>
    <n v="29790"/>
    <n v="209.99999999999997"/>
    <s v="30 mns"/>
    <x v="1"/>
    <n v="8"/>
    <x v="7"/>
  </r>
  <r>
    <d v="2023-08-16T00:00:00"/>
    <x v="2"/>
    <x v="2"/>
    <n v="2"/>
    <x v="1"/>
    <n v="60000"/>
    <n v="31000"/>
    <n v="120000"/>
    <n v="62000"/>
    <n v="57594"/>
    <n v="405.99999999999994"/>
    <s v="30 mns"/>
    <x v="0"/>
    <n v="8"/>
    <x v="7"/>
  </r>
  <r>
    <d v="2023-08-16T00:00:00"/>
    <x v="2"/>
    <x v="2"/>
    <n v="2"/>
    <x v="2"/>
    <n v="89000"/>
    <n v="65000"/>
    <n v="178000"/>
    <n v="130000"/>
    <n v="47664"/>
    <n v="335.99999999999994"/>
    <s v="30 mns"/>
    <x v="2"/>
    <n v="8"/>
    <x v="7"/>
  </r>
  <r>
    <d v="2023-08-16T00:00:00"/>
    <x v="3"/>
    <x v="3"/>
    <n v="2"/>
    <x v="0"/>
    <n v="33000"/>
    <n v="18000"/>
    <n v="66000"/>
    <n v="36000"/>
    <n v="29790"/>
    <n v="209.99999999999997"/>
    <s v="35 mns"/>
    <x v="1"/>
    <n v="8"/>
    <x v="7"/>
  </r>
  <r>
    <d v="2023-08-16T00:00:00"/>
    <x v="3"/>
    <x v="3"/>
    <n v="2"/>
    <x v="1"/>
    <n v="60000"/>
    <n v="31000"/>
    <n v="120000"/>
    <n v="62000"/>
    <n v="57594"/>
    <n v="405.99999999999994"/>
    <s v="35 mns"/>
    <x v="3"/>
    <n v="8"/>
    <x v="7"/>
  </r>
  <r>
    <d v="2023-08-16T00:00:00"/>
    <x v="3"/>
    <x v="3"/>
    <n v="2"/>
    <x v="2"/>
    <n v="89000"/>
    <n v="65000"/>
    <n v="178000"/>
    <n v="130000"/>
    <n v="47664"/>
    <n v="335.99999999999994"/>
    <s v="35 mns"/>
    <x v="3"/>
    <n v="8"/>
    <x v="7"/>
  </r>
  <r>
    <d v="2023-08-17T00:00:00"/>
    <x v="0"/>
    <x v="0"/>
    <n v="2"/>
    <x v="0"/>
    <n v="33000"/>
    <n v="18000"/>
    <n v="66000"/>
    <n v="36000"/>
    <n v="29790"/>
    <n v="209.99999999999997"/>
    <s v="11 mns"/>
    <x v="1"/>
    <n v="8"/>
    <x v="7"/>
  </r>
  <r>
    <d v="2023-08-17T00:00:00"/>
    <x v="0"/>
    <x v="0"/>
    <n v="2"/>
    <x v="1"/>
    <n v="60000"/>
    <n v="31000"/>
    <n v="120000"/>
    <n v="62000"/>
    <n v="57594"/>
    <n v="405.99999999999994"/>
    <s v="11 mns"/>
    <x v="2"/>
    <n v="8"/>
    <x v="7"/>
  </r>
  <r>
    <d v="2023-08-17T00:00:00"/>
    <x v="0"/>
    <x v="0"/>
    <n v="2"/>
    <x v="2"/>
    <n v="89000"/>
    <n v="65000"/>
    <n v="178000"/>
    <n v="130000"/>
    <n v="47664"/>
    <n v="335.99999999999994"/>
    <s v="11 mns"/>
    <x v="3"/>
    <n v="8"/>
    <x v="7"/>
  </r>
  <r>
    <d v="2023-08-17T00:00:00"/>
    <x v="1"/>
    <x v="1"/>
    <n v="2"/>
    <x v="1"/>
    <n v="60000"/>
    <n v="31000"/>
    <n v="120000"/>
    <n v="62000"/>
    <n v="57594"/>
    <n v="405.99999999999994"/>
    <s v="58 mns"/>
    <x v="2"/>
    <n v="8"/>
    <x v="7"/>
  </r>
  <r>
    <d v="2023-08-17T00:00:00"/>
    <x v="2"/>
    <x v="2"/>
    <n v="2"/>
    <x v="0"/>
    <n v="33000"/>
    <n v="18000"/>
    <n v="66000"/>
    <n v="36000"/>
    <n v="29790"/>
    <n v="209.99999999999997"/>
    <s v="30 mns"/>
    <x v="3"/>
    <n v="8"/>
    <x v="7"/>
  </r>
  <r>
    <d v="2023-08-17T00:00:00"/>
    <x v="2"/>
    <x v="2"/>
    <n v="2"/>
    <x v="1"/>
    <n v="60000"/>
    <n v="31000"/>
    <n v="120000"/>
    <n v="62000"/>
    <n v="57594"/>
    <n v="405.99999999999994"/>
    <s v="30 mns"/>
    <x v="0"/>
    <n v="8"/>
    <x v="7"/>
  </r>
  <r>
    <d v="2023-08-17T00:00:00"/>
    <x v="2"/>
    <x v="2"/>
    <n v="2"/>
    <x v="2"/>
    <n v="89000"/>
    <n v="65000"/>
    <n v="178000"/>
    <n v="130000"/>
    <n v="47664"/>
    <n v="335.99999999999994"/>
    <s v="30 mns"/>
    <x v="0"/>
    <n v="8"/>
    <x v="7"/>
  </r>
  <r>
    <d v="2023-08-17T00:00:00"/>
    <x v="3"/>
    <x v="3"/>
    <n v="2"/>
    <x v="0"/>
    <n v="33000"/>
    <n v="18000"/>
    <n v="66000"/>
    <n v="36000"/>
    <n v="29790"/>
    <n v="209.99999999999997"/>
    <s v="35 mns"/>
    <x v="3"/>
    <n v="8"/>
    <x v="7"/>
  </r>
  <r>
    <d v="2023-08-17T00:00:00"/>
    <x v="3"/>
    <x v="3"/>
    <n v="2"/>
    <x v="1"/>
    <n v="60000"/>
    <n v="31000"/>
    <n v="120000"/>
    <n v="62000"/>
    <n v="57594"/>
    <n v="405.99999999999994"/>
    <s v="35 mns"/>
    <x v="1"/>
    <n v="8"/>
    <x v="7"/>
  </r>
  <r>
    <d v="2023-08-17T00:00:00"/>
    <x v="3"/>
    <x v="3"/>
    <n v="2"/>
    <x v="2"/>
    <n v="89000"/>
    <n v="65000"/>
    <n v="178000"/>
    <n v="130000"/>
    <n v="47664"/>
    <n v="335.99999999999994"/>
    <s v="35 mns"/>
    <x v="1"/>
    <n v="8"/>
    <x v="7"/>
  </r>
  <r>
    <d v="2023-08-18T00:00:00"/>
    <x v="0"/>
    <x v="0"/>
    <n v="1"/>
    <x v="0"/>
    <n v="33000"/>
    <n v="18000"/>
    <n v="33000"/>
    <n v="18000"/>
    <n v="14895"/>
    <n v="104.99999999999999"/>
    <s v="11 mns"/>
    <x v="3"/>
    <n v="8"/>
    <x v="7"/>
  </r>
  <r>
    <d v="2023-08-18T00:00:00"/>
    <x v="0"/>
    <x v="0"/>
    <n v="1"/>
    <x v="1"/>
    <n v="60000"/>
    <n v="31000"/>
    <n v="60000"/>
    <n v="31000"/>
    <n v="28797"/>
    <n v="202.99999999999997"/>
    <s v="11 mns"/>
    <x v="3"/>
    <n v="8"/>
    <x v="7"/>
  </r>
  <r>
    <d v="2023-08-18T00:00:00"/>
    <x v="0"/>
    <x v="0"/>
    <n v="1"/>
    <x v="2"/>
    <n v="89000"/>
    <n v="65000"/>
    <n v="89000"/>
    <n v="65000"/>
    <n v="23832"/>
    <n v="167.99999999999997"/>
    <s v="11 mns"/>
    <x v="3"/>
    <n v="8"/>
    <x v="7"/>
  </r>
  <r>
    <d v="2023-08-18T00:00:00"/>
    <x v="1"/>
    <x v="1"/>
    <n v="1"/>
    <x v="1"/>
    <n v="60000"/>
    <n v="31000"/>
    <n v="60000"/>
    <n v="31000"/>
    <n v="28797"/>
    <n v="202.99999999999997"/>
    <s v="58 mns"/>
    <x v="2"/>
    <n v="8"/>
    <x v="7"/>
  </r>
  <r>
    <d v="2023-08-18T00:00:00"/>
    <x v="2"/>
    <x v="2"/>
    <n v="1"/>
    <x v="0"/>
    <n v="33000"/>
    <n v="18000"/>
    <n v="33000"/>
    <n v="18000"/>
    <n v="14895"/>
    <n v="104.99999999999999"/>
    <s v="30 mns"/>
    <x v="3"/>
    <n v="8"/>
    <x v="7"/>
  </r>
  <r>
    <d v="2023-08-18T00:00:00"/>
    <x v="2"/>
    <x v="2"/>
    <n v="1"/>
    <x v="2"/>
    <n v="89000"/>
    <n v="65000"/>
    <n v="89000"/>
    <n v="65000"/>
    <n v="23832"/>
    <n v="167.99999999999997"/>
    <s v="30 mns"/>
    <x v="2"/>
    <n v="8"/>
    <x v="7"/>
  </r>
  <r>
    <d v="2023-08-18T00:00:00"/>
    <x v="3"/>
    <x v="3"/>
    <n v="1"/>
    <x v="0"/>
    <n v="33000"/>
    <n v="18000"/>
    <n v="33000"/>
    <n v="18000"/>
    <n v="14895"/>
    <n v="104.99999999999999"/>
    <s v="35 mns"/>
    <x v="0"/>
    <n v="8"/>
    <x v="7"/>
  </r>
  <r>
    <d v="2023-08-18T00:00:00"/>
    <x v="3"/>
    <x v="3"/>
    <n v="1"/>
    <x v="1"/>
    <n v="60000"/>
    <n v="31000"/>
    <n v="60000"/>
    <n v="31000"/>
    <n v="28797"/>
    <n v="202.99999999999997"/>
    <s v="35 mns"/>
    <x v="1"/>
    <n v="8"/>
    <x v="7"/>
  </r>
  <r>
    <d v="2023-08-18T00:00:00"/>
    <x v="3"/>
    <x v="3"/>
    <n v="1"/>
    <x v="2"/>
    <n v="89000"/>
    <n v="65000"/>
    <n v="89000"/>
    <n v="65000"/>
    <n v="23832"/>
    <n v="167.99999999999997"/>
    <s v="35 mns"/>
    <x v="3"/>
    <n v="8"/>
    <x v="7"/>
  </r>
  <r>
    <d v="2023-08-19T00:00:00"/>
    <x v="0"/>
    <x v="0"/>
    <n v="2"/>
    <x v="0"/>
    <n v="33000"/>
    <n v="18000"/>
    <n v="66000"/>
    <n v="36000"/>
    <n v="29790"/>
    <n v="209.99999999999997"/>
    <s v="11 mns"/>
    <x v="0"/>
    <n v="8"/>
    <x v="7"/>
  </r>
  <r>
    <d v="2023-08-19T00:00:00"/>
    <x v="0"/>
    <x v="0"/>
    <n v="2"/>
    <x v="1"/>
    <n v="60000"/>
    <n v="31000"/>
    <n v="120000"/>
    <n v="62000"/>
    <n v="57594"/>
    <n v="405.99999999999994"/>
    <s v="11 mns"/>
    <x v="3"/>
    <n v="8"/>
    <x v="7"/>
  </r>
  <r>
    <d v="2023-08-19T00:00:00"/>
    <x v="0"/>
    <x v="0"/>
    <n v="2"/>
    <x v="2"/>
    <n v="89000"/>
    <n v="65000"/>
    <n v="178000"/>
    <n v="130000"/>
    <n v="47664"/>
    <n v="335.99999999999994"/>
    <s v="11 mns"/>
    <x v="1"/>
    <n v="8"/>
    <x v="7"/>
  </r>
  <r>
    <d v="2023-08-19T00:00:00"/>
    <x v="1"/>
    <x v="1"/>
    <n v="2"/>
    <x v="1"/>
    <n v="60000"/>
    <n v="31000"/>
    <n v="120000"/>
    <n v="62000"/>
    <n v="57594"/>
    <n v="405.99999999999994"/>
    <s v="58 mns"/>
    <x v="1"/>
    <n v="8"/>
    <x v="7"/>
  </r>
  <r>
    <d v="2023-08-19T00:00:00"/>
    <x v="2"/>
    <x v="2"/>
    <n v="2"/>
    <x v="0"/>
    <n v="33000"/>
    <n v="18000"/>
    <n v="66000"/>
    <n v="36000"/>
    <n v="29790"/>
    <n v="209.99999999999997"/>
    <s v="30 mns"/>
    <x v="0"/>
    <n v="8"/>
    <x v="7"/>
  </r>
  <r>
    <d v="2023-08-19T00:00:00"/>
    <x v="2"/>
    <x v="2"/>
    <n v="2"/>
    <x v="2"/>
    <n v="89000"/>
    <n v="65000"/>
    <n v="178000"/>
    <n v="130000"/>
    <n v="47664"/>
    <n v="335.99999999999994"/>
    <s v="30 mns"/>
    <x v="3"/>
    <n v="8"/>
    <x v="7"/>
  </r>
  <r>
    <d v="2023-08-19T00:00:00"/>
    <x v="3"/>
    <x v="3"/>
    <n v="2"/>
    <x v="0"/>
    <n v="33000"/>
    <n v="18000"/>
    <n v="66000"/>
    <n v="36000"/>
    <n v="29790"/>
    <n v="209.99999999999997"/>
    <s v="35 mns"/>
    <x v="1"/>
    <n v="8"/>
    <x v="7"/>
  </r>
  <r>
    <d v="2023-08-19T00:00:00"/>
    <x v="3"/>
    <x v="3"/>
    <n v="2"/>
    <x v="1"/>
    <n v="60000"/>
    <n v="31000"/>
    <n v="120000"/>
    <n v="62000"/>
    <n v="57594"/>
    <n v="405.99999999999994"/>
    <s v="35 mns"/>
    <x v="1"/>
    <n v="8"/>
    <x v="7"/>
  </r>
  <r>
    <d v="2023-08-19T00:00:00"/>
    <x v="3"/>
    <x v="3"/>
    <n v="2"/>
    <x v="2"/>
    <n v="89000"/>
    <n v="65000"/>
    <n v="178000"/>
    <n v="130000"/>
    <n v="47664"/>
    <n v="335.99999999999994"/>
    <s v="35 mns"/>
    <x v="2"/>
    <n v="8"/>
    <x v="7"/>
  </r>
  <r>
    <d v="2023-08-20T00:00:00"/>
    <x v="0"/>
    <x v="0"/>
    <n v="2"/>
    <x v="0"/>
    <n v="33000"/>
    <n v="18000"/>
    <n v="66000"/>
    <n v="36000"/>
    <n v="29790"/>
    <n v="209.99999999999997"/>
    <s v="11 mns"/>
    <x v="3"/>
    <n v="8"/>
    <x v="7"/>
  </r>
  <r>
    <d v="2023-08-20T00:00:00"/>
    <x v="0"/>
    <x v="0"/>
    <n v="2"/>
    <x v="1"/>
    <n v="60000"/>
    <n v="31000"/>
    <n v="120000"/>
    <n v="62000"/>
    <n v="57594"/>
    <n v="405.99999999999994"/>
    <s v="11 mns"/>
    <x v="3"/>
    <n v="8"/>
    <x v="7"/>
  </r>
  <r>
    <d v="2023-08-20T00:00:00"/>
    <x v="0"/>
    <x v="0"/>
    <n v="2"/>
    <x v="2"/>
    <n v="89000"/>
    <n v="65000"/>
    <n v="178000"/>
    <n v="130000"/>
    <n v="47664"/>
    <n v="335.99999999999994"/>
    <s v="11 mns"/>
    <x v="0"/>
    <n v="8"/>
    <x v="7"/>
  </r>
  <r>
    <d v="2023-08-20T00:00:00"/>
    <x v="1"/>
    <x v="1"/>
    <n v="2"/>
    <x v="1"/>
    <n v="60000"/>
    <n v="31000"/>
    <n v="120000"/>
    <n v="62000"/>
    <n v="57594"/>
    <n v="405.99999999999994"/>
    <s v="58 mns"/>
    <x v="3"/>
    <n v="8"/>
    <x v="7"/>
  </r>
  <r>
    <d v="2023-08-20T00:00:00"/>
    <x v="2"/>
    <x v="2"/>
    <n v="2"/>
    <x v="0"/>
    <n v="33000"/>
    <n v="18000"/>
    <n v="66000"/>
    <n v="36000"/>
    <n v="29790"/>
    <n v="209.99999999999997"/>
    <s v="30 mns"/>
    <x v="2"/>
    <n v="8"/>
    <x v="7"/>
  </r>
  <r>
    <d v="2023-08-20T00:00:00"/>
    <x v="2"/>
    <x v="2"/>
    <n v="2"/>
    <x v="2"/>
    <n v="89000"/>
    <n v="65000"/>
    <n v="178000"/>
    <n v="130000"/>
    <n v="47664"/>
    <n v="335.99999999999994"/>
    <s v="30 mns"/>
    <x v="3"/>
    <n v="8"/>
    <x v="7"/>
  </r>
  <r>
    <d v="2023-08-20T00:00:00"/>
    <x v="3"/>
    <x v="3"/>
    <n v="2"/>
    <x v="0"/>
    <n v="33000"/>
    <n v="18000"/>
    <n v="66000"/>
    <n v="36000"/>
    <n v="29790"/>
    <n v="209.99999999999997"/>
    <s v="35 mns"/>
    <x v="3"/>
    <n v="8"/>
    <x v="7"/>
  </r>
  <r>
    <d v="2023-08-20T00:00:00"/>
    <x v="3"/>
    <x v="3"/>
    <n v="2"/>
    <x v="1"/>
    <n v="60000"/>
    <n v="31000"/>
    <n v="120000"/>
    <n v="62000"/>
    <n v="57594"/>
    <n v="405.99999999999994"/>
    <s v="35 mns"/>
    <x v="2"/>
    <n v="8"/>
    <x v="7"/>
  </r>
  <r>
    <d v="2023-08-20T00:00:00"/>
    <x v="3"/>
    <x v="3"/>
    <n v="2"/>
    <x v="2"/>
    <n v="89000"/>
    <n v="65000"/>
    <n v="178000"/>
    <n v="130000"/>
    <n v="47664"/>
    <n v="335.99999999999994"/>
    <s v="35 mns"/>
    <x v="0"/>
    <n v="8"/>
    <x v="7"/>
  </r>
  <r>
    <d v="2023-08-21T00:00:00"/>
    <x v="0"/>
    <x v="0"/>
    <n v="2"/>
    <x v="0"/>
    <n v="33000"/>
    <n v="18000"/>
    <n v="66000"/>
    <n v="36000"/>
    <n v="29790"/>
    <n v="209.99999999999997"/>
    <s v="11 mns"/>
    <x v="0"/>
    <n v="8"/>
    <x v="7"/>
  </r>
  <r>
    <d v="2023-08-21T00:00:00"/>
    <x v="0"/>
    <x v="0"/>
    <n v="2"/>
    <x v="1"/>
    <n v="60000"/>
    <n v="31000"/>
    <n v="120000"/>
    <n v="62000"/>
    <n v="57594"/>
    <n v="405.99999999999994"/>
    <s v="11 mns"/>
    <x v="3"/>
    <n v="8"/>
    <x v="7"/>
  </r>
  <r>
    <d v="2023-08-21T00:00:00"/>
    <x v="0"/>
    <x v="0"/>
    <n v="2"/>
    <x v="2"/>
    <n v="89000"/>
    <n v="65000"/>
    <n v="178000"/>
    <n v="130000"/>
    <n v="47664"/>
    <n v="335.99999999999994"/>
    <s v="11 mns"/>
    <x v="3"/>
    <n v="8"/>
    <x v="7"/>
  </r>
  <r>
    <d v="2023-08-21T00:00:00"/>
    <x v="1"/>
    <x v="1"/>
    <n v="2"/>
    <x v="1"/>
    <n v="60000"/>
    <n v="31000"/>
    <n v="120000"/>
    <n v="62000"/>
    <n v="57594"/>
    <n v="405.99999999999994"/>
    <s v="58 mns"/>
    <x v="0"/>
    <n v="8"/>
    <x v="7"/>
  </r>
  <r>
    <d v="2023-08-21T00:00:00"/>
    <x v="2"/>
    <x v="2"/>
    <n v="2"/>
    <x v="0"/>
    <n v="33000"/>
    <n v="18000"/>
    <n v="66000"/>
    <n v="36000"/>
    <n v="29790"/>
    <n v="209.99999999999997"/>
    <s v="30 mns"/>
    <x v="3"/>
    <n v="8"/>
    <x v="7"/>
  </r>
  <r>
    <d v="2023-08-21T00:00:00"/>
    <x v="2"/>
    <x v="2"/>
    <n v="2"/>
    <x v="2"/>
    <n v="89000"/>
    <n v="65000"/>
    <n v="178000"/>
    <n v="130000"/>
    <n v="47664"/>
    <n v="335.99999999999994"/>
    <s v="30 mns"/>
    <x v="1"/>
    <n v="8"/>
    <x v="7"/>
  </r>
  <r>
    <d v="2023-08-21T00:00:00"/>
    <x v="3"/>
    <x v="3"/>
    <n v="2"/>
    <x v="0"/>
    <n v="33000"/>
    <n v="18000"/>
    <n v="66000"/>
    <n v="36000"/>
    <n v="29790"/>
    <n v="209.99999999999997"/>
    <s v="35 mns"/>
    <x v="1"/>
    <n v="8"/>
    <x v="7"/>
  </r>
  <r>
    <d v="2023-08-21T00:00:00"/>
    <x v="3"/>
    <x v="3"/>
    <n v="2"/>
    <x v="1"/>
    <n v="60000"/>
    <n v="31000"/>
    <n v="120000"/>
    <n v="62000"/>
    <n v="57594"/>
    <n v="405.99999999999994"/>
    <s v="35 mns"/>
    <x v="3"/>
    <n v="8"/>
    <x v="7"/>
  </r>
  <r>
    <d v="2023-08-21T00:00:00"/>
    <x v="3"/>
    <x v="3"/>
    <n v="2"/>
    <x v="2"/>
    <n v="89000"/>
    <n v="65000"/>
    <n v="178000"/>
    <n v="130000"/>
    <n v="47664"/>
    <n v="335.99999999999994"/>
    <s v="35 mns"/>
    <x v="0"/>
    <n v="8"/>
    <x v="7"/>
  </r>
  <r>
    <d v="2023-08-22T00:00:00"/>
    <x v="0"/>
    <x v="0"/>
    <n v="2"/>
    <x v="0"/>
    <n v="33000"/>
    <n v="18000"/>
    <n v="66000"/>
    <n v="36000"/>
    <n v="29790"/>
    <n v="209.99999999999997"/>
    <s v="11 mns"/>
    <x v="3"/>
    <n v="8"/>
    <x v="7"/>
  </r>
  <r>
    <d v="2023-08-22T00:00:00"/>
    <x v="0"/>
    <x v="0"/>
    <n v="2"/>
    <x v="1"/>
    <n v="60000"/>
    <n v="31000"/>
    <n v="120000"/>
    <n v="62000"/>
    <n v="57594"/>
    <n v="405.99999999999994"/>
    <s v="11 mns"/>
    <x v="3"/>
    <n v="8"/>
    <x v="7"/>
  </r>
  <r>
    <d v="2023-08-22T00:00:00"/>
    <x v="0"/>
    <x v="0"/>
    <n v="2"/>
    <x v="2"/>
    <n v="89000"/>
    <n v="65000"/>
    <n v="178000"/>
    <n v="130000"/>
    <n v="47664"/>
    <n v="335.99999999999994"/>
    <s v="11 mns"/>
    <x v="3"/>
    <n v="8"/>
    <x v="7"/>
  </r>
  <r>
    <d v="2023-08-22T00:00:00"/>
    <x v="1"/>
    <x v="1"/>
    <n v="2"/>
    <x v="1"/>
    <n v="60000"/>
    <n v="31000"/>
    <n v="120000"/>
    <n v="62000"/>
    <n v="57594"/>
    <n v="405.99999999999994"/>
    <s v="58 mns"/>
    <x v="3"/>
    <n v="8"/>
    <x v="7"/>
  </r>
  <r>
    <d v="2023-08-22T00:00:00"/>
    <x v="2"/>
    <x v="2"/>
    <n v="2"/>
    <x v="0"/>
    <n v="33000"/>
    <n v="18000"/>
    <n v="66000"/>
    <n v="36000"/>
    <n v="29790"/>
    <n v="209.99999999999997"/>
    <s v="30 mns"/>
    <x v="3"/>
    <n v="8"/>
    <x v="7"/>
  </r>
  <r>
    <d v="2023-08-22T00:00:00"/>
    <x v="2"/>
    <x v="2"/>
    <n v="2"/>
    <x v="1"/>
    <n v="60000"/>
    <n v="31000"/>
    <n v="120000"/>
    <n v="62000"/>
    <n v="57594"/>
    <n v="405.99999999999994"/>
    <s v="30 mns"/>
    <x v="1"/>
    <n v="8"/>
    <x v="7"/>
  </r>
  <r>
    <d v="2023-08-22T00:00:00"/>
    <x v="2"/>
    <x v="2"/>
    <n v="2"/>
    <x v="2"/>
    <n v="89000"/>
    <n v="65000"/>
    <n v="178000"/>
    <n v="130000"/>
    <n v="47664"/>
    <n v="335.99999999999994"/>
    <s v="30 mns"/>
    <x v="3"/>
    <n v="8"/>
    <x v="7"/>
  </r>
  <r>
    <d v="2023-08-22T00:00:00"/>
    <x v="3"/>
    <x v="3"/>
    <n v="2"/>
    <x v="0"/>
    <n v="33000"/>
    <n v="18000"/>
    <n v="66000"/>
    <n v="36000"/>
    <n v="29790"/>
    <n v="209.99999999999997"/>
    <s v="35 mns"/>
    <x v="3"/>
    <n v="8"/>
    <x v="7"/>
  </r>
  <r>
    <d v="2023-08-22T00:00:00"/>
    <x v="3"/>
    <x v="3"/>
    <n v="2"/>
    <x v="1"/>
    <n v="60000"/>
    <n v="31000"/>
    <n v="120000"/>
    <n v="62000"/>
    <n v="57594"/>
    <n v="405.99999999999994"/>
    <s v="35 mns"/>
    <x v="2"/>
    <n v="8"/>
    <x v="7"/>
  </r>
  <r>
    <d v="2023-08-22T00:00:00"/>
    <x v="3"/>
    <x v="3"/>
    <n v="2"/>
    <x v="2"/>
    <n v="89000"/>
    <n v="65000"/>
    <n v="178000"/>
    <n v="130000"/>
    <n v="47664"/>
    <n v="335.99999999999994"/>
    <s v="35 mns"/>
    <x v="0"/>
    <n v="8"/>
    <x v="7"/>
  </r>
  <r>
    <d v="2023-08-23T00:00:00"/>
    <x v="0"/>
    <x v="0"/>
    <n v="2"/>
    <x v="0"/>
    <n v="33000"/>
    <n v="18000"/>
    <n v="66000"/>
    <n v="36000"/>
    <n v="29790"/>
    <n v="209.99999999999997"/>
    <s v="11 mns"/>
    <x v="3"/>
    <n v="8"/>
    <x v="7"/>
  </r>
  <r>
    <d v="2023-08-23T00:00:00"/>
    <x v="0"/>
    <x v="0"/>
    <n v="2"/>
    <x v="1"/>
    <n v="60000"/>
    <n v="31000"/>
    <n v="120000"/>
    <n v="62000"/>
    <n v="57594"/>
    <n v="405.99999999999994"/>
    <s v="11 mns"/>
    <x v="3"/>
    <n v="8"/>
    <x v="7"/>
  </r>
  <r>
    <d v="2023-08-23T00:00:00"/>
    <x v="0"/>
    <x v="0"/>
    <n v="2"/>
    <x v="2"/>
    <n v="89000"/>
    <n v="65000"/>
    <n v="178000"/>
    <n v="130000"/>
    <n v="47664"/>
    <n v="335.99999999999994"/>
    <s v="11 mns"/>
    <x v="1"/>
    <n v="8"/>
    <x v="7"/>
  </r>
  <r>
    <d v="2023-08-23T00:00:00"/>
    <x v="1"/>
    <x v="1"/>
    <n v="2"/>
    <x v="1"/>
    <n v="60000"/>
    <n v="31000"/>
    <n v="120000"/>
    <n v="62000"/>
    <n v="57594"/>
    <n v="405.99999999999994"/>
    <s v="58 mns"/>
    <x v="3"/>
    <n v="8"/>
    <x v="7"/>
  </r>
  <r>
    <d v="2023-08-23T00:00:00"/>
    <x v="2"/>
    <x v="2"/>
    <n v="2"/>
    <x v="0"/>
    <n v="33000"/>
    <n v="18000"/>
    <n v="66000"/>
    <n v="36000"/>
    <n v="29790"/>
    <n v="209.99999999999997"/>
    <s v="30 mns"/>
    <x v="1"/>
    <n v="8"/>
    <x v="7"/>
  </r>
  <r>
    <d v="2023-08-23T00:00:00"/>
    <x v="2"/>
    <x v="2"/>
    <n v="2"/>
    <x v="1"/>
    <n v="60000"/>
    <n v="31000"/>
    <n v="120000"/>
    <n v="62000"/>
    <n v="57594"/>
    <n v="405.99999999999994"/>
    <s v="30 mns"/>
    <x v="3"/>
    <n v="8"/>
    <x v="7"/>
  </r>
  <r>
    <d v="2023-08-23T00:00:00"/>
    <x v="2"/>
    <x v="2"/>
    <n v="2"/>
    <x v="2"/>
    <n v="89000"/>
    <n v="65000"/>
    <n v="178000"/>
    <n v="130000"/>
    <n v="47664"/>
    <n v="335.99999999999994"/>
    <s v="30 mns"/>
    <x v="1"/>
    <n v="8"/>
    <x v="7"/>
  </r>
  <r>
    <d v="2023-08-23T00:00:00"/>
    <x v="3"/>
    <x v="3"/>
    <n v="2"/>
    <x v="0"/>
    <n v="33000"/>
    <n v="18000"/>
    <n v="66000"/>
    <n v="36000"/>
    <n v="29790"/>
    <n v="209.99999999999997"/>
    <s v="35 mns"/>
    <x v="1"/>
    <n v="8"/>
    <x v="7"/>
  </r>
  <r>
    <d v="2023-08-23T00:00:00"/>
    <x v="3"/>
    <x v="3"/>
    <n v="2"/>
    <x v="1"/>
    <n v="60000"/>
    <n v="31000"/>
    <n v="120000"/>
    <n v="62000"/>
    <n v="57594"/>
    <n v="405.99999999999994"/>
    <s v="35 mns"/>
    <x v="3"/>
    <n v="8"/>
    <x v="7"/>
  </r>
  <r>
    <d v="2023-08-23T00:00:00"/>
    <x v="3"/>
    <x v="3"/>
    <n v="2"/>
    <x v="2"/>
    <n v="89000"/>
    <n v="65000"/>
    <n v="178000"/>
    <n v="130000"/>
    <n v="47664"/>
    <n v="335.99999999999994"/>
    <s v="35 mns"/>
    <x v="3"/>
    <n v="8"/>
    <x v="7"/>
  </r>
  <r>
    <d v="2023-08-24T00:00:00"/>
    <x v="0"/>
    <x v="0"/>
    <n v="1"/>
    <x v="0"/>
    <n v="33000"/>
    <n v="18000"/>
    <n v="33000"/>
    <n v="18000"/>
    <n v="14895"/>
    <n v="104.99999999999999"/>
    <s v="11 mns"/>
    <x v="3"/>
    <n v="8"/>
    <x v="7"/>
  </r>
  <r>
    <d v="2023-08-24T00:00:00"/>
    <x v="0"/>
    <x v="0"/>
    <n v="1"/>
    <x v="1"/>
    <n v="60000"/>
    <n v="31000"/>
    <n v="60000"/>
    <n v="31000"/>
    <n v="28797"/>
    <n v="202.99999999999997"/>
    <s v="11 mns"/>
    <x v="1"/>
    <n v="8"/>
    <x v="7"/>
  </r>
  <r>
    <d v="2023-08-24T00:00:00"/>
    <x v="0"/>
    <x v="0"/>
    <n v="1"/>
    <x v="2"/>
    <n v="89000"/>
    <n v="65000"/>
    <n v="89000"/>
    <n v="65000"/>
    <n v="23832"/>
    <n v="167.99999999999997"/>
    <s v="11 mns"/>
    <x v="1"/>
    <n v="8"/>
    <x v="7"/>
  </r>
  <r>
    <d v="2023-08-24T00:00:00"/>
    <x v="1"/>
    <x v="1"/>
    <n v="1"/>
    <x v="1"/>
    <n v="60000"/>
    <n v="31000"/>
    <n v="60000"/>
    <n v="31000"/>
    <n v="28797"/>
    <n v="202.99999999999997"/>
    <s v="58 mns"/>
    <x v="3"/>
    <n v="8"/>
    <x v="7"/>
  </r>
  <r>
    <d v="2023-08-24T00:00:00"/>
    <x v="2"/>
    <x v="2"/>
    <n v="1"/>
    <x v="0"/>
    <n v="33000"/>
    <n v="18000"/>
    <n v="33000"/>
    <n v="18000"/>
    <n v="14895"/>
    <n v="104.99999999999999"/>
    <s v="30 mns"/>
    <x v="1"/>
    <n v="8"/>
    <x v="7"/>
  </r>
  <r>
    <d v="2023-08-24T00:00:00"/>
    <x v="2"/>
    <x v="2"/>
    <n v="1"/>
    <x v="1"/>
    <n v="60000"/>
    <n v="31000"/>
    <n v="60000"/>
    <n v="31000"/>
    <n v="28797"/>
    <n v="202.99999999999997"/>
    <s v="30 mns"/>
    <x v="1"/>
    <n v="8"/>
    <x v="7"/>
  </r>
  <r>
    <d v="2023-08-24T00:00:00"/>
    <x v="2"/>
    <x v="2"/>
    <n v="1"/>
    <x v="2"/>
    <n v="89000"/>
    <n v="65000"/>
    <n v="89000"/>
    <n v="65000"/>
    <n v="23832"/>
    <n v="167.99999999999997"/>
    <s v="30 mns"/>
    <x v="3"/>
    <n v="8"/>
    <x v="7"/>
  </r>
  <r>
    <d v="2023-08-24T00:00:00"/>
    <x v="3"/>
    <x v="3"/>
    <n v="1"/>
    <x v="0"/>
    <n v="33000"/>
    <n v="18000"/>
    <n v="33000"/>
    <n v="18000"/>
    <n v="14895"/>
    <n v="104.99999999999999"/>
    <s v="35 mns"/>
    <x v="1"/>
    <n v="8"/>
    <x v="7"/>
  </r>
  <r>
    <d v="2023-08-24T00:00:00"/>
    <x v="3"/>
    <x v="3"/>
    <n v="1"/>
    <x v="1"/>
    <n v="60000"/>
    <n v="31000"/>
    <n v="60000"/>
    <n v="31000"/>
    <n v="28797"/>
    <n v="202.99999999999997"/>
    <s v="35 mns"/>
    <x v="3"/>
    <n v="8"/>
    <x v="7"/>
  </r>
  <r>
    <d v="2023-08-24T00:00:00"/>
    <x v="3"/>
    <x v="3"/>
    <n v="1"/>
    <x v="2"/>
    <n v="89000"/>
    <n v="65000"/>
    <n v="89000"/>
    <n v="65000"/>
    <n v="23832"/>
    <n v="167.99999999999997"/>
    <s v="35 mns"/>
    <x v="1"/>
    <n v="8"/>
    <x v="7"/>
  </r>
  <r>
    <d v="2023-08-25T00:00:00"/>
    <x v="0"/>
    <x v="0"/>
    <n v="1"/>
    <x v="0"/>
    <n v="33000"/>
    <n v="18000"/>
    <n v="33000"/>
    <n v="18000"/>
    <n v="14895"/>
    <n v="104.99999999999999"/>
    <s v="11 mns"/>
    <x v="2"/>
    <n v="8"/>
    <x v="7"/>
  </r>
  <r>
    <d v="2023-08-25T00:00:00"/>
    <x v="0"/>
    <x v="0"/>
    <n v="1"/>
    <x v="1"/>
    <n v="60000"/>
    <n v="31000"/>
    <n v="60000"/>
    <n v="31000"/>
    <n v="28797"/>
    <n v="202.99999999999997"/>
    <s v="11 mns"/>
    <x v="3"/>
    <n v="8"/>
    <x v="7"/>
  </r>
  <r>
    <d v="2023-08-25T00:00:00"/>
    <x v="0"/>
    <x v="0"/>
    <n v="1"/>
    <x v="2"/>
    <n v="89000"/>
    <n v="65000"/>
    <n v="89000"/>
    <n v="65000"/>
    <n v="23832"/>
    <n v="167.99999999999997"/>
    <s v="11 mns"/>
    <x v="2"/>
    <n v="8"/>
    <x v="7"/>
  </r>
  <r>
    <d v="2023-08-25T00:00:00"/>
    <x v="1"/>
    <x v="1"/>
    <n v="1"/>
    <x v="1"/>
    <n v="60000"/>
    <n v="31000"/>
    <n v="60000"/>
    <n v="31000"/>
    <n v="28797"/>
    <n v="202.99999999999997"/>
    <s v="58 mns"/>
    <x v="3"/>
    <n v="8"/>
    <x v="7"/>
  </r>
  <r>
    <d v="2023-08-25T00:00:00"/>
    <x v="2"/>
    <x v="2"/>
    <n v="1"/>
    <x v="0"/>
    <n v="33000"/>
    <n v="18000"/>
    <n v="33000"/>
    <n v="18000"/>
    <n v="14895"/>
    <n v="104.99999999999999"/>
    <s v="30 mns"/>
    <x v="1"/>
    <n v="8"/>
    <x v="7"/>
  </r>
  <r>
    <d v="2023-08-25T00:00:00"/>
    <x v="2"/>
    <x v="2"/>
    <n v="1"/>
    <x v="1"/>
    <n v="60000"/>
    <n v="31000"/>
    <n v="60000"/>
    <n v="31000"/>
    <n v="28797"/>
    <n v="202.99999999999997"/>
    <s v="30 mns"/>
    <x v="2"/>
    <n v="8"/>
    <x v="7"/>
  </r>
  <r>
    <d v="2023-08-25T00:00:00"/>
    <x v="2"/>
    <x v="2"/>
    <n v="1"/>
    <x v="2"/>
    <n v="89000"/>
    <n v="65000"/>
    <n v="89000"/>
    <n v="65000"/>
    <n v="23832"/>
    <n v="167.99999999999997"/>
    <s v="30 mns"/>
    <x v="1"/>
    <n v="8"/>
    <x v="7"/>
  </r>
  <r>
    <d v="2023-08-25T00:00:00"/>
    <x v="3"/>
    <x v="3"/>
    <n v="1"/>
    <x v="0"/>
    <n v="33000"/>
    <n v="18000"/>
    <n v="33000"/>
    <n v="18000"/>
    <n v="14895"/>
    <n v="104.99999999999999"/>
    <s v="35 mns"/>
    <x v="3"/>
    <n v="8"/>
    <x v="7"/>
  </r>
  <r>
    <d v="2023-08-25T00:00:00"/>
    <x v="3"/>
    <x v="3"/>
    <n v="1"/>
    <x v="1"/>
    <n v="60000"/>
    <n v="31000"/>
    <n v="60000"/>
    <n v="31000"/>
    <n v="28797"/>
    <n v="202.99999999999997"/>
    <s v="35 mns"/>
    <x v="3"/>
    <n v="8"/>
    <x v="7"/>
  </r>
  <r>
    <d v="2023-08-25T00:00:00"/>
    <x v="3"/>
    <x v="3"/>
    <n v="1"/>
    <x v="2"/>
    <n v="89000"/>
    <n v="65000"/>
    <n v="89000"/>
    <n v="65000"/>
    <n v="23832"/>
    <n v="167.99999999999997"/>
    <s v="35 mns"/>
    <x v="0"/>
    <n v="8"/>
    <x v="7"/>
  </r>
  <r>
    <d v="2023-08-26T00:00:00"/>
    <x v="0"/>
    <x v="0"/>
    <n v="1"/>
    <x v="0"/>
    <n v="33000"/>
    <n v="18000"/>
    <n v="33000"/>
    <n v="18000"/>
    <n v="14895"/>
    <n v="104.99999999999999"/>
    <s v="11 mns"/>
    <x v="3"/>
    <n v="8"/>
    <x v="7"/>
  </r>
  <r>
    <d v="2023-08-26T00:00:00"/>
    <x v="0"/>
    <x v="0"/>
    <n v="1"/>
    <x v="1"/>
    <n v="60000"/>
    <n v="31000"/>
    <n v="60000"/>
    <n v="31000"/>
    <n v="28797"/>
    <n v="202.99999999999997"/>
    <s v="11 mns"/>
    <x v="3"/>
    <n v="8"/>
    <x v="7"/>
  </r>
  <r>
    <d v="2023-08-26T00:00:00"/>
    <x v="0"/>
    <x v="0"/>
    <n v="1"/>
    <x v="2"/>
    <n v="89000"/>
    <n v="65000"/>
    <n v="89000"/>
    <n v="65000"/>
    <n v="23832"/>
    <n v="167.99999999999997"/>
    <s v="11 mns"/>
    <x v="3"/>
    <n v="8"/>
    <x v="7"/>
  </r>
  <r>
    <d v="2023-08-26T00:00:00"/>
    <x v="1"/>
    <x v="1"/>
    <n v="1"/>
    <x v="1"/>
    <n v="60000"/>
    <n v="31000"/>
    <n v="60000"/>
    <n v="31000"/>
    <n v="28797"/>
    <n v="202.99999999999997"/>
    <s v="58 mns"/>
    <x v="3"/>
    <n v="8"/>
    <x v="7"/>
  </r>
  <r>
    <d v="2023-08-26T00:00:00"/>
    <x v="2"/>
    <x v="2"/>
    <n v="1"/>
    <x v="0"/>
    <n v="33000"/>
    <n v="18000"/>
    <n v="33000"/>
    <n v="18000"/>
    <n v="14895"/>
    <n v="104.99999999999999"/>
    <s v="30 mns"/>
    <x v="3"/>
    <n v="8"/>
    <x v="7"/>
  </r>
  <r>
    <d v="2023-08-26T00:00:00"/>
    <x v="2"/>
    <x v="2"/>
    <n v="1"/>
    <x v="1"/>
    <n v="60000"/>
    <n v="31000"/>
    <n v="60000"/>
    <n v="31000"/>
    <n v="28797"/>
    <n v="202.99999999999997"/>
    <s v="30 mns"/>
    <x v="1"/>
    <n v="8"/>
    <x v="7"/>
  </r>
  <r>
    <d v="2023-08-26T00:00:00"/>
    <x v="2"/>
    <x v="2"/>
    <n v="1"/>
    <x v="2"/>
    <n v="89000"/>
    <n v="65000"/>
    <n v="89000"/>
    <n v="65000"/>
    <n v="23832"/>
    <n v="167.99999999999997"/>
    <s v="30 mns"/>
    <x v="1"/>
    <n v="8"/>
    <x v="7"/>
  </r>
  <r>
    <d v="2023-08-26T00:00:00"/>
    <x v="3"/>
    <x v="3"/>
    <n v="1"/>
    <x v="0"/>
    <n v="33000"/>
    <n v="18000"/>
    <n v="33000"/>
    <n v="18000"/>
    <n v="14895"/>
    <n v="104.99999999999999"/>
    <s v="35 mns"/>
    <x v="0"/>
    <n v="8"/>
    <x v="7"/>
  </r>
  <r>
    <d v="2023-08-26T00:00:00"/>
    <x v="3"/>
    <x v="3"/>
    <n v="1"/>
    <x v="1"/>
    <n v="60000"/>
    <n v="31000"/>
    <n v="60000"/>
    <n v="31000"/>
    <n v="28797"/>
    <n v="202.99999999999997"/>
    <s v="35 mns"/>
    <x v="2"/>
    <n v="8"/>
    <x v="7"/>
  </r>
  <r>
    <d v="2023-08-26T00:00:00"/>
    <x v="3"/>
    <x v="3"/>
    <n v="1"/>
    <x v="2"/>
    <n v="89000"/>
    <n v="65000"/>
    <n v="89000"/>
    <n v="65000"/>
    <n v="23832"/>
    <n v="167.99999999999997"/>
    <s v="35 mns"/>
    <x v="3"/>
    <n v="8"/>
    <x v="7"/>
  </r>
  <r>
    <d v="2023-08-27T00:00:00"/>
    <x v="0"/>
    <x v="0"/>
    <n v="1"/>
    <x v="0"/>
    <n v="33000"/>
    <n v="18000"/>
    <n v="33000"/>
    <n v="18000"/>
    <n v="14895"/>
    <n v="104.99999999999999"/>
    <s v="11 mns"/>
    <x v="1"/>
    <n v="8"/>
    <x v="7"/>
  </r>
  <r>
    <d v="2023-08-27T00:00:00"/>
    <x v="0"/>
    <x v="0"/>
    <n v="1"/>
    <x v="1"/>
    <n v="60000"/>
    <n v="31000"/>
    <n v="60000"/>
    <n v="31000"/>
    <n v="28797"/>
    <n v="202.99999999999997"/>
    <s v="11 mns"/>
    <x v="3"/>
    <n v="8"/>
    <x v="7"/>
  </r>
  <r>
    <d v="2023-08-27T00:00:00"/>
    <x v="0"/>
    <x v="0"/>
    <n v="1"/>
    <x v="2"/>
    <n v="89000"/>
    <n v="65000"/>
    <n v="89000"/>
    <n v="65000"/>
    <n v="23832"/>
    <n v="167.99999999999997"/>
    <s v="11 mns"/>
    <x v="3"/>
    <n v="8"/>
    <x v="7"/>
  </r>
  <r>
    <d v="2023-08-27T00:00:00"/>
    <x v="1"/>
    <x v="1"/>
    <n v="1"/>
    <x v="1"/>
    <n v="60000"/>
    <n v="31000"/>
    <n v="60000"/>
    <n v="31000"/>
    <n v="28797"/>
    <n v="202.99999999999997"/>
    <s v="58 mns"/>
    <x v="3"/>
    <n v="8"/>
    <x v="7"/>
  </r>
  <r>
    <d v="2023-08-27T00:00:00"/>
    <x v="2"/>
    <x v="2"/>
    <n v="1"/>
    <x v="0"/>
    <n v="33000"/>
    <n v="18000"/>
    <n v="33000"/>
    <n v="18000"/>
    <n v="14895"/>
    <n v="104.99999999999999"/>
    <s v="30 mns"/>
    <x v="0"/>
    <n v="8"/>
    <x v="7"/>
  </r>
  <r>
    <d v="2023-08-27T00:00:00"/>
    <x v="2"/>
    <x v="2"/>
    <n v="1"/>
    <x v="1"/>
    <n v="60000"/>
    <n v="31000"/>
    <n v="60000"/>
    <n v="31000"/>
    <n v="28797"/>
    <n v="202.99999999999997"/>
    <s v="30 mns"/>
    <x v="3"/>
    <n v="8"/>
    <x v="7"/>
  </r>
  <r>
    <d v="2023-08-27T00:00:00"/>
    <x v="2"/>
    <x v="2"/>
    <n v="1"/>
    <x v="2"/>
    <n v="89000"/>
    <n v="65000"/>
    <n v="89000"/>
    <n v="65000"/>
    <n v="23832"/>
    <n v="167.99999999999997"/>
    <s v="30 mns"/>
    <x v="3"/>
    <n v="8"/>
    <x v="7"/>
  </r>
  <r>
    <d v="2023-08-27T00:00:00"/>
    <x v="3"/>
    <x v="3"/>
    <n v="1"/>
    <x v="0"/>
    <n v="33000"/>
    <n v="18000"/>
    <n v="33000"/>
    <n v="18000"/>
    <n v="14895"/>
    <n v="104.99999999999999"/>
    <s v="35 mns"/>
    <x v="1"/>
    <n v="8"/>
    <x v="7"/>
  </r>
  <r>
    <d v="2023-08-27T00:00:00"/>
    <x v="3"/>
    <x v="3"/>
    <n v="1"/>
    <x v="1"/>
    <n v="60000"/>
    <n v="31000"/>
    <n v="60000"/>
    <n v="31000"/>
    <n v="28797"/>
    <n v="202.99999999999997"/>
    <s v="35 mns"/>
    <x v="3"/>
    <n v="8"/>
    <x v="7"/>
  </r>
  <r>
    <d v="2023-08-27T00:00:00"/>
    <x v="3"/>
    <x v="3"/>
    <n v="1"/>
    <x v="2"/>
    <n v="89000"/>
    <n v="65000"/>
    <n v="89000"/>
    <n v="65000"/>
    <n v="23832"/>
    <n v="167.99999999999997"/>
    <s v="35 mns"/>
    <x v="3"/>
    <n v="8"/>
    <x v="7"/>
  </r>
  <r>
    <d v="2023-08-28T00:00:00"/>
    <x v="0"/>
    <x v="0"/>
    <n v="2"/>
    <x v="0"/>
    <n v="33000"/>
    <n v="18000"/>
    <n v="66000"/>
    <n v="36000"/>
    <n v="29790"/>
    <n v="209.99999999999997"/>
    <s v="11 mns"/>
    <x v="3"/>
    <n v="8"/>
    <x v="7"/>
  </r>
  <r>
    <d v="2023-08-28T00:00:00"/>
    <x v="0"/>
    <x v="0"/>
    <n v="2"/>
    <x v="1"/>
    <n v="60000"/>
    <n v="31000"/>
    <n v="120000"/>
    <n v="62000"/>
    <n v="57594"/>
    <n v="405.99999999999994"/>
    <s v="11 mns"/>
    <x v="0"/>
    <n v="8"/>
    <x v="7"/>
  </r>
  <r>
    <d v="2023-08-28T00:00:00"/>
    <x v="0"/>
    <x v="0"/>
    <n v="2"/>
    <x v="2"/>
    <n v="89000"/>
    <n v="65000"/>
    <n v="178000"/>
    <n v="130000"/>
    <n v="47664"/>
    <n v="335.99999999999994"/>
    <s v="11 mns"/>
    <x v="1"/>
    <n v="8"/>
    <x v="7"/>
  </r>
  <r>
    <d v="2023-08-28T00:00:00"/>
    <x v="1"/>
    <x v="1"/>
    <n v="2"/>
    <x v="1"/>
    <n v="60000"/>
    <n v="31000"/>
    <n v="120000"/>
    <n v="62000"/>
    <n v="57594"/>
    <n v="405.99999999999994"/>
    <s v="58 mns"/>
    <x v="1"/>
    <n v="8"/>
    <x v="7"/>
  </r>
  <r>
    <d v="2023-08-28T00:00:00"/>
    <x v="2"/>
    <x v="2"/>
    <n v="2"/>
    <x v="0"/>
    <n v="33000"/>
    <n v="18000"/>
    <n v="66000"/>
    <n v="36000"/>
    <n v="29790"/>
    <n v="209.99999999999997"/>
    <s v="30 mns"/>
    <x v="1"/>
    <n v="8"/>
    <x v="7"/>
  </r>
  <r>
    <d v="2023-08-28T00:00:00"/>
    <x v="2"/>
    <x v="2"/>
    <n v="2"/>
    <x v="1"/>
    <n v="60000"/>
    <n v="31000"/>
    <n v="120000"/>
    <n v="62000"/>
    <n v="57594"/>
    <n v="405.99999999999994"/>
    <s v="30 mns"/>
    <x v="1"/>
    <n v="8"/>
    <x v="7"/>
  </r>
  <r>
    <d v="2023-08-28T00:00:00"/>
    <x v="2"/>
    <x v="2"/>
    <n v="2"/>
    <x v="2"/>
    <n v="89000"/>
    <n v="65000"/>
    <n v="178000"/>
    <n v="130000"/>
    <n v="47664"/>
    <n v="335.99999999999994"/>
    <s v="30 mns"/>
    <x v="0"/>
    <n v="8"/>
    <x v="7"/>
  </r>
  <r>
    <d v="2023-08-28T00:00:00"/>
    <x v="3"/>
    <x v="3"/>
    <n v="2"/>
    <x v="0"/>
    <n v="33000"/>
    <n v="18000"/>
    <n v="66000"/>
    <n v="36000"/>
    <n v="29790"/>
    <n v="209.99999999999997"/>
    <s v="35 mns"/>
    <x v="3"/>
    <n v="8"/>
    <x v="7"/>
  </r>
  <r>
    <d v="2023-08-28T00:00:00"/>
    <x v="3"/>
    <x v="3"/>
    <n v="2"/>
    <x v="1"/>
    <n v="60000"/>
    <n v="31000"/>
    <n v="120000"/>
    <n v="62000"/>
    <n v="57594"/>
    <n v="405.99999999999994"/>
    <s v="35 mns"/>
    <x v="0"/>
    <n v="8"/>
    <x v="7"/>
  </r>
  <r>
    <d v="2023-08-28T00:00:00"/>
    <x v="3"/>
    <x v="3"/>
    <n v="2"/>
    <x v="2"/>
    <n v="89000"/>
    <n v="65000"/>
    <n v="178000"/>
    <n v="130000"/>
    <n v="47664"/>
    <n v="335.99999999999994"/>
    <s v="35 mns"/>
    <x v="1"/>
    <n v="8"/>
    <x v="7"/>
  </r>
  <r>
    <d v="2023-08-29T00:00:00"/>
    <x v="0"/>
    <x v="0"/>
    <n v="1"/>
    <x v="0"/>
    <n v="33000"/>
    <n v="18000"/>
    <n v="33000"/>
    <n v="18000"/>
    <n v="14895"/>
    <n v="104.99999999999999"/>
    <s v="11 mns"/>
    <x v="0"/>
    <n v="8"/>
    <x v="7"/>
  </r>
  <r>
    <d v="2023-08-29T00:00:00"/>
    <x v="0"/>
    <x v="0"/>
    <n v="1"/>
    <x v="1"/>
    <n v="60000"/>
    <n v="31000"/>
    <n v="60000"/>
    <n v="31000"/>
    <n v="28797"/>
    <n v="202.99999999999997"/>
    <s v="11 mns"/>
    <x v="1"/>
    <n v="8"/>
    <x v="7"/>
  </r>
  <r>
    <d v="2023-08-29T00:00:00"/>
    <x v="0"/>
    <x v="0"/>
    <n v="1"/>
    <x v="2"/>
    <n v="89000"/>
    <n v="65000"/>
    <n v="89000"/>
    <n v="65000"/>
    <n v="23832"/>
    <n v="167.99999999999997"/>
    <s v="11 mns"/>
    <x v="0"/>
    <n v="8"/>
    <x v="7"/>
  </r>
  <r>
    <d v="2023-08-29T00:00:00"/>
    <x v="1"/>
    <x v="1"/>
    <n v="1"/>
    <x v="1"/>
    <n v="60000"/>
    <n v="31000"/>
    <n v="60000"/>
    <n v="31000"/>
    <n v="28797"/>
    <n v="202.99999999999997"/>
    <s v="58 mns"/>
    <x v="2"/>
    <n v="8"/>
    <x v="7"/>
  </r>
  <r>
    <d v="2023-08-29T00:00:00"/>
    <x v="2"/>
    <x v="2"/>
    <n v="1"/>
    <x v="0"/>
    <n v="33000"/>
    <n v="18000"/>
    <n v="33000"/>
    <n v="18000"/>
    <n v="14895"/>
    <n v="104.99999999999999"/>
    <s v="30 mns"/>
    <x v="3"/>
    <n v="8"/>
    <x v="7"/>
  </r>
  <r>
    <d v="2023-08-29T00:00:00"/>
    <x v="2"/>
    <x v="2"/>
    <n v="1"/>
    <x v="1"/>
    <n v="60000"/>
    <n v="31000"/>
    <n v="60000"/>
    <n v="31000"/>
    <n v="28797"/>
    <n v="202.99999999999997"/>
    <s v="30 mns"/>
    <x v="1"/>
    <n v="8"/>
    <x v="7"/>
  </r>
  <r>
    <d v="2023-08-29T00:00:00"/>
    <x v="2"/>
    <x v="2"/>
    <n v="1"/>
    <x v="2"/>
    <n v="89000"/>
    <n v="65000"/>
    <n v="89000"/>
    <n v="65000"/>
    <n v="23832"/>
    <n v="167.99999999999997"/>
    <s v="30 mns"/>
    <x v="0"/>
    <n v="8"/>
    <x v="7"/>
  </r>
  <r>
    <d v="2023-08-29T00:00:00"/>
    <x v="3"/>
    <x v="3"/>
    <n v="1"/>
    <x v="0"/>
    <n v="33000"/>
    <n v="18000"/>
    <n v="33000"/>
    <n v="18000"/>
    <n v="14895"/>
    <n v="104.99999999999999"/>
    <s v="35 mns"/>
    <x v="3"/>
    <n v="8"/>
    <x v="7"/>
  </r>
  <r>
    <d v="2023-08-29T00:00:00"/>
    <x v="3"/>
    <x v="3"/>
    <n v="1"/>
    <x v="1"/>
    <n v="60000"/>
    <n v="31000"/>
    <n v="60000"/>
    <n v="31000"/>
    <n v="28797"/>
    <n v="202.99999999999997"/>
    <s v="35 mns"/>
    <x v="0"/>
    <n v="8"/>
    <x v="7"/>
  </r>
  <r>
    <d v="2023-08-29T00:00:00"/>
    <x v="3"/>
    <x v="3"/>
    <n v="1"/>
    <x v="2"/>
    <n v="89000"/>
    <n v="65000"/>
    <n v="89000"/>
    <n v="65000"/>
    <n v="23832"/>
    <n v="167.99999999999997"/>
    <s v="35 mns"/>
    <x v="3"/>
    <n v="8"/>
    <x v="7"/>
  </r>
  <r>
    <d v="2023-08-30T00:00:00"/>
    <x v="0"/>
    <x v="0"/>
    <n v="1"/>
    <x v="0"/>
    <n v="33000"/>
    <n v="18000"/>
    <n v="33000"/>
    <n v="18000"/>
    <n v="14895"/>
    <n v="104.99999999999999"/>
    <s v="11 mns"/>
    <x v="2"/>
    <n v="8"/>
    <x v="7"/>
  </r>
  <r>
    <d v="2023-08-30T00:00:00"/>
    <x v="0"/>
    <x v="0"/>
    <n v="1"/>
    <x v="1"/>
    <n v="60000"/>
    <n v="31000"/>
    <n v="60000"/>
    <n v="31000"/>
    <n v="28797"/>
    <n v="202.99999999999997"/>
    <s v="11 mns"/>
    <x v="0"/>
    <n v="8"/>
    <x v="7"/>
  </r>
  <r>
    <d v="2023-08-30T00:00:00"/>
    <x v="0"/>
    <x v="0"/>
    <n v="1"/>
    <x v="2"/>
    <n v="89000"/>
    <n v="65000"/>
    <n v="89000"/>
    <n v="65000"/>
    <n v="23832"/>
    <n v="167.99999999999997"/>
    <s v="11 mns"/>
    <x v="3"/>
    <n v="8"/>
    <x v="7"/>
  </r>
  <r>
    <d v="2023-08-30T00:00:00"/>
    <x v="1"/>
    <x v="1"/>
    <n v="1"/>
    <x v="1"/>
    <n v="60000"/>
    <n v="31000"/>
    <n v="60000"/>
    <n v="31000"/>
    <n v="28797"/>
    <n v="202.99999999999997"/>
    <s v="58 mns"/>
    <x v="3"/>
    <n v="8"/>
    <x v="7"/>
  </r>
  <r>
    <d v="2023-08-30T00:00:00"/>
    <x v="2"/>
    <x v="2"/>
    <n v="1"/>
    <x v="0"/>
    <n v="33000"/>
    <n v="18000"/>
    <n v="33000"/>
    <n v="18000"/>
    <n v="14895"/>
    <n v="104.99999999999999"/>
    <s v="30 mns"/>
    <x v="0"/>
    <n v="8"/>
    <x v="7"/>
  </r>
  <r>
    <d v="2023-08-30T00:00:00"/>
    <x v="2"/>
    <x v="2"/>
    <n v="1"/>
    <x v="1"/>
    <n v="60000"/>
    <n v="31000"/>
    <n v="60000"/>
    <n v="31000"/>
    <n v="28797"/>
    <n v="202.99999999999997"/>
    <s v="30 mns"/>
    <x v="1"/>
    <n v="8"/>
    <x v="7"/>
  </r>
  <r>
    <d v="2023-08-30T00:00:00"/>
    <x v="2"/>
    <x v="2"/>
    <n v="1"/>
    <x v="2"/>
    <n v="89000"/>
    <n v="65000"/>
    <n v="89000"/>
    <n v="65000"/>
    <n v="23832"/>
    <n v="167.99999999999997"/>
    <s v="30 mns"/>
    <x v="1"/>
    <n v="8"/>
    <x v="7"/>
  </r>
  <r>
    <d v="2023-08-30T00:00:00"/>
    <x v="3"/>
    <x v="3"/>
    <n v="1"/>
    <x v="0"/>
    <n v="33000"/>
    <n v="18000"/>
    <n v="33000"/>
    <n v="18000"/>
    <n v="14895"/>
    <n v="104.99999999999999"/>
    <s v="35 mns"/>
    <x v="3"/>
    <n v="8"/>
    <x v="7"/>
  </r>
  <r>
    <d v="2023-08-30T00:00:00"/>
    <x v="3"/>
    <x v="3"/>
    <n v="1"/>
    <x v="1"/>
    <n v="60000"/>
    <n v="31000"/>
    <n v="60000"/>
    <n v="31000"/>
    <n v="28797"/>
    <n v="202.99999999999997"/>
    <s v="35 mns"/>
    <x v="1"/>
    <n v="8"/>
    <x v="7"/>
  </r>
  <r>
    <d v="2023-08-30T00:00:00"/>
    <x v="3"/>
    <x v="3"/>
    <n v="1"/>
    <x v="2"/>
    <n v="89000"/>
    <n v="65000"/>
    <n v="89000"/>
    <n v="65000"/>
    <n v="23832"/>
    <n v="167.99999999999997"/>
    <s v="35 mns"/>
    <x v="3"/>
    <n v="8"/>
    <x v="7"/>
  </r>
  <r>
    <d v="2023-08-31T00:00:00"/>
    <x v="0"/>
    <x v="0"/>
    <n v="1"/>
    <x v="0"/>
    <n v="33000"/>
    <n v="18000"/>
    <n v="33000"/>
    <n v="18000"/>
    <n v="14895"/>
    <n v="104.99999999999999"/>
    <s v="11 mns"/>
    <x v="1"/>
    <n v="8"/>
    <x v="7"/>
  </r>
  <r>
    <d v="2023-08-31T00:00:00"/>
    <x v="0"/>
    <x v="0"/>
    <n v="1"/>
    <x v="1"/>
    <n v="60000"/>
    <n v="31000"/>
    <n v="60000"/>
    <n v="31000"/>
    <n v="28797"/>
    <n v="202.99999999999997"/>
    <s v="11 mns"/>
    <x v="0"/>
    <n v="8"/>
    <x v="7"/>
  </r>
  <r>
    <d v="2023-08-31T00:00:00"/>
    <x v="0"/>
    <x v="0"/>
    <n v="1"/>
    <x v="2"/>
    <n v="89000"/>
    <n v="65000"/>
    <n v="89000"/>
    <n v="65000"/>
    <n v="23832"/>
    <n v="167.99999999999997"/>
    <s v="11 mns"/>
    <x v="3"/>
    <n v="8"/>
    <x v="7"/>
  </r>
  <r>
    <d v="2023-08-31T00:00:00"/>
    <x v="1"/>
    <x v="1"/>
    <n v="1"/>
    <x v="1"/>
    <n v="60000"/>
    <n v="31000"/>
    <n v="60000"/>
    <n v="31000"/>
    <n v="28797"/>
    <n v="202.99999999999997"/>
    <s v="58 mns"/>
    <x v="0"/>
    <n v="8"/>
    <x v="7"/>
  </r>
  <r>
    <d v="2023-08-31T00:00:00"/>
    <x v="2"/>
    <x v="2"/>
    <n v="1"/>
    <x v="0"/>
    <n v="33000"/>
    <n v="18000"/>
    <n v="33000"/>
    <n v="18000"/>
    <n v="14895"/>
    <n v="104.99999999999999"/>
    <s v="30 mns"/>
    <x v="1"/>
    <n v="8"/>
    <x v="7"/>
  </r>
  <r>
    <d v="2023-08-31T00:00:00"/>
    <x v="2"/>
    <x v="2"/>
    <n v="1"/>
    <x v="1"/>
    <n v="60000"/>
    <n v="31000"/>
    <n v="60000"/>
    <n v="31000"/>
    <n v="28797"/>
    <n v="202.99999999999997"/>
    <s v="30 mns"/>
    <x v="3"/>
    <n v="8"/>
    <x v="7"/>
  </r>
  <r>
    <d v="2023-08-31T00:00:00"/>
    <x v="2"/>
    <x v="2"/>
    <n v="1"/>
    <x v="2"/>
    <n v="89000"/>
    <n v="65000"/>
    <n v="89000"/>
    <n v="65000"/>
    <n v="23832"/>
    <n v="167.99999999999997"/>
    <s v="30 mns"/>
    <x v="3"/>
    <n v="8"/>
    <x v="7"/>
  </r>
  <r>
    <d v="2023-08-31T00:00:00"/>
    <x v="3"/>
    <x v="3"/>
    <n v="1"/>
    <x v="0"/>
    <n v="33000"/>
    <n v="18000"/>
    <n v="33000"/>
    <n v="18000"/>
    <n v="14895"/>
    <n v="104.99999999999999"/>
    <s v="35 mns"/>
    <x v="3"/>
    <n v="8"/>
    <x v="7"/>
  </r>
  <r>
    <d v="2023-08-31T00:00:00"/>
    <x v="3"/>
    <x v="3"/>
    <n v="1"/>
    <x v="1"/>
    <n v="60000"/>
    <n v="31000"/>
    <n v="60000"/>
    <n v="31000"/>
    <n v="28797"/>
    <n v="202.99999999999997"/>
    <s v="35 mns"/>
    <x v="0"/>
    <n v="8"/>
    <x v="7"/>
  </r>
  <r>
    <d v="2023-08-31T00:00:00"/>
    <x v="3"/>
    <x v="3"/>
    <n v="1"/>
    <x v="2"/>
    <n v="89000"/>
    <n v="65000"/>
    <n v="89000"/>
    <n v="65000"/>
    <n v="23832"/>
    <n v="167.99999999999997"/>
    <s v="35 mns"/>
    <x v="0"/>
    <n v="8"/>
    <x v="7"/>
  </r>
  <r>
    <d v="2023-09-01T00:00:00"/>
    <x v="0"/>
    <x v="0"/>
    <n v="1"/>
    <x v="0"/>
    <n v="33000"/>
    <n v="18000"/>
    <n v="33000"/>
    <n v="18000"/>
    <n v="14895"/>
    <n v="104.99999999999999"/>
    <s v="11 mns"/>
    <x v="3"/>
    <n v="9"/>
    <x v="8"/>
  </r>
  <r>
    <d v="2023-09-01T00:00:00"/>
    <x v="0"/>
    <x v="0"/>
    <n v="1"/>
    <x v="1"/>
    <n v="60000"/>
    <n v="31000"/>
    <n v="60000"/>
    <n v="31000"/>
    <n v="28797"/>
    <n v="202.99999999999997"/>
    <s v="11 mns"/>
    <x v="3"/>
    <n v="9"/>
    <x v="8"/>
  </r>
  <r>
    <d v="2023-09-01T00:00:00"/>
    <x v="0"/>
    <x v="0"/>
    <n v="1"/>
    <x v="2"/>
    <n v="89000"/>
    <n v="65000"/>
    <n v="89000"/>
    <n v="65000"/>
    <n v="23832"/>
    <n v="167.99999999999997"/>
    <s v="11 mns"/>
    <x v="3"/>
    <n v="9"/>
    <x v="8"/>
  </r>
  <r>
    <d v="2023-09-01T00:00:00"/>
    <x v="1"/>
    <x v="1"/>
    <n v="1"/>
    <x v="1"/>
    <n v="60000"/>
    <n v="31000"/>
    <n v="60000"/>
    <n v="31000"/>
    <n v="28797"/>
    <n v="202.99999999999997"/>
    <s v="58 mns"/>
    <x v="0"/>
    <n v="9"/>
    <x v="8"/>
  </r>
  <r>
    <d v="2023-09-01T00:00:00"/>
    <x v="2"/>
    <x v="2"/>
    <n v="1"/>
    <x v="0"/>
    <n v="33000"/>
    <n v="18000"/>
    <n v="33000"/>
    <n v="18000"/>
    <n v="14895"/>
    <n v="104.99999999999999"/>
    <s v="30 mns"/>
    <x v="3"/>
    <n v="9"/>
    <x v="8"/>
  </r>
  <r>
    <d v="2023-09-01T00:00:00"/>
    <x v="2"/>
    <x v="2"/>
    <n v="1"/>
    <x v="1"/>
    <n v="60000"/>
    <n v="31000"/>
    <n v="60000"/>
    <n v="31000"/>
    <n v="28797"/>
    <n v="202.99999999999997"/>
    <s v="30 mns"/>
    <x v="2"/>
    <n v="9"/>
    <x v="8"/>
  </r>
  <r>
    <d v="2023-09-01T00:00:00"/>
    <x v="2"/>
    <x v="2"/>
    <n v="1"/>
    <x v="2"/>
    <n v="89000"/>
    <n v="65000"/>
    <n v="89000"/>
    <n v="65000"/>
    <n v="23832"/>
    <n v="167.99999999999997"/>
    <s v="30 mns"/>
    <x v="1"/>
    <n v="9"/>
    <x v="8"/>
  </r>
  <r>
    <d v="2023-09-01T00:00:00"/>
    <x v="3"/>
    <x v="3"/>
    <n v="1"/>
    <x v="0"/>
    <n v="33000"/>
    <n v="18000"/>
    <n v="33000"/>
    <n v="18000"/>
    <n v="14895"/>
    <n v="104.99999999999999"/>
    <s v="35 mns"/>
    <x v="3"/>
    <n v="9"/>
    <x v="8"/>
  </r>
  <r>
    <d v="2023-09-01T00:00:00"/>
    <x v="3"/>
    <x v="3"/>
    <n v="1"/>
    <x v="1"/>
    <n v="60000"/>
    <n v="31000"/>
    <n v="60000"/>
    <n v="31000"/>
    <n v="28797"/>
    <n v="202.99999999999997"/>
    <s v="35 mns"/>
    <x v="0"/>
    <n v="9"/>
    <x v="8"/>
  </r>
  <r>
    <d v="2023-09-01T00:00:00"/>
    <x v="3"/>
    <x v="3"/>
    <n v="1"/>
    <x v="2"/>
    <n v="89000"/>
    <n v="65000"/>
    <n v="89000"/>
    <n v="65000"/>
    <n v="23832"/>
    <n v="167.99999999999997"/>
    <s v="35 mns"/>
    <x v="3"/>
    <n v="9"/>
    <x v="8"/>
  </r>
  <r>
    <d v="2023-09-02T00:00:00"/>
    <x v="0"/>
    <x v="0"/>
    <n v="1"/>
    <x v="0"/>
    <n v="33000"/>
    <n v="18000"/>
    <n v="33000"/>
    <n v="18000"/>
    <n v="14895"/>
    <n v="104.99999999999999"/>
    <s v="11 mns"/>
    <x v="1"/>
    <n v="9"/>
    <x v="8"/>
  </r>
  <r>
    <d v="2023-09-02T00:00:00"/>
    <x v="0"/>
    <x v="0"/>
    <n v="1"/>
    <x v="1"/>
    <n v="60000"/>
    <n v="31000"/>
    <n v="60000"/>
    <n v="31000"/>
    <n v="28797"/>
    <n v="202.99999999999997"/>
    <s v="11 mns"/>
    <x v="0"/>
    <n v="9"/>
    <x v="8"/>
  </r>
  <r>
    <d v="2023-09-02T00:00:00"/>
    <x v="0"/>
    <x v="0"/>
    <n v="1"/>
    <x v="2"/>
    <n v="89000"/>
    <n v="65000"/>
    <n v="89000"/>
    <n v="65000"/>
    <n v="23832"/>
    <n v="167.99999999999997"/>
    <s v="11 mns"/>
    <x v="1"/>
    <n v="9"/>
    <x v="8"/>
  </r>
  <r>
    <d v="2023-09-02T00:00:00"/>
    <x v="1"/>
    <x v="1"/>
    <n v="1"/>
    <x v="1"/>
    <n v="60000"/>
    <n v="31000"/>
    <n v="60000"/>
    <n v="31000"/>
    <n v="28797"/>
    <n v="202.99999999999997"/>
    <s v="58 mns"/>
    <x v="3"/>
    <n v="9"/>
    <x v="8"/>
  </r>
  <r>
    <d v="2023-09-02T00:00:00"/>
    <x v="2"/>
    <x v="2"/>
    <n v="1"/>
    <x v="0"/>
    <n v="33000"/>
    <n v="18000"/>
    <n v="33000"/>
    <n v="18000"/>
    <n v="14895"/>
    <n v="104.99999999999999"/>
    <s v="30 mns"/>
    <x v="3"/>
    <n v="9"/>
    <x v="8"/>
  </r>
  <r>
    <d v="2023-09-02T00:00:00"/>
    <x v="2"/>
    <x v="2"/>
    <n v="1"/>
    <x v="1"/>
    <n v="60000"/>
    <n v="31000"/>
    <n v="60000"/>
    <n v="31000"/>
    <n v="28797"/>
    <n v="202.99999999999997"/>
    <s v="30 mns"/>
    <x v="1"/>
    <n v="9"/>
    <x v="8"/>
  </r>
  <r>
    <d v="2023-09-02T00:00:00"/>
    <x v="2"/>
    <x v="2"/>
    <n v="1"/>
    <x v="2"/>
    <n v="89000"/>
    <n v="65000"/>
    <n v="89000"/>
    <n v="65000"/>
    <n v="23832"/>
    <n v="167.99999999999997"/>
    <s v="30 mns"/>
    <x v="3"/>
    <n v="9"/>
    <x v="8"/>
  </r>
  <r>
    <d v="2023-09-02T00:00:00"/>
    <x v="3"/>
    <x v="3"/>
    <n v="1"/>
    <x v="0"/>
    <n v="33000"/>
    <n v="18000"/>
    <n v="33000"/>
    <n v="18000"/>
    <n v="14895"/>
    <n v="104.99999999999999"/>
    <s v="35 mns"/>
    <x v="3"/>
    <n v="9"/>
    <x v="8"/>
  </r>
  <r>
    <d v="2023-09-02T00:00:00"/>
    <x v="3"/>
    <x v="3"/>
    <n v="1"/>
    <x v="1"/>
    <n v="60000"/>
    <n v="31000"/>
    <n v="60000"/>
    <n v="31000"/>
    <n v="28797"/>
    <n v="202.99999999999997"/>
    <s v="35 mns"/>
    <x v="0"/>
    <n v="9"/>
    <x v="8"/>
  </r>
  <r>
    <d v="2023-09-02T00:00:00"/>
    <x v="3"/>
    <x v="3"/>
    <n v="1"/>
    <x v="2"/>
    <n v="89000"/>
    <n v="65000"/>
    <n v="89000"/>
    <n v="65000"/>
    <n v="23832"/>
    <n v="167.99999999999997"/>
    <s v="35 mns"/>
    <x v="0"/>
    <n v="9"/>
    <x v="8"/>
  </r>
  <r>
    <d v="2023-09-03T00:00:00"/>
    <x v="0"/>
    <x v="0"/>
    <n v="2"/>
    <x v="0"/>
    <n v="33000"/>
    <n v="18000"/>
    <n v="66000"/>
    <n v="36000"/>
    <n v="29790"/>
    <n v="209.99999999999997"/>
    <s v="11 mns"/>
    <x v="3"/>
    <n v="9"/>
    <x v="8"/>
  </r>
  <r>
    <d v="2023-09-03T00:00:00"/>
    <x v="0"/>
    <x v="0"/>
    <n v="2"/>
    <x v="1"/>
    <n v="60000"/>
    <n v="31000"/>
    <n v="120000"/>
    <n v="62000"/>
    <n v="57594"/>
    <n v="405.99999999999994"/>
    <s v="11 mns"/>
    <x v="3"/>
    <n v="9"/>
    <x v="8"/>
  </r>
  <r>
    <d v="2023-09-03T00:00:00"/>
    <x v="0"/>
    <x v="0"/>
    <n v="2"/>
    <x v="2"/>
    <n v="89000"/>
    <n v="65000"/>
    <n v="178000"/>
    <n v="130000"/>
    <n v="47664"/>
    <n v="335.99999999999994"/>
    <s v="11 mns"/>
    <x v="3"/>
    <n v="9"/>
    <x v="8"/>
  </r>
  <r>
    <d v="2023-09-03T00:00:00"/>
    <x v="1"/>
    <x v="1"/>
    <n v="2"/>
    <x v="1"/>
    <n v="60000"/>
    <n v="31000"/>
    <n v="120000"/>
    <n v="62000"/>
    <n v="57594"/>
    <n v="405.99999999999994"/>
    <s v="58 mns"/>
    <x v="2"/>
    <n v="9"/>
    <x v="8"/>
  </r>
  <r>
    <d v="2023-09-03T00:00:00"/>
    <x v="2"/>
    <x v="2"/>
    <n v="2"/>
    <x v="0"/>
    <n v="33000"/>
    <n v="18000"/>
    <n v="66000"/>
    <n v="36000"/>
    <n v="29790"/>
    <n v="209.99999999999997"/>
    <s v="30 mns"/>
    <x v="3"/>
    <n v="9"/>
    <x v="8"/>
  </r>
  <r>
    <d v="2023-09-03T00:00:00"/>
    <x v="2"/>
    <x v="2"/>
    <n v="2"/>
    <x v="1"/>
    <n v="60000"/>
    <n v="31000"/>
    <n v="120000"/>
    <n v="62000"/>
    <n v="57594"/>
    <n v="405.99999999999994"/>
    <s v="30 mns"/>
    <x v="1"/>
    <n v="9"/>
    <x v="8"/>
  </r>
  <r>
    <d v="2023-09-03T00:00:00"/>
    <x v="2"/>
    <x v="2"/>
    <n v="2"/>
    <x v="2"/>
    <n v="89000"/>
    <n v="65000"/>
    <n v="178000"/>
    <n v="130000"/>
    <n v="47664"/>
    <n v="335.99999999999994"/>
    <s v="30 mns"/>
    <x v="3"/>
    <n v="9"/>
    <x v="8"/>
  </r>
  <r>
    <d v="2023-09-03T00:00:00"/>
    <x v="3"/>
    <x v="3"/>
    <n v="2"/>
    <x v="0"/>
    <n v="33000"/>
    <n v="18000"/>
    <n v="66000"/>
    <n v="36000"/>
    <n v="29790"/>
    <n v="209.99999999999997"/>
    <s v="35 mns"/>
    <x v="1"/>
    <n v="9"/>
    <x v="8"/>
  </r>
  <r>
    <d v="2023-09-03T00:00:00"/>
    <x v="3"/>
    <x v="3"/>
    <n v="2"/>
    <x v="1"/>
    <n v="60000"/>
    <n v="31000"/>
    <n v="120000"/>
    <n v="62000"/>
    <n v="57594"/>
    <n v="405.99999999999994"/>
    <s v="35 mns"/>
    <x v="0"/>
    <n v="9"/>
    <x v="8"/>
  </r>
  <r>
    <d v="2023-09-03T00:00:00"/>
    <x v="3"/>
    <x v="3"/>
    <n v="2"/>
    <x v="2"/>
    <n v="89000"/>
    <n v="65000"/>
    <n v="178000"/>
    <n v="130000"/>
    <n v="47664"/>
    <n v="335.99999999999994"/>
    <s v="35 mns"/>
    <x v="0"/>
    <n v="9"/>
    <x v="8"/>
  </r>
  <r>
    <d v="2023-09-04T00:00:00"/>
    <x v="0"/>
    <x v="0"/>
    <n v="2"/>
    <x v="0"/>
    <n v="33000"/>
    <n v="18000"/>
    <n v="66000"/>
    <n v="36000"/>
    <n v="29790"/>
    <n v="209.99999999999997"/>
    <s v="11 mns"/>
    <x v="1"/>
    <n v="9"/>
    <x v="8"/>
  </r>
  <r>
    <d v="2023-09-04T00:00:00"/>
    <x v="0"/>
    <x v="0"/>
    <n v="2"/>
    <x v="1"/>
    <n v="60000"/>
    <n v="31000"/>
    <n v="120000"/>
    <n v="62000"/>
    <n v="57594"/>
    <n v="405.99999999999994"/>
    <s v="11 mns"/>
    <x v="3"/>
    <n v="9"/>
    <x v="8"/>
  </r>
  <r>
    <d v="2023-09-04T00:00:00"/>
    <x v="0"/>
    <x v="0"/>
    <n v="2"/>
    <x v="2"/>
    <n v="89000"/>
    <n v="65000"/>
    <n v="178000"/>
    <n v="130000"/>
    <n v="47664"/>
    <n v="335.99999999999994"/>
    <s v="11 mns"/>
    <x v="0"/>
    <n v="9"/>
    <x v="8"/>
  </r>
  <r>
    <d v="2023-09-04T00:00:00"/>
    <x v="1"/>
    <x v="1"/>
    <n v="2"/>
    <x v="1"/>
    <n v="60000"/>
    <n v="31000"/>
    <n v="120000"/>
    <n v="62000"/>
    <n v="57594"/>
    <n v="405.99999999999994"/>
    <s v="58 mns"/>
    <x v="3"/>
    <n v="9"/>
    <x v="8"/>
  </r>
  <r>
    <d v="2023-09-04T00:00:00"/>
    <x v="2"/>
    <x v="2"/>
    <n v="2"/>
    <x v="0"/>
    <n v="33000"/>
    <n v="18000"/>
    <n v="66000"/>
    <n v="36000"/>
    <n v="29790"/>
    <n v="209.99999999999997"/>
    <s v="30 mns"/>
    <x v="3"/>
    <n v="9"/>
    <x v="8"/>
  </r>
  <r>
    <d v="2023-09-04T00:00:00"/>
    <x v="2"/>
    <x v="2"/>
    <n v="2"/>
    <x v="1"/>
    <n v="60000"/>
    <n v="31000"/>
    <n v="120000"/>
    <n v="62000"/>
    <n v="57594"/>
    <n v="405.99999999999994"/>
    <s v="30 mns"/>
    <x v="1"/>
    <n v="9"/>
    <x v="8"/>
  </r>
  <r>
    <d v="2023-09-04T00:00:00"/>
    <x v="2"/>
    <x v="2"/>
    <n v="2"/>
    <x v="2"/>
    <n v="89000"/>
    <n v="65000"/>
    <n v="178000"/>
    <n v="130000"/>
    <n v="47664"/>
    <n v="335.99999999999994"/>
    <s v="30 mns"/>
    <x v="3"/>
    <n v="9"/>
    <x v="8"/>
  </r>
  <r>
    <d v="2023-09-04T00:00:00"/>
    <x v="3"/>
    <x v="3"/>
    <n v="2"/>
    <x v="0"/>
    <n v="33000"/>
    <n v="18000"/>
    <n v="66000"/>
    <n v="36000"/>
    <n v="29790"/>
    <n v="209.99999999999997"/>
    <s v="35 mns"/>
    <x v="3"/>
    <n v="9"/>
    <x v="8"/>
  </r>
  <r>
    <d v="2023-09-04T00:00:00"/>
    <x v="3"/>
    <x v="3"/>
    <n v="2"/>
    <x v="1"/>
    <n v="60000"/>
    <n v="31000"/>
    <n v="120000"/>
    <n v="62000"/>
    <n v="57594"/>
    <n v="405.99999999999994"/>
    <s v="35 mns"/>
    <x v="0"/>
    <n v="9"/>
    <x v="8"/>
  </r>
  <r>
    <d v="2023-09-04T00:00:00"/>
    <x v="3"/>
    <x v="3"/>
    <n v="2"/>
    <x v="2"/>
    <n v="89000"/>
    <n v="65000"/>
    <n v="178000"/>
    <n v="130000"/>
    <n v="47664"/>
    <n v="335.99999999999994"/>
    <s v="35 mns"/>
    <x v="3"/>
    <n v="9"/>
    <x v="8"/>
  </r>
  <r>
    <d v="2023-09-05T00:00:00"/>
    <x v="0"/>
    <x v="0"/>
    <n v="1"/>
    <x v="0"/>
    <n v="33000"/>
    <n v="18000"/>
    <n v="33000"/>
    <n v="18000"/>
    <n v="14895"/>
    <n v="104.99999999999999"/>
    <s v="11 mns"/>
    <x v="3"/>
    <n v="9"/>
    <x v="8"/>
  </r>
  <r>
    <d v="2023-09-05T00:00:00"/>
    <x v="0"/>
    <x v="0"/>
    <n v="1"/>
    <x v="1"/>
    <n v="60000"/>
    <n v="31000"/>
    <n v="60000"/>
    <n v="31000"/>
    <n v="28797"/>
    <n v="202.99999999999997"/>
    <s v="11 mns"/>
    <x v="0"/>
    <n v="9"/>
    <x v="8"/>
  </r>
  <r>
    <d v="2023-09-05T00:00:00"/>
    <x v="0"/>
    <x v="0"/>
    <n v="1"/>
    <x v="2"/>
    <n v="89000"/>
    <n v="65000"/>
    <n v="89000"/>
    <n v="65000"/>
    <n v="23832"/>
    <n v="167.99999999999997"/>
    <s v="11 mns"/>
    <x v="3"/>
    <n v="9"/>
    <x v="8"/>
  </r>
  <r>
    <d v="2023-09-05T00:00:00"/>
    <x v="1"/>
    <x v="1"/>
    <n v="1"/>
    <x v="1"/>
    <n v="60000"/>
    <n v="31000"/>
    <n v="60000"/>
    <n v="31000"/>
    <n v="28797"/>
    <n v="202.99999999999997"/>
    <s v="58 mns"/>
    <x v="3"/>
    <n v="9"/>
    <x v="8"/>
  </r>
  <r>
    <d v="2023-09-05T00:00:00"/>
    <x v="2"/>
    <x v="2"/>
    <n v="1"/>
    <x v="0"/>
    <n v="33000"/>
    <n v="18000"/>
    <n v="33000"/>
    <n v="18000"/>
    <n v="14895"/>
    <n v="104.99999999999999"/>
    <s v="30 mns"/>
    <x v="1"/>
    <n v="9"/>
    <x v="8"/>
  </r>
  <r>
    <d v="2023-09-05T00:00:00"/>
    <x v="2"/>
    <x v="2"/>
    <n v="1"/>
    <x v="1"/>
    <n v="60000"/>
    <n v="31000"/>
    <n v="60000"/>
    <n v="31000"/>
    <n v="28797"/>
    <n v="202.99999999999997"/>
    <s v="30 mns"/>
    <x v="0"/>
    <n v="9"/>
    <x v="8"/>
  </r>
  <r>
    <d v="2023-09-05T00:00:00"/>
    <x v="2"/>
    <x v="2"/>
    <n v="1"/>
    <x v="2"/>
    <n v="89000"/>
    <n v="65000"/>
    <n v="89000"/>
    <n v="65000"/>
    <n v="23832"/>
    <n v="167.99999999999997"/>
    <s v="30 mns"/>
    <x v="0"/>
    <n v="9"/>
    <x v="8"/>
  </r>
  <r>
    <d v="2023-09-05T00:00:00"/>
    <x v="3"/>
    <x v="3"/>
    <n v="1"/>
    <x v="0"/>
    <n v="33000"/>
    <n v="18000"/>
    <n v="33000"/>
    <n v="18000"/>
    <n v="14895"/>
    <n v="104.99999999999999"/>
    <s v="35 mns"/>
    <x v="0"/>
    <n v="9"/>
    <x v="8"/>
  </r>
  <r>
    <d v="2023-09-05T00:00:00"/>
    <x v="3"/>
    <x v="3"/>
    <n v="1"/>
    <x v="1"/>
    <n v="60000"/>
    <n v="31000"/>
    <n v="60000"/>
    <n v="31000"/>
    <n v="28797"/>
    <n v="202.99999999999997"/>
    <s v="35 mns"/>
    <x v="3"/>
    <n v="9"/>
    <x v="8"/>
  </r>
  <r>
    <d v="2023-09-05T00:00:00"/>
    <x v="3"/>
    <x v="3"/>
    <n v="1"/>
    <x v="2"/>
    <n v="89000"/>
    <n v="65000"/>
    <n v="89000"/>
    <n v="65000"/>
    <n v="23832"/>
    <n v="167.99999999999997"/>
    <s v="35 mns"/>
    <x v="0"/>
    <n v="9"/>
    <x v="8"/>
  </r>
  <r>
    <d v="2023-09-06T00:00:00"/>
    <x v="0"/>
    <x v="0"/>
    <n v="1"/>
    <x v="0"/>
    <n v="33000"/>
    <n v="18000"/>
    <n v="33000"/>
    <n v="18000"/>
    <n v="14895"/>
    <n v="104.99999999999999"/>
    <s v="11 mns"/>
    <x v="0"/>
    <n v="9"/>
    <x v="8"/>
  </r>
  <r>
    <d v="2023-09-06T00:00:00"/>
    <x v="0"/>
    <x v="0"/>
    <n v="1"/>
    <x v="1"/>
    <n v="60000"/>
    <n v="31000"/>
    <n v="60000"/>
    <n v="31000"/>
    <n v="28797"/>
    <n v="202.99999999999997"/>
    <s v="11 mns"/>
    <x v="3"/>
    <n v="9"/>
    <x v="8"/>
  </r>
  <r>
    <d v="2023-09-06T00:00:00"/>
    <x v="0"/>
    <x v="0"/>
    <n v="1"/>
    <x v="2"/>
    <n v="89000"/>
    <n v="65000"/>
    <n v="89000"/>
    <n v="65000"/>
    <n v="23832"/>
    <n v="167.99999999999997"/>
    <s v="11 mns"/>
    <x v="0"/>
    <n v="9"/>
    <x v="8"/>
  </r>
  <r>
    <d v="2023-09-06T00:00:00"/>
    <x v="2"/>
    <x v="2"/>
    <n v="1"/>
    <x v="1"/>
    <n v="60000"/>
    <n v="31000"/>
    <n v="60000"/>
    <n v="31000"/>
    <n v="28797"/>
    <n v="202.99999999999997"/>
    <s v="30 mns"/>
    <x v="3"/>
    <n v="9"/>
    <x v="8"/>
  </r>
  <r>
    <d v="2023-09-06T00:00:00"/>
    <x v="2"/>
    <x v="2"/>
    <n v="1"/>
    <x v="2"/>
    <n v="89000"/>
    <n v="65000"/>
    <n v="89000"/>
    <n v="65000"/>
    <n v="23832"/>
    <n v="167.99999999999997"/>
    <s v="30 mns"/>
    <x v="3"/>
    <n v="9"/>
    <x v="8"/>
  </r>
  <r>
    <d v="2023-09-06T00:00:00"/>
    <x v="3"/>
    <x v="3"/>
    <n v="1"/>
    <x v="0"/>
    <n v="33000"/>
    <n v="18000"/>
    <n v="33000"/>
    <n v="18000"/>
    <n v="14895"/>
    <n v="104.99999999999999"/>
    <s v="35 mns"/>
    <x v="3"/>
    <n v="9"/>
    <x v="8"/>
  </r>
  <r>
    <d v="2023-09-06T00:00:00"/>
    <x v="3"/>
    <x v="3"/>
    <n v="1"/>
    <x v="1"/>
    <n v="60000"/>
    <n v="31000"/>
    <n v="60000"/>
    <n v="31000"/>
    <n v="28797"/>
    <n v="202.99999999999997"/>
    <s v="35 mns"/>
    <x v="0"/>
    <n v="9"/>
    <x v="8"/>
  </r>
  <r>
    <d v="2023-09-06T00:00:00"/>
    <x v="3"/>
    <x v="3"/>
    <n v="1"/>
    <x v="2"/>
    <n v="89000"/>
    <n v="65000"/>
    <n v="89000"/>
    <n v="65000"/>
    <n v="23832"/>
    <n v="167.99999999999997"/>
    <s v="35 mns"/>
    <x v="2"/>
    <n v="9"/>
    <x v="8"/>
  </r>
  <r>
    <d v="2023-09-07T00:00:00"/>
    <x v="0"/>
    <x v="0"/>
    <n v="1"/>
    <x v="0"/>
    <n v="33000"/>
    <n v="18000"/>
    <n v="33000"/>
    <n v="18000"/>
    <n v="14895"/>
    <n v="104.99999999999999"/>
    <s v="11 mns"/>
    <x v="0"/>
    <n v="9"/>
    <x v="8"/>
  </r>
  <r>
    <d v="2023-09-07T00:00:00"/>
    <x v="0"/>
    <x v="0"/>
    <n v="1"/>
    <x v="1"/>
    <n v="60000"/>
    <n v="31000"/>
    <n v="60000"/>
    <n v="31000"/>
    <n v="28797"/>
    <n v="202.99999999999997"/>
    <s v="11 mns"/>
    <x v="1"/>
    <n v="9"/>
    <x v="8"/>
  </r>
  <r>
    <d v="2023-09-07T00:00:00"/>
    <x v="0"/>
    <x v="0"/>
    <n v="1"/>
    <x v="2"/>
    <n v="89000"/>
    <n v="65000"/>
    <n v="89000"/>
    <n v="65000"/>
    <n v="23832"/>
    <n v="167.99999999999997"/>
    <s v="11 mns"/>
    <x v="2"/>
    <n v="9"/>
    <x v="8"/>
  </r>
  <r>
    <d v="2023-09-07T00:00:00"/>
    <x v="2"/>
    <x v="2"/>
    <n v="1"/>
    <x v="0"/>
    <n v="33000"/>
    <n v="18000"/>
    <n v="33000"/>
    <n v="18000"/>
    <n v="14895"/>
    <n v="104.99999999999999"/>
    <s v="30 mns"/>
    <x v="3"/>
    <n v="9"/>
    <x v="8"/>
  </r>
  <r>
    <d v="2023-09-07T00:00:00"/>
    <x v="2"/>
    <x v="2"/>
    <n v="1"/>
    <x v="1"/>
    <n v="60000"/>
    <n v="31000"/>
    <n v="60000"/>
    <n v="31000"/>
    <n v="28797"/>
    <n v="202.99999999999997"/>
    <s v="30 mns"/>
    <x v="0"/>
    <n v="9"/>
    <x v="8"/>
  </r>
  <r>
    <d v="2023-09-07T00:00:00"/>
    <x v="2"/>
    <x v="2"/>
    <n v="1"/>
    <x v="2"/>
    <n v="89000"/>
    <n v="65000"/>
    <n v="89000"/>
    <n v="65000"/>
    <n v="23832"/>
    <n v="167.99999999999997"/>
    <s v="30 mns"/>
    <x v="3"/>
    <n v="9"/>
    <x v="8"/>
  </r>
  <r>
    <d v="2023-09-07T00:00:00"/>
    <x v="3"/>
    <x v="3"/>
    <n v="1"/>
    <x v="0"/>
    <n v="33000"/>
    <n v="18000"/>
    <n v="33000"/>
    <n v="18000"/>
    <n v="14895"/>
    <n v="104.99999999999999"/>
    <s v="35 mns"/>
    <x v="1"/>
    <n v="9"/>
    <x v="8"/>
  </r>
  <r>
    <d v="2023-09-07T00:00:00"/>
    <x v="3"/>
    <x v="3"/>
    <n v="1"/>
    <x v="1"/>
    <n v="60000"/>
    <n v="31000"/>
    <n v="60000"/>
    <n v="31000"/>
    <n v="28797"/>
    <n v="202.99999999999997"/>
    <s v="35 mns"/>
    <x v="3"/>
    <n v="9"/>
    <x v="8"/>
  </r>
  <r>
    <d v="2023-09-07T00:00:00"/>
    <x v="3"/>
    <x v="3"/>
    <n v="1"/>
    <x v="2"/>
    <n v="89000"/>
    <n v="65000"/>
    <n v="89000"/>
    <n v="65000"/>
    <n v="23832"/>
    <n v="167.99999999999997"/>
    <s v="35 mns"/>
    <x v="3"/>
    <n v="9"/>
    <x v="8"/>
  </r>
  <r>
    <d v="2023-09-08T00:00:00"/>
    <x v="0"/>
    <x v="0"/>
    <n v="1"/>
    <x v="0"/>
    <n v="33000"/>
    <n v="18000"/>
    <n v="33000"/>
    <n v="18000"/>
    <n v="14895"/>
    <n v="104.99999999999999"/>
    <s v="11 mns"/>
    <x v="1"/>
    <n v="9"/>
    <x v="8"/>
  </r>
  <r>
    <d v="2023-09-08T00:00:00"/>
    <x v="0"/>
    <x v="0"/>
    <n v="1"/>
    <x v="1"/>
    <n v="60000"/>
    <n v="31000"/>
    <n v="60000"/>
    <n v="31000"/>
    <n v="28797"/>
    <n v="202.99999999999997"/>
    <s v="11 mns"/>
    <x v="1"/>
    <n v="9"/>
    <x v="8"/>
  </r>
  <r>
    <d v="2023-09-08T00:00:00"/>
    <x v="0"/>
    <x v="0"/>
    <n v="1"/>
    <x v="2"/>
    <n v="89000"/>
    <n v="65000"/>
    <n v="89000"/>
    <n v="65000"/>
    <n v="23832"/>
    <n v="167.99999999999997"/>
    <s v="11 mns"/>
    <x v="1"/>
    <n v="9"/>
    <x v="8"/>
  </r>
  <r>
    <d v="2023-09-08T00:00:00"/>
    <x v="2"/>
    <x v="2"/>
    <n v="1"/>
    <x v="0"/>
    <n v="33000"/>
    <n v="18000"/>
    <n v="33000"/>
    <n v="18000"/>
    <n v="14895"/>
    <n v="104.99999999999999"/>
    <s v="30 mns"/>
    <x v="3"/>
    <n v="9"/>
    <x v="8"/>
  </r>
  <r>
    <d v="2023-09-08T00:00:00"/>
    <x v="2"/>
    <x v="2"/>
    <n v="1"/>
    <x v="1"/>
    <n v="60000"/>
    <n v="31000"/>
    <n v="60000"/>
    <n v="31000"/>
    <n v="28797"/>
    <n v="202.99999999999997"/>
    <s v="30 mns"/>
    <x v="1"/>
    <n v="9"/>
    <x v="8"/>
  </r>
  <r>
    <d v="2023-09-08T00:00:00"/>
    <x v="2"/>
    <x v="2"/>
    <n v="1"/>
    <x v="2"/>
    <n v="89000"/>
    <n v="65000"/>
    <n v="89000"/>
    <n v="65000"/>
    <n v="23832"/>
    <n v="167.99999999999997"/>
    <s v="30 mns"/>
    <x v="1"/>
    <n v="9"/>
    <x v="8"/>
  </r>
  <r>
    <d v="2023-09-08T00:00:00"/>
    <x v="3"/>
    <x v="3"/>
    <n v="1"/>
    <x v="0"/>
    <n v="33000"/>
    <n v="18000"/>
    <n v="33000"/>
    <n v="18000"/>
    <n v="14895"/>
    <n v="104.99999999999999"/>
    <s v="35 mns"/>
    <x v="3"/>
    <n v="9"/>
    <x v="8"/>
  </r>
  <r>
    <d v="2023-09-08T00:00:00"/>
    <x v="3"/>
    <x v="3"/>
    <n v="1"/>
    <x v="1"/>
    <n v="60000"/>
    <n v="31000"/>
    <n v="60000"/>
    <n v="31000"/>
    <n v="28797"/>
    <n v="202.99999999999997"/>
    <s v="35 mns"/>
    <x v="1"/>
    <n v="9"/>
    <x v="8"/>
  </r>
  <r>
    <d v="2023-09-08T00:00:00"/>
    <x v="3"/>
    <x v="3"/>
    <n v="1"/>
    <x v="2"/>
    <n v="89000"/>
    <n v="65000"/>
    <n v="89000"/>
    <n v="65000"/>
    <n v="23832"/>
    <n v="167.99999999999997"/>
    <s v="35 mns"/>
    <x v="3"/>
    <n v="9"/>
    <x v="8"/>
  </r>
  <r>
    <d v="2023-09-09T00:00:00"/>
    <x v="0"/>
    <x v="0"/>
    <n v="2"/>
    <x v="0"/>
    <n v="33000"/>
    <n v="18000"/>
    <n v="66000"/>
    <n v="36000"/>
    <n v="29790"/>
    <n v="209.99999999999997"/>
    <s v="11 mns"/>
    <x v="3"/>
    <n v="9"/>
    <x v="8"/>
  </r>
  <r>
    <d v="2023-09-09T00:00:00"/>
    <x v="0"/>
    <x v="0"/>
    <n v="2"/>
    <x v="1"/>
    <n v="60000"/>
    <n v="31000"/>
    <n v="120000"/>
    <n v="62000"/>
    <n v="57594"/>
    <n v="405.99999999999994"/>
    <s v="11 mns"/>
    <x v="1"/>
    <n v="9"/>
    <x v="8"/>
  </r>
  <r>
    <d v="2023-09-09T00:00:00"/>
    <x v="0"/>
    <x v="0"/>
    <n v="2"/>
    <x v="2"/>
    <n v="89000"/>
    <n v="65000"/>
    <n v="178000"/>
    <n v="130000"/>
    <n v="47664"/>
    <n v="335.99999999999994"/>
    <s v="11 mns"/>
    <x v="3"/>
    <n v="9"/>
    <x v="8"/>
  </r>
  <r>
    <d v="2023-09-09T00:00:00"/>
    <x v="2"/>
    <x v="2"/>
    <n v="2"/>
    <x v="1"/>
    <n v="60000"/>
    <n v="31000"/>
    <n v="120000"/>
    <n v="62000"/>
    <n v="57594"/>
    <n v="405.99999999999994"/>
    <s v="30 mns"/>
    <x v="1"/>
    <n v="9"/>
    <x v="8"/>
  </r>
  <r>
    <d v="2023-09-09T00:00:00"/>
    <x v="2"/>
    <x v="2"/>
    <n v="2"/>
    <x v="2"/>
    <n v="89000"/>
    <n v="65000"/>
    <n v="178000"/>
    <n v="130000"/>
    <n v="47664"/>
    <n v="335.99999999999994"/>
    <s v="30 mns"/>
    <x v="1"/>
    <n v="9"/>
    <x v="8"/>
  </r>
  <r>
    <d v="2023-09-09T00:00:00"/>
    <x v="3"/>
    <x v="3"/>
    <n v="2"/>
    <x v="0"/>
    <n v="33000"/>
    <n v="18000"/>
    <n v="66000"/>
    <n v="36000"/>
    <n v="29790"/>
    <n v="209.99999999999997"/>
    <s v="35 mns"/>
    <x v="0"/>
    <n v="9"/>
    <x v="8"/>
  </r>
  <r>
    <d v="2023-09-09T00:00:00"/>
    <x v="3"/>
    <x v="3"/>
    <n v="2"/>
    <x v="1"/>
    <n v="60000"/>
    <n v="31000"/>
    <n v="120000"/>
    <n v="62000"/>
    <n v="57594"/>
    <n v="405.99999999999994"/>
    <s v="35 mns"/>
    <x v="3"/>
    <n v="9"/>
    <x v="8"/>
  </r>
  <r>
    <d v="2023-09-09T00:00:00"/>
    <x v="3"/>
    <x v="3"/>
    <n v="2"/>
    <x v="2"/>
    <n v="89000"/>
    <n v="65000"/>
    <n v="178000"/>
    <n v="130000"/>
    <n v="47664"/>
    <n v="335.99999999999994"/>
    <s v="35 mns"/>
    <x v="2"/>
    <n v="9"/>
    <x v="8"/>
  </r>
  <r>
    <d v="2023-09-10T00:00:00"/>
    <x v="0"/>
    <x v="0"/>
    <n v="2"/>
    <x v="0"/>
    <n v="33000"/>
    <n v="18000"/>
    <n v="66000"/>
    <n v="36000"/>
    <n v="29790"/>
    <n v="209.99999999999997"/>
    <s v="11 mns"/>
    <x v="0"/>
    <n v="9"/>
    <x v="8"/>
  </r>
  <r>
    <d v="2023-09-10T00:00:00"/>
    <x v="0"/>
    <x v="0"/>
    <n v="2"/>
    <x v="1"/>
    <n v="60000"/>
    <n v="31000"/>
    <n v="120000"/>
    <n v="62000"/>
    <n v="57594"/>
    <n v="405.99999999999994"/>
    <s v="11 mns"/>
    <x v="1"/>
    <n v="9"/>
    <x v="8"/>
  </r>
  <r>
    <d v="2023-09-10T00:00:00"/>
    <x v="0"/>
    <x v="0"/>
    <n v="2"/>
    <x v="2"/>
    <n v="89000"/>
    <n v="65000"/>
    <n v="178000"/>
    <n v="130000"/>
    <n v="47664"/>
    <n v="335.99999999999994"/>
    <s v="11 mns"/>
    <x v="0"/>
    <n v="9"/>
    <x v="8"/>
  </r>
  <r>
    <d v="2023-09-10T00:00:00"/>
    <x v="2"/>
    <x v="2"/>
    <n v="2"/>
    <x v="1"/>
    <n v="60000"/>
    <n v="31000"/>
    <n v="120000"/>
    <n v="62000"/>
    <n v="57594"/>
    <n v="405.99999999999994"/>
    <s v="30 mns"/>
    <x v="3"/>
    <n v="9"/>
    <x v="8"/>
  </r>
  <r>
    <d v="2023-09-10T00:00:00"/>
    <x v="2"/>
    <x v="2"/>
    <n v="2"/>
    <x v="2"/>
    <n v="89000"/>
    <n v="65000"/>
    <n v="178000"/>
    <n v="130000"/>
    <n v="47664"/>
    <n v="335.99999999999994"/>
    <s v="30 mns"/>
    <x v="1"/>
    <n v="9"/>
    <x v="8"/>
  </r>
  <r>
    <d v="2023-09-10T00:00:00"/>
    <x v="3"/>
    <x v="3"/>
    <n v="2"/>
    <x v="0"/>
    <n v="33000"/>
    <n v="18000"/>
    <n v="66000"/>
    <n v="36000"/>
    <n v="29790"/>
    <n v="209.99999999999997"/>
    <s v="35 mns"/>
    <x v="0"/>
    <n v="9"/>
    <x v="8"/>
  </r>
  <r>
    <d v="2023-09-10T00:00:00"/>
    <x v="3"/>
    <x v="3"/>
    <n v="2"/>
    <x v="1"/>
    <n v="60000"/>
    <n v="31000"/>
    <n v="120000"/>
    <n v="62000"/>
    <n v="57594"/>
    <n v="405.99999999999994"/>
    <s v="35 mns"/>
    <x v="1"/>
    <n v="9"/>
    <x v="8"/>
  </r>
  <r>
    <d v="2023-09-10T00:00:00"/>
    <x v="3"/>
    <x v="3"/>
    <n v="2"/>
    <x v="2"/>
    <n v="89000"/>
    <n v="65000"/>
    <n v="178000"/>
    <n v="130000"/>
    <n v="47664"/>
    <n v="335.99999999999994"/>
    <s v="35 mns"/>
    <x v="3"/>
    <n v="9"/>
    <x v="8"/>
  </r>
  <r>
    <d v="2023-09-11T00:00:00"/>
    <x v="0"/>
    <x v="0"/>
    <n v="2"/>
    <x v="0"/>
    <n v="33000"/>
    <n v="18000"/>
    <n v="66000"/>
    <n v="36000"/>
    <n v="29790"/>
    <n v="209.99999999999997"/>
    <s v="11 mns"/>
    <x v="3"/>
    <n v="9"/>
    <x v="8"/>
  </r>
  <r>
    <d v="2023-09-11T00:00:00"/>
    <x v="0"/>
    <x v="0"/>
    <n v="2"/>
    <x v="1"/>
    <n v="60000"/>
    <n v="31000"/>
    <n v="120000"/>
    <n v="62000"/>
    <n v="57594"/>
    <n v="405.99999999999994"/>
    <s v="11 mns"/>
    <x v="0"/>
    <n v="9"/>
    <x v="8"/>
  </r>
  <r>
    <d v="2023-09-11T00:00:00"/>
    <x v="0"/>
    <x v="0"/>
    <n v="2"/>
    <x v="2"/>
    <n v="89000"/>
    <n v="65000"/>
    <n v="178000"/>
    <n v="130000"/>
    <n v="47664"/>
    <n v="335.99999999999994"/>
    <s v="11 mns"/>
    <x v="3"/>
    <n v="9"/>
    <x v="8"/>
  </r>
  <r>
    <d v="2023-09-11T00:00:00"/>
    <x v="2"/>
    <x v="2"/>
    <n v="2"/>
    <x v="0"/>
    <n v="33000"/>
    <n v="18000"/>
    <n v="66000"/>
    <n v="36000"/>
    <n v="29790"/>
    <n v="209.99999999999997"/>
    <s v="30 mns"/>
    <x v="3"/>
    <n v="9"/>
    <x v="8"/>
  </r>
  <r>
    <d v="2023-09-11T00:00:00"/>
    <x v="2"/>
    <x v="2"/>
    <n v="2"/>
    <x v="1"/>
    <n v="60000"/>
    <n v="31000"/>
    <n v="120000"/>
    <n v="62000"/>
    <n v="57594"/>
    <n v="405.99999999999994"/>
    <s v="30 mns"/>
    <x v="2"/>
    <n v="9"/>
    <x v="8"/>
  </r>
  <r>
    <d v="2023-09-11T00:00:00"/>
    <x v="2"/>
    <x v="2"/>
    <n v="2"/>
    <x v="2"/>
    <n v="89000"/>
    <n v="65000"/>
    <n v="178000"/>
    <n v="130000"/>
    <n v="47664"/>
    <n v="335.99999999999994"/>
    <s v="30 mns"/>
    <x v="3"/>
    <n v="9"/>
    <x v="8"/>
  </r>
  <r>
    <d v="2023-09-11T00:00:00"/>
    <x v="3"/>
    <x v="3"/>
    <n v="2"/>
    <x v="0"/>
    <n v="33000"/>
    <n v="18000"/>
    <n v="66000"/>
    <n v="36000"/>
    <n v="29790"/>
    <n v="209.99999999999997"/>
    <s v="35 mns"/>
    <x v="3"/>
    <n v="9"/>
    <x v="8"/>
  </r>
  <r>
    <d v="2023-09-11T00:00:00"/>
    <x v="3"/>
    <x v="3"/>
    <n v="2"/>
    <x v="1"/>
    <n v="60000"/>
    <n v="31000"/>
    <n v="120000"/>
    <n v="62000"/>
    <n v="57594"/>
    <n v="405.99999999999994"/>
    <s v="35 mns"/>
    <x v="0"/>
    <n v="9"/>
    <x v="8"/>
  </r>
  <r>
    <d v="2023-09-11T00:00:00"/>
    <x v="3"/>
    <x v="3"/>
    <n v="2"/>
    <x v="2"/>
    <n v="89000"/>
    <n v="65000"/>
    <n v="178000"/>
    <n v="130000"/>
    <n v="47664"/>
    <n v="335.99999999999994"/>
    <s v="35 mns"/>
    <x v="3"/>
    <n v="9"/>
    <x v="8"/>
  </r>
  <r>
    <d v="2023-09-12T00:00:00"/>
    <x v="0"/>
    <x v="0"/>
    <n v="1"/>
    <x v="0"/>
    <n v="33000"/>
    <n v="18000"/>
    <n v="33000"/>
    <n v="18000"/>
    <n v="14895"/>
    <n v="104.99999999999999"/>
    <s v="11 mns"/>
    <x v="3"/>
    <n v="9"/>
    <x v="8"/>
  </r>
  <r>
    <d v="2023-09-12T00:00:00"/>
    <x v="0"/>
    <x v="0"/>
    <n v="1"/>
    <x v="1"/>
    <n v="60000"/>
    <n v="31000"/>
    <n v="60000"/>
    <n v="31000"/>
    <n v="28797"/>
    <n v="202.99999999999997"/>
    <s v="11 mns"/>
    <x v="2"/>
    <n v="9"/>
    <x v="8"/>
  </r>
  <r>
    <d v="2023-09-12T00:00:00"/>
    <x v="0"/>
    <x v="0"/>
    <n v="1"/>
    <x v="2"/>
    <n v="89000"/>
    <n v="65000"/>
    <n v="89000"/>
    <n v="65000"/>
    <n v="23832"/>
    <n v="167.99999999999997"/>
    <s v="11 mns"/>
    <x v="3"/>
    <n v="9"/>
    <x v="8"/>
  </r>
  <r>
    <d v="2023-09-12T00:00:00"/>
    <x v="2"/>
    <x v="2"/>
    <n v="1"/>
    <x v="0"/>
    <n v="33000"/>
    <n v="18000"/>
    <n v="33000"/>
    <n v="18000"/>
    <n v="14895"/>
    <n v="104.99999999999999"/>
    <s v="30 mns"/>
    <x v="1"/>
    <n v="9"/>
    <x v="8"/>
  </r>
  <r>
    <d v="2023-09-12T00:00:00"/>
    <x v="2"/>
    <x v="2"/>
    <n v="1"/>
    <x v="1"/>
    <n v="60000"/>
    <n v="31000"/>
    <n v="60000"/>
    <n v="31000"/>
    <n v="28797"/>
    <n v="202.99999999999997"/>
    <s v="30 mns"/>
    <x v="2"/>
    <n v="9"/>
    <x v="8"/>
  </r>
  <r>
    <d v="2023-09-12T00:00:00"/>
    <x v="2"/>
    <x v="2"/>
    <n v="1"/>
    <x v="2"/>
    <n v="89000"/>
    <n v="65000"/>
    <n v="89000"/>
    <n v="65000"/>
    <n v="23832"/>
    <n v="167.99999999999997"/>
    <s v="30 mns"/>
    <x v="3"/>
    <n v="9"/>
    <x v="8"/>
  </r>
  <r>
    <d v="2023-09-12T00:00:00"/>
    <x v="3"/>
    <x v="3"/>
    <n v="1"/>
    <x v="0"/>
    <n v="33000"/>
    <n v="18000"/>
    <n v="33000"/>
    <n v="18000"/>
    <n v="14895"/>
    <n v="104.99999999999999"/>
    <s v="35 mns"/>
    <x v="3"/>
    <n v="9"/>
    <x v="8"/>
  </r>
  <r>
    <d v="2023-09-12T00:00:00"/>
    <x v="3"/>
    <x v="3"/>
    <n v="1"/>
    <x v="1"/>
    <n v="60000"/>
    <n v="31000"/>
    <n v="60000"/>
    <n v="31000"/>
    <n v="28797"/>
    <n v="202.99999999999997"/>
    <s v="35 mns"/>
    <x v="0"/>
    <n v="9"/>
    <x v="8"/>
  </r>
  <r>
    <d v="2023-09-12T00:00:00"/>
    <x v="3"/>
    <x v="3"/>
    <n v="1"/>
    <x v="2"/>
    <n v="89000"/>
    <n v="65000"/>
    <n v="89000"/>
    <n v="65000"/>
    <n v="23832"/>
    <n v="167.99999999999997"/>
    <s v="35 mns"/>
    <x v="1"/>
    <n v="9"/>
    <x v="8"/>
  </r>
  <r>
    <d v="2023-09-13T00:00:00"/>
    <x v="0"/>
    <x v="0"/>
    <n v="1"/>
    <x v="0"/>
    <n v="33000"/>
    <n v="18000"/>
    <n v="33000"/>
    <n v="18000"/>
    <n v="14895"/>
    <n v="104.99999999999999"/>
    <s v="11 mns"/>
    <x v="3"/>
    <n v="9"/>
    <x v="8"/>
  </r>
  <r>
    <d v="2023-09-13T00:00:00"/>
    <x v="0"/>
    <x v="0"/>
    <n v="1"/>
    <x v="1"/>
    <n v="60000"/>
    <n v="31000"/>
    <n v="60000"/>
    <n v="31000"/>
    <n v="28797"/>
    <n v="202.99999999999997"/>
    <s v="11 mns"/>
    <x v="1"/>
    <n v="9"/>
    <x v="8"/>
  </r>
  <r>
    <d v="2023-09-13T00:00:00"/>
    <x v="0"/>
    <x v="0"/>
    <n v="1"/>
    <x v="2"/>
    <n v="89000"/>
    <n v="65000"/>
    <n v="89000"/>
    <n v="65000"/>
    <n v="23832"/>
    <n v="167.99999999999997"/>
    <s v="11 mns"/>
    <x v="2"/>
    <n v="9"/>
    <x v="8"/>
  </r>
  <r>
    <d v="2023-09-13T00:00:00"/>
    <x v="2"/>
    <x v="2"/>
    <n v="1"/>
    <x v="0"/>
    <n v="33000"/>
    <n v="18000"/>
    <n v="33000"/>
    <n v="18000"/>
    <n v="14895"/>
    <n v="104.99999999999999"/>
    <s v="30 mns"/>
    <x v="3"/>
    <n v="9"/>
    <x v="8"/>
  </r>
  <r>
    <d v="2023-09-13T00:00:00"/>
    <x v="2"/>
    <x v="2"/>
    <n v="1"/>
    <x v="1"/>
    <n v="60000"/>
    <n v="31000"/>
    <n v="60000"/>
    <n v="31000"/>
    <n v="28797"/>
    <n v="202.99999999999997"/>
    <s v="30 mns"/>
    <x v="2"/>
    <n v="9"/>
    <x v="8"/>
  </r>
  <r>
    <d v="2023-09-13T00:00:00"/>
    <x v="2"/>
    <x v="2"/>
    <n v="1"/>
    <x v="2"/>
    <n v="89000"/>
    <n v="65000"/>
    <n v="89000"/>
    <n v="65000"/>
    <n v="23832"/>
    <n v="167.99999999999997"/>
    <s v="30 mns"/>
    <x v="3"/>
    <n v="9"/>
    <x v="8"/>
  </r>
  <r>
    <d v="2023-09-13T00:00:00"/>
    <x v="3"/>
    <x v="3"/>
    <n v="1"/>
    <x v="0"/>
    <n v="33000"/>
    <n v="18000"/>
    <n v="33000"/>
    <n v="18000"/>
    <n v="14895"/>
    <n v="104.99999999999999"/>
    <s v="35 mns"/>
    <x v="0"/>
    <n v="9"/>
    <x v="8"/>
  </r>
  <r>
    <d v="2023-09-13T00:00:00"/>
    <x v="3"/>
    <x v="3"/>
    <n v="1"/>
    <x v="1"/>
    <n v="60000"/>
    <n v="31000"/>
    <n v="60000"/>
    <n v="31000"/>
    <n v="28797"/>
    <n v="202.99999999999997"/>
    <s v="35 mns"/>
    <x v="1"/>
    <n v="9"/>
    <x v="8"/>
  </r>
  <r>
    <d v="2023-09-13T00:00:00"/>
    <x v="3"/>
    <x v="3"/>
    <n v="1"/>
    <x v="2"/>
    <n v="89000"/>
    <n v="65000"/>
    <n v="89000"/>
    <n v="65000"/>
    <n v="23832"/>
    <n v="167.99999999999997"/>
    <s v="35 mns"/>
    <x v="1"/>
    <n v="9"/>
    <x v="8"/>
  </r>
  <r>
    <d v="2023-09-14T00:00:00"/>
    <x v="0"/>
    <x v="0"/>
    <n v="1"/>
    <x v="0"/>
    <n v="33000"/>
    <n v="18000"/>
    <n v="33000"/>
    <n v="18000"/>
    <n v="14895"/>
    <n v="104.99999999999999"/>
    <s v="11 mns"/>
    <x v="0"/>
    <n v="9"/>
    <x v="8"/>
  </r>
  <r>
    <d v="2023-09-14T00:00:00"/>
    <x v="0"/>
    <x v="0"/>
    <n v="1"/>
    <x v="1"/>
    <n v="60000"/>
    <n v="31000"/>
    <n v="60000"/>
    <n v="31000"/>
    <n v="28797"/>
    <n v="202.99999999999997"/>
    <s v="11 mns"/>
    <x v="3"/>
    <n v="9"/>
    <x v="8"/>
  </r>
  <r>
    <d v="2023-09-14T00:00:00"/>
    <x v="0"/>
    <x v="0"/>
    <n v="1"/>
    <x v="2"/>
    <n v="89000"/>
    <n v="65000"/>
    <n v="89000"/>
    <n v="65000"/>
    <n v="23832"/>
    <n v="167.99999999999997"/>
    <s v="11 mns"/>
    <x v="1"/>
    <n v="9"/>
    <x v="8"/>
  </r>
  <r>
    <d v="2023-09-14T00:00:00"/>
    <x v="2"/>
    <x v="2"/>
    <n v="1"/>
    <x v="0"/>
    <n v="33000"/>
    <n v="18000"/>
    <n v="33000"/>
    <n v="18000"/>
    <n v="14895"/>
    <n v="104.99999999999999"/>
    <s v="30 mns"/>
    <x v="3"/>
    <n v="9"/>
    <x v="8"/>
  </r>
  <r>
    <d v="2023-09-14T00:00:00"/>
    <x v="2"/>
    <x v="2"/>
    <n v="1"/>
    <x v="1"/>
    <n v="60000"/>
    <n v="31000"/>
    <n v="60000"/>
    <n v="31000"/>
    <n v="28797"/>
    <n v="202.99999999999997"/>
    <s v="30 mns"/>
    <x v="3"/>
    <n v="9"/>
    <x v="8"/>
  </r>
  <r>
    <d v="2023-09-14T00:00:00"/>
    <x v="2"/>
    <x v="2"/>
    <n v="1"/>
    <x v="2"/>
    <n v="89000"/>
    <n v="65000"/>
    <n v="89000"/>
    <n v="65000"/>
    <n v="23832"/>
    <n v="167.99999999999997"/>
    <s v="30 mns"/>
    <x v="1"/>
    <n v="9"/>
    <x v="8"/>
  </r>
  <r>
    <d v="2023-09-14T00:00:00"/>
    <x v="3"/>
    <x v="3"/>
    <n v="1"/>
    <x v="0"/>
    <n v="33000"/>
    <n v="18000"/>
    <n v="33000"/>
    <n v="18000"/>
    <n v="14895"/>
    <n v="104.99999999999999"/>
    <s v="35 mns"/>
    <x v="3"/>
    <n v="9"/>
    <x v="8"/>
  </r>
  <r>
    <d v="2023-09-14T00:00:00"/>
    <x v="3"/>
    <x v="3"/>
    <n v="1"/>
    <x v="1"/>
    <n v="60000"/>
    <n v="31000"/>
    <n v="60000"/>
    <n v="31000"/>
    <n v="28797"/>
    <n v="202.99999999999997"/>
    <s v="35 mns"/>
    <x v="0"/>
    <n v="9"/>
    <x v="8"/>
  </r>
  <r>
    <d v="2023-09-14T00:00:00"/>
    <x v="3"/>
    <x v="3"/>
    <n v="1"/>
    <x v="2"/>
    <n v="89000"/>
    <n v="65000"/>
    <n v="89000"/>
    <n v="65000"/>
    <n v="23832"/>
    <n v="167.99999999999997"/>
    <s v="35 mns"/>
    <x v="0"/>
    <n v="9"/>
    <x v="8"/>
  </r>
  <r>
    <d v="2023-09-15T00:00:00"/>
    <x v="0"/>
    <x v="0"/>
    <n v="2"/>
    <x v="0"/>
    <n v="33000"/>
    <n v="18000"/>
    <n v="66000"/>
    <n v="36000"/>
    <n v="29790"/>
    <n v="209.99999999999997"/>
    <s v="11 mns"/>
    <x v="2"/>
    <n v="9"/>
    <x v="8"/>
  </r>
  <r>
    <d v="2023-09-15T00:00:00"/>
    <x v="0"/>
    <x v="0"/>
    <n v="2"/>
    <x v="1"/>
    <n v="60000"/>
    <n v="31000"/>
    <n v="120000"/>
    <n v="62000"/>
    <n v="57594"/>
    <n v="405.99999999999994"/>
    <s v="11 mns"/>
    <x v="0"/>
    <n v="9"/>
    <x v="8"/>
  </r>
  <r>
    <d v="2023-09-15T00:00:00"/>
    <x v="0"/>
    <x v="0"/>
    <n v="2"/>
    <x v="2"/>
    <n v="89000"/>
    <n v="65000"/>
    <n v="178000"/>
    <n v="130000"/>
    <n v="47664"/>
    <n v="335.99999999999994"/>
    <s v="11 mns"/>
    <x v="0"/>
    <n v="9"/>
    <x v="8"/>
  </r>
  <r>
    <d v="2023-09-15T00:00:00"/>
    <x v="2"/>
    <x v="2"/>
    <n v="2"/>
    <x v="0"/>
    <n v="33000"/>
    <n v="18000"/>
    <n v="66000"/>
    <n v="36000"/>
    <n v="29790"/>
    <n v="209.99999999999997"/>
    <s v="30 mns"/>
    <x v="1"/>
    <n v="9"/>
    <x v="8"/>
  </r>
  <r>
    <d v="2023-09-15T00:00:00"/>
    <x v="2"/>
    <x v="2"/>
    <n v="2"/>
    <x v="1"/>
    <n v="60000"/>
    <n v="31000"/>
    <n v="120000"/>
    <n v="62000"/>
    <n v="57594"/>
    <n v="405.99999999999994"/>
    <s v="30 mns"/>
    <x v="3"/>
    <n v="9"/>
    <x v="8"/>
  </r>
  <r>
    <d v="2023-09-15T00:00:00"/>
    <x v="2"/>
    <x v="2"/>
    <n v="2"/>
    <x v="2"/>
    <n v="89000"/>
    <n v="65000"/>
    <n v="178000"/>
    <n v="130000"/>
    <n v="47664"/>
    <n v="335.99999999999994"/>
    <s v="30 mns"/>
    <x v="3"/>
    <n v="9"/>
    <x v="8"/>
  </r>
  <r>
    <d v="2023-09-15T00:00:00"/>
    <x v="3"/>
    <x v="3"/>
    <n v="2"/>
    <x v="0"/>
    <n v="33000"/>
    <n v="18000"/>
    <n v="66000"/>
    <n v="36000"/>
    <n v="29790"/>
    <n v="209.99999999999997"/>
    <s v="35 mns"/>
    <x v="1"/>
    <n v="9"/>
    <x v="8"/>
  </r>
  <r>
    <d v="2023-09-15T00:00:00"/>
    <x v="3"/>
    <x v="3"/>
    <n v="2"/>
    <x v="1"/>
    <n v="60000"/>
    <n v="31000"/>
    <n v="120000"/>
    <n v="62000"/>
    <n v="57594"/>
    <n v="405.99999999999994"/>
    <s v="35 mns"/>
    <x v="3"/>
    <n v="9"/>
    <x v="8"/>
  </r>
  <r>
    <d v="2023-09-15T00:00:00"/>
    <x v="3"/>
    <x v="3"/>
    <n v="2"/>
    <x v="2"/>
    <n v="89000"/>
    <n v="65000"/>
    <n v="178000"/>
    <n v="130000"/>
    <n v="47664"/>
    <n v="335.99999999999994"/>
    <s v="35 mns"/>
    <x v="3"/>
    <n v="9"/>
    <x v="8"/>
  </r>
  <r>
    <d v="2023-09-16T00:00:00"/>
    <x v="0"/>
    <x v="0"/>
    <n v="2"/>
    <x v="0"/>
    <n v="33000"/>
    <n v="18000"/>
    <n v="66000"/>
    <n v="36000"/>
    <n v="29790"/>
    <n v="209.99999999999997"/>
    <s v="11 mns"/>
    <x v="0"/>
    <n v="9"/>
    <x v="8"/>
  </r>
  <r>
    <d v="2023-09-16T00:00:00"/>
    <x v="0"/>
    <x v="0"/>
    <n v="2"/>
    <x v="1"/>
    <n v="60000"/>
    <n v="31000"/>
    <n v="120000"/>
    <n v="62000"/>
    <n v="57594"/>
    <n v="405.99999999999994"/>
    <s v="11 mns"/>
    <x v="3"/>
    <n v="9"/>
    <x v="8"/>
  </r>
  <r>
    <d v="2023-09-16T00:00:00"/>
    <x v="0"/>
    <x v="0"/>
    <n v="2"/>
    <x v="2"/>
    <n v="89000"/>
    <n v="65000"/>
    <n v="178000"/>
    <n v="130000"/>
    <n v="47664"/>
    <n v="335.99999999999994"/>
    <s v="11 mns"/>
    <x v="1"/>
    <n v="9"/>
    <x v="8"/>
  </r>
  <r>
    <d v="2023-09-16T00:00:00"/>
    <x v="1"/>
    <x v="1"/>
    <n v="2"/>
    <x v="0"/>
    <n v="33000"/>
    <n v="18000"/>
    <n v="66000"/>
    <n v="36000"/>
    <n v="29790"/>
    <n v="209.99999999999997"/>
    <s v="58 mns"/>
    <x v="1"/>
    <n v="9"/>
    <x v="8"/>
  </r>
  <r>
    <d v="2023-09-16T00:00:00"/>
    <x v="2"/>
    <x v="2"/>
    <n v="2"/>
    <x v="0"/>
    <n v="33000"/>
    <n v="18000"/>
    <n v="66000"/>
    <n v="36000"/>
    <n v="29790"/>
    <n v="209.99999999999997"/>
    <s v="30 mns"/>
    <x v="1"/>
    <n v="9"/>
    <x v="8"/>
  </r>
  <r>
    <d v="2023-09-16T00:00:00"/>
    <x v="2"/>
    <x v="2"/>
    <n v="2"/>
    <x v="1"/>
    <n v="60000"/>
    <n v="31000"/>
    <n v="120000"/>
    <n v="62000"/>
    <n v="57594"/>
    <n v="405.99999999999994"/>
    <s v="30 mns"/>
    <x v="1"/>
    <n v="9"/>
    <x v="8"/>
  </r>
  <r>
    <d v="2023-09-16T00:00:00"/>
    <x v="2"/>
    <x v="2"/>
    <n v="2"/>
    <x v="2"/>
    <n v="89000"/>
    <n v="65000"/>
    <n v="178000"/>
    <n v="130000"/>
    <n v="47664"/>
    <n v="335.99999999999994"/>
    <s v="30 mns"/>
    <x v="0"/>
    <n v="9"/>
    <x v="8"/>
  </r>
  <r>
    <d v="2023-09-16T00:00:00"/>
    <x v="3"/>
    <x v="3"/>
    <n v="2"/>
    <x v="0"/>
    <n v="33000"/>
    <n v="18000"/>
    <n v="66000"/>
    <n v="36000"/>
    <n v="29790"/>
    <n v="209.99999999999997"/>
    <s v="35 mns"/>
    <x v="0"/>
    <n v="9"/>
    <x v="8"/>
  </r>
  <r>
    <d v="2023-09-16T00:00:00"/>
    <x v="3"/>
    <x v="3"/>
    <n v="2"/>
    <x v="1"/>
    <n v="60000"/>
    <n v="31000"/>
    <n v="120000"/>
    <n v="62000"/>
    <n v="57594"/>
    <n v="405.99999999999994"/>
    <s v="35 mns"/>
    <x v="1"/>
    <n v="9"/>
    <x v="8"/>
  </r>
  <r>
    <d v="2023-09-16T00:00:00"/>
    <x v="3"/>
    <x v="3"/>
    <n v="2"/>
    <x v="2"/>
    <n v="89000"/>
    <n v="65000"/>
    <n v="178000"/>
    <n v="130000"/>
    <n v="47664"/>
    <n v="335.99999999999994"/>
    <s v="35 mns"/>
    <x v="3"/>
    <n v="9"/>
    <x v="8"/>
  </r>
  <r>
    <d v="2023-09-17T00:00:00"/>
    <x v="0"/>
    <x v="0"/>
    <n v="1"/>
    <x v="0"/>
    <n v="33000"/>
    <n v="18000"/>
    <n v="33000"/>
    <n v="18000"/>
    <n v="14895"/>
    <n v="104.99999999999999"/>
    <s v="11 mns"/>
    <x v="3"/>
    <n v="9"/>
    <x v="8"/>
  </r>
  <r>
    <d v="2023-09-17T00:00:00"/>
    <x v="0"/>
    <x v="0"/>
    <n v="1"/>
    <x v="1"/>
    <n v="60000"/>
    <n v="31000"/>
    <n v="60000"/>
    <n v="31000"/>
    <n v="28797"/>
    <n v="202.99999999999997"/>
    <s v="11 mns"/>
    <x v="1"/>
    <n v="9"/>
    <x v="8"/>
  </r>
  <r>
    <d v="2023-09-17T00:00:00"/>
    <x v="0"/>
    <x v="0"/>
    <n v="1"/>
    <x v="2"/>
    <n v="89000"/>
    <n v="65000"/>
    <n v="89000"/>
    <n v="65000"/>
    <n v="23832"/>
    <n v="167.99999999999997"/>
    <s v="11 mns"/>
    <x v="2"/>
    <n v="9"/>
    <x v="8"/>
  </r>
  <r>
    <d v="2023-09-17T00:00:00"/>
    <x v="1"/>
    <x v="1"/>
    <n v="1"/>
    <x v="0"/>
    <n v="33000"/>
    <n v="18000"/>
    <n v="33000"/>
    <n v="18000"/>
    <n v="14895"/>
    <n v="104.99999999999999"/>
    <s v="58 mns"/>
    <x v="0"/>
    <n v="9"/>
    <x v="8"/>
  </r>
  <r>
    <d v="2023-09-17T00:00:00"/>
    <x v="2"/>
    <x v="2"/>
    <n v="1"/>
    <x v="0"/>
    <n v="33000"/>
    <n v="18000"/>
    <n v="33000"/>
    <n v="18000"/>
    <n v="14895"/>
    <n v="104.99999999999999"/>
    <s v="30 mns"/>
    <x v="0"/>
    <n v="9"/>
    <x v="8"/>
  </r>
  <r>
    <d v="2023-09-17T00:00:00"/>
    <x v="2"/>
    <x v="2"/>
    <n v="1"/>
    <x v="1"/>
    <n v="60000"/>
    <n v="31000"/>
    <n v="60000"/>
    <n v="31000"/>
    <n v="28797"/>
    <n v="202.99999999999997"/>
    <s v="30 mns"/>
    <x v="2"/>
    <n v="9"/>
    <x v="8"/>
  </r>
  <r>
    <d v="2023-09-17T00:00:00"/>
    <x v="2"/>
    <x v="2"/>
    <n v="1"/>
    <x v="2"/>
    <n v="89000"/>
    <n v="65000"/>
    <n v="89000"/>
    <n v="65000"/>
    <n v="23832"/>
    <n v="167.99999999999997"/>
    <s v="30 mns"/>
    <x v="0"/>
    <n v="9"/>
    <x v="8"/>
  </r>
  <r>
    <d v="2023-09-17T00:00:00"/>
    <x v="3"/>
    <x v="3"/>
    <n v="1"/>
    <x v="0"/>
    <n v="33000"/>
    <n v="18000"/>
    <n v="33000"/>
    <n v="18000"/>
    <n v="14895"/>
    <n v="104.99999999999999"/>
    <s v="35 mns"/>
    <x v="1"/>
    <n v="9"/>
    <x v="8"/>
  </r>
  <r>
    <d v="2023-09-17T00:00:00"/>
    <x v="3"/>
    <x v="3"/>
    <n v="1"/>
    <x v="1"/>
    <n v="60000"/>
    <n v="31000"/>
    <n v="60000"/>
    <n v="31000"/>
    <n v="28797"/>
    <n v="202.99999999999997"/>
    <s v="35 mns"/>
    <x v="1"/>
    <n v="9"/>
    <x v="8"/>
  </r>
  <r>
    <d v="2023-09-17T00:00:00"/>
    <x v="3"/>
    <x v="3"/>
    <n v="1"/>
    <x v="2"/>
    <n v="89000"/>
    <n v="65000"/>
    <n v="89000"/>
    <n v="65000"/>
    <n v="23832"/>
    <n v="167.99999999999997"/>
    <s v="35 mns"/>
    <x v="3"/>
    <n v="9"/>
    <x v="8"/>
  </r>
  <r>
    <d v="2023-09-18T00:00:00"/>
    <x v="0"/>
    <x v="0"/>
    <n v="2"/>
    <x v="0"/>
    <n v="33000"/>
    <n v="18000"/>
    <n v="66000"/>
    <n v="36000"/>
    <n v="29790"/>
    <n v="209.99999999999997"/>
    <s v="11 mns"/>
    <x v="3"/>
    <n v="9"/>
    <x v="8"/>
  </r>
  <r>
    <d v="2023-09-18T00:00:00"/>
    <x v="0"/>
    <x v="0"/>
    <n v="2"/>
    <x v="1"/>
    <n v="60000"/>
    <n v="31000"/>
    <n v="120000"/>
    <n v="62000"/>
    <n v="57594"/>
    <n v="405.99999999999994"/>
    <s v="11 mns"/>
    <x v="3"/>
    <n v="9"/>
    <x v="8"/>
  </r>
  <r>
    <d v="2023-09-18T00:00:00"/>
    <x v="0"/>
    <x v="0"/>
    <n v="2"/>
    <x v="2"/>
    <n v="89000"/>
    <n v="65000"/>
    <n v="178000"/>
    <n v="130000"/>
    <n v="47664"/>
    <n v="335.99999999999994"/>
    <s v="11 mns"/>
    <x v="3"/>
    <n v="9"/>
    <x v="8"/>
  </r>
  <r>
    <d v="2023-09-18T00:00:00"/>
    <x v="1"/>
    <x v="1"/>
    <n v="2"/>
    <x v="0"/>
    <n v="33000"/>
    <n v="18000"/>
    <n v="66000"/>
    <n v="36000"/>
    <n v="29790"/>
    <n v="209.99999999999997"/>
    <s v="58 mns"/>
    <x v="1"/>
    <n v="9"/>
    <x v="8"/>
  </r>
  <r>
    <d v="2023-09-18T00:00:00"/>
    <x v="2"/>
    <x v="2"/>
    <n v="2"/>
    <x v="0"/>
    <n v="33000"/>
    <n v="18000"/>
    <n v="66000"/>
    <n v="36000"/>
    <n v="29790"/>
    <n v="209.99999999999997"/>
    <s v="30 mns"/>
    <x v="3"/>
    <n v="9"/>
    <x v="8"/>
  </r>
  <r>
    <d v="2023-09-18T00:00:00"/>
    <x v="2"/>
    <x v="2"/>
    <n v="2"/>
    <x v="1"/>
    <n v="60000"/>
    <n v="31000"/>
    <n v="120000"/>
    <n v="62000"/>
    <n v="57594"/>
    <n v="405.99999999999994"/>
    <s v="30 mns"/>
    <x v="3"/>
    <n v="9"/>
    <x v="8"/>
  </r>
  <r>
    <d v="2023-09-18T00:00:00"/>
    <x v="2"/>
    <x v="2"/>
    <n v="2"/>
    <x v="2"/>
    <n v="89000"/>
    <n v="65000"/>
    <n v="178000"/>
    <n v="130000"/>
    <n v="47664"/>
    <n v="335.99999999999994"/>
    <s v="30 mns"/>
    <x v="3"/>
    <n v="9"/>
    <x v="8"/>
  </r>
  <r>
    <d v="2023-09-18T00:00:00"/>
    <x v="3"/>
    <x v="3"/>
    <n v="2"/>
    <x v="0"/>
    <n v="33000"/>
    <n v="18000"/>
    <n v="66000"/>
    <n v="36000"/>
    <n v="29790"/>
    <n v="209.99999999999997"/>
    <s v="35 mns"/>
    <x v="3"/>
    <n v="9"/>
    <x v="8"/>
  </r>
  <r>
    <d v="2023-09-18T00:00:00"/>
    <x v="3"/>
    <x v="3"/>
    <n v="2"/>
    <x v="1"/>
    <n v="60000"/>
    <n v="31000"/>
    <n v="120000"/>
    <n v="62000"/>
    <n v="57594"/>
    <n v="405.99999999999994"/>
    <s v="35 mns"/>
    <x v="3"/>
    <n v="9"/>
    <x v="8"/>
  </r>
  <r>
    <d v="2023-09-18T00:00:00"/>
    <x v="3"/>
    <x v="3"/>
    <n v="2"/>
    <x v="2"/>
    <n v="89000"/>
    <n v="65000"/>
    <n v="178000"/>
    <n v="130000"/>
    <n v="47664"/>
    <n v="335.99999999999994"/>
    <s v="35 mns"/>
    <x v="0"/>
    <n v="9"/>
    <x v="8"/>
  </r>
  <r>
    <d v="2023-09-19T00:00:00"/>
    <x v="0"/>
    <x v="0"/>
    <n v="1"/>
    <x v="0"/>
    <n v="33000"/>
    <n v="18000"/>
    <n v="33000"/>
    <n v="18000"/>
    <n v="14895"/>
    <n v="104.99999999999999"/>
    <s v="11 mns"/>
    <x v="3"/>
    <n v="9"/>
    <x v="8"/>
  </r>
  <r>
    <d v="2023-09-19T00:00:00"/>
    <x v="0"/>
    <x v="0"/>
    <n v="1"/>
    <x v="1"/>
    <n v="60000"/>
    <n v="31000"/>
    <n v="60000"/>
    <n v="31000"/>
    <n v="28797"/>
    <n v="202.99999999999997"/>
    <s v="11 mns"/>
    <x v="0"/>
    <n v="9"/>
    <x v="8"/>
  </r>
  <r>
    <d v="2023-09-19T00:00:00"/>
    <x v="0"/>
    <x v="0"/>
    <n v="1"/>
    <x v="2"/>
    <n v="89000"/>
    <n v="65000"/>
    <n v="89000"/>
    <n v="65000"/>
    <n v="23832"/>
    <n v="167.99999999999997"/>
    <s v="11 mns"/>
    <x v="0"/>
    <n v="9"/>
    <x v="8"/>
  </r>
  <r>
    <d v="2023-09-19T00:00:00"/>
    <x v="1"/>
    <x v="1"/>
    <n v="1"/>
    <x v="0"/>
    <n v="33000"/>
    <n v="18000"/>
    <n v="33000"/>
    <n v="18000"/>
    <n v="14895"/>
    <n v="104.99999999999999"/>
    <s v="58 mns"/>
    <x v="2"/>
    <n v="9"/>
    <x v="8"/>
  </r>
  <r>
    <d v="2023-09-19T00:00:00"/>
    <x v="2"/>
    <x v="2"/>
    <n v="1"/>
    <x v="0"/>
    <n v="33000"/>
    <n v="18000"/>
    <n v="33000"/>
    <n v="18000"/>
    <n v="14895"/>
    <n v="104.99999999999999"/>
    <s v="30 mns"/>
    <x v="3"/>
    <n v="9"/>
    <x v="8"/>
  </r>
  <r>
    <d v="2023-09-19T00:00:00"/>
    <x v="2"/>
    <x v="2"/>
    <n v="1"/>
    <x v="1"/>
    <n v="60000"/>
    <n v="31000"/>
    <n v="60000"/>
    <n v="31000"/>
    <n v="28797"/>
    <n v="202.99999999999997"/>
    <s v="30 mns"/>
    <x v="1"/>
    <n v="9"/>
    <x v="8"/>
  </r>
  <r>
    <d v="2023-09-19T00:00:00"/>
    <x v="2"/>
    <x v="2"/>
    <n v="1"/>
    <x v="2"/>
    <n v="89000"/>
    <n v="65000"/>
    <n v="89000"/>
    <n v="65000"/>
    <n v="23832"/>
    <n v="167.99999999999997"/>
    <s v="30 mns"/>
    <x v="3"/>
    <n v="9"/>
    <x v="8"/>
  </r>
  <r>
    <d v="2023-09-19T00:00:00"/>
    <x v="3"/>
    <x v="3"/>
    <n v="1"/>
    <x v="0"/>
    <n v="33000"/>
    <n v="18000"/>
    <n v="33000"/>
    <n v="18000"/>
    <n v="14895"/>
    <n v="104.99999999999999"/>
    <s v="35 mns"/>
    <x v="3"/>
    <n v="9"/>
    <x v="8"/>
  </r>
  <r>
    <d v="2023-09-19T00:00:00"/>
    <x v="3"/>
    <x v="3"/>
    <n v="1"/>
    <x v="1"/>
    <n v="60000"/>
    <n v="31000"/>
    <n v="60000"/>
    <n v="31000"/>
    <n v="28797"/>
    <n v="202.99999999999997"/>
    <s v="35 mns"/>
    <x v="2"/>
    <n v="9"/>
    <x v="8"/>
  </r>
  <r>
    <d v="2023-09-19T00:00:00"/>
    <x v="3"/>
    <x v="3"/>
    <n v="1"/>
    <x v="2"/>
    <n v="89000"/>
    <n v="65000"/>
    <n v="89000"/>
    <n v="65000"/>
    <n v="23832"/>
    <n v="167.99999999999997"/>
    <s v="35 mns"/>
    <x v="1"/>
    <n v="9"/>
    <x v="8"/>
  </r>
  <r>
    <d v="2023-09-20T00:00:00"/>
    <x v="0"/>
    <x v="0"/>
    <n v="2"/>
    <x v="0"/>
    <n v="33000"/>
    <n v="18000"/>
    <n v="66000"/>
    <n v="36000"/>
    <n v="29790"/>
    <n v="209.99999999999997"/>
    <s v="11 mns"/>
    <x v="1"/>
    <n v="9"/>
    <x v="8"/>
  </r>
  <r>
    <d v="2023-09-20T00:00:00"/>
    <x v="0"/>
    <x v="0"/>
    <n v="2"/>
    <x v="1"/>
    <n v="60000"/>
    <n v="31000"/>
    <n v="120000"/>
    <n v="62000"/>
    <n v="57594"/>
    <n v="405.99999999999994"/>
    <s v="11 mns"/>
    <x v="1"/>
    <n v="9"/>
    <x v="8"/>
  </r>
  <r>
    <d v="2023-09-20T00:00:00"/>
    <x v="0"/>
    <x v="0"/>
    <n v="2"/>
    <x v="2"/>
    <n v="89000"/>
    <n v="65000"/>
    <n v="178000"/>
    <n v="130000"/>
    <n v="47664"/>
    <n v="335.99999999999994"/>
    <s v="11 mns"/>
    <x v="3"/>
    <n v="9"/>
    <x v="8"/>
  </r>
  <r>
    <d v="2023-09-20T00:00:00"/>
    <x v="1"/>
    <x v="1"/>
    <n v="2"/>
    <x v="0"/>
    <n v="33000"/>
    <n v="18000"/>
    <n v="66000"/>
    <n v="36000"/>
    <n v="29790"/>
    <n v="209.99999999999997"/>
    <s v="58 mns"/>
    <x v="2"/>
    <n v="9"/>
    <x v="8"/>
  </r>
  <r>
    <d v="2023-09-20T00:00:00"/>
    <x v="2"/>
    <x v="2"/>
    <n v="2"/>
    <x v="0"/>
    <n v="33000"/>
    <n v="18000"/>
    <n v="66000"/>
    <n v="36000"/>
    <n v="29790"/>
    <n v="209.99999999999997"/>
    <s v="30 mns"/>
    <x v="2"/>
    <n v="9"/>
    <x v="8"/>
  </r>
  <r>
    <d v="2023-09-20T00:00:00"/>
    <x v="2"/>
    <x v="2"/>
    <n v="2"/>
    <x v="1"/>
    <n v="60000"/>
    <n v="31000"/>
    <n v="120000"/>
    <n v="62000"/>
    <n v="57594"/>
    <n v="405.99999999999994"/>
    <s v="30 mns"/>
    <x v="3"/>
    <n v="9"/>
    <x v="8"/>
  </r>
  <r>
    <d v="2023-09-20T00:00:00"/>
    <x v="2"/>
    <x v="2"/>
    <n v="2"/>
    <x v="2"/>
    <n v="89000"/>
    <n v="65000"/>
    <n v="178000"/>
    <n v="130000"/>
    <n v="47664"/>
    <n v="335.99999999999994"/>
    <s v="30 mns"/>
    <x v="1"/>
    <n v="9"/>
    <x v="8"/>
  </r>
  <r>
    <d v="2023-09-20T00:00:00"/>
    <x v="3"/>
    <x v="3"/>
    <n v="2"/>
    <x v="0"/>
    <n v="33000"/>
    <n v="18000"/>
    <n v="66000"/>
    <n v="36000"/>
    <n v="29790"/>
    <n v="209.99999999999997"/>
    <s v="35 mns"/>
    <x v="3"/>
    <n v="9"/>
    <x v="8"/>
  </r>
  <r>
    <d v="2023-09-20T00:00:00"/>
    <x v="3"/>
    <x v="3"/>
    <n v="2"/>
    <x v="1"/>
    <n v="60000"/>
    <n v="31000"/>
    <n v="120000"/>
    <n v="62000"/>
    <n v="57594"/>
    <n v="405.99999999999994"/>
    <s v="35 mns"/>
    <x v="3"/>
    <n v="9"/>
    <x v="8"/>
  </r>
  <r>
    <d v="2023-09-20T00:00:00"/>
    <x v="3"/>
    <x v="3"/>
    <n v="2"/>
    <x v="2"/>
    <n v="89000"/>
    <n v="65000"/>
    <n v="178000"/>
    <n v="130000"/>
    <n v="47664"/>
    <n v="335.99999999999994"/>
    <s v="35 mns"/>
    <x v="1"/>
    <n v="9"/>
    <x v="8"/>
  </r>
  <r>
    <d v="2023-09-21T00:00:00"/>
    <x v="0"/>
    <x v="0"/>
    <n v="1"/>
    <x v="0"/>
    <n v="33000"/>
    <n v="18000"/>
    <n v="33000"/>
    <n v="18000"/>
    <n v="14895"/>
    <n v="104.99999999999999"/>
    <s v="11 mns"/>
    <x v="3"/>
    <n v="9"/>
    <x v="8"/>
  </r>
  <r>
    <d v="2023-09-21T00:00:00"/>
    <x v="0"/>
    <x v="0"/>
    <n v="1"/>
    <x v="1"/>
    <n v="60000"/>
    <n v="31000"/>
    <n v="60000"/>
    <n v="31000"/>
    <n v="28797"/>
    <n v="202.99999999999997"/>
    <s v="11 mns"/>
    <x v="1"/>
    <n v="9"/>
    <x v="8"/>
  </r>
  <r>
    <d v="2023-09-21T00:00:00"/>
    <x v="0"/>
    <x v="0"/>
    <n v="1"/>
    <x v="2"/>
    <n v="89000"/>
    <n v="65000"/>
    <n v="89000"/>
    <n v="65000"/>
    <n v="23832"/>
    <n v="167.99999999999997"/>
    <s v="11 mns"/>
    <x v="3"/>
    <n v="9"/>
    <x v="8"/>
  </r>
  <r>
    <d v="2023-09-21T00:00:00"/>
    <x v="1"/>
    <x v="1"/>
    <n v="1"/>
    <x v="0"/>
    <n v="33000"/>
    <n v="18000"/>
    <n v="33000"/>
    <n v="18000"/>
    <n v="14895"/>
    <n v="104.99999999999999"/>
    <s v="58 mns"/>
    <x v="2"/>
    <n v="9"/>
    <x v="8"/>
  </r>
  <r>
    <d v="2023-09-21T00:00:00"/>
    <x v="2"/>
    <x v="2"/>
    <n v="1"/>
    <x v="0"/>
    <n v="33000"/>
    <n v="18000"/>
    <n v="33000"/>
    <n v="18000"/>
    <n v="14895"/>
    <n v="104.99999999999999"/>
    <s v="30 mns"/>
    <x v="0"/>
    <n v="9"/>
    <x v="8"/>
  </r>
  <r>
    <d v="2023-09-21T00:00:00"/>
    <x v="2"/>
    <x v="2"/>
    <n v="1"/>
    <x v="1"/>
    <n v="60000"/>
    <n v="31000"/>
    <n v="60000"/>
    <n v="31000"/>
    <n v="28797"/>
    <n v="202.99999999999997"/>
    <s v="30 mns"/>
    <x v="3"/>
    <n v="9"/>
    <x v="8"/>
  </r>
  <r>
    <d v="2023-09-21T00:00:00"/>
    <x v="2"/>
    <x v="2"/>
    <n v="1"/>
    <x v="2"/>
    <n v="89000"/>
    <n v="65000"/>
    <n v="89000"/>
    <n v="65000"/>
    <n v="23832"/>
    <n v="167.99999999999997"/>
    <s v="30 mns"/>
    <x v="0"/>
    <n v="9"/>
    <x v="8"/>
  </r>
  <r>
    <d v="2023-09-21T00:00:00"/>
    <x v="3"/>
    <x v="3"/>
    <n v="1"/>
    <x v="0"/>
    <n v="33000"/>
    <n v="18000"/>
    <n v="33000"/>
    <n v="18000"/>
    <n v="14895"/>
    <n v="104.99999999999999"/>
    <s v="35 mns"/>
    <x v="3"/>
    <n v="9"/>
    <x v="8"/>
  </r>
  <r>
    <d v="2023-09-21T00:00:00"/>
    <x v="3"/>
    <x v="3"/>
    <n v="1"/>
    <x v="1"/>
    <n v="60000"/>
    <n v="31000"/>
    <n v="60000"/>
    <n v="31000"/>
    <n v="28797"/>
    <n v="202.99999999999997"/>
    <s v="35 mns"/>
    <x v="3"/>
    <n v="9"/>
    <x v="8"/>
  </r>
  <r>
    <d v="2023-09-21T00:00:00"/>
    <x v="3"/>
    <x v="3"/>
    <n v="1"/>
    <x v="2"/>
    <n v="89000"/>
    <n v="65000"/>
    <n v="89000"/>
    <n v="65000"/>
    <n v="23832"/>
    <n v="167.99999999999997"/>
    <s v="35 mns"/>
    <x v="3"/>
    <n v="9"/>
    <x v="8"/>
  </r>
  <r>
    <d v="2023-09-22T00:00:00"/>
    <x v="0"/>
    <x v="0"/>
    <n v="2"/>
    <x v="0"/>
    <n v="33000"/>
    <n v="18000"/>
    <n v="66000"/>
    <n v="36000"/>
    <n v="29790"/>
    <n v="209.99999999999997"/>
    <s v="11 mns"/>
    <x v="1"/>
    <n v="9"/>
    <x v="8"/>
  </r>
  <r>
    <d v="2023-09-22T00:00:00"/>
    <x v="0"/>
    <x v="0"/>
    <n v="2"/>
    <x v="1"/>
    <n v="60000"/>
    <n v="31000"/>
    <n v="120000"/>
    <n v="62000"/>
    <n v="57594"/>
    <n v="405.99999999999994"/>
    <s v="11 mns"/>
    <x v="2"/>
    <n v="9"/>
    <x v="8"/>
  </r>
  <r>
    <d v="2023-09-22T00:00:00"/>
    <x v="0"/>
    <x v="0"/>
    <n v="2"/>
    <x v="2"/>
    <n v="89000"/>
    <n v="65000"/>
    <n v="178000"/>
    <n v="130000"/>
    <n v="47664"/>
    <n v="335.99999999999994"/>
    <s v="11 mns"/>
    <x v="3"/>
    <n v="9"/>
    <x v="8"/>
  </r>
  <r>
    <d v="2023-09-22T00:00:00"/>
    <x v="1"/>
    <x v="1"/>
    <n v="2"/>
    <x v="0"/>
    <n v="33000"/>
    <n v="18000"/>
    <n v="66000"/>
    <n v="36000"/>
    <n v="29790"/>
    <n v="209.99999999999997"/>
    <s v="58 mns"/>
    <x v="3"/>
    <n v="9"/>
    <x v="8"/>
  </r>
  <r>
    <d v="2023-09-22T00:00:00"/>
    <x v="2"/>
    <x v="2"/>
    <n v="2"/>
    <x v="0"/>
    <n v="33000"/>
    <n v="18000"/>
    <n v="66000"/>
    <n v="36000"/>
    <n v="29790"/>
    <n v="209.99999999999997"/>
    <s v="30 mns"/>
    <x v="0"/>
    <n v="9"/>
    <x v="8"/>
  </r>
  <r>
    <d v="2023-09-22T00:00:00"/>
    <x v="2"/>
    <x v="2"/>
    <n v="2"/>
    <x v="1"/>
    <n v="60000"/>
    <n v="31000"/>
    <n v="120000"/>
    <n v="62000"/>
    <n v="57594"/>
    <n v="405.99999999999994"/>
    <s v="30 mns"/>
    <x v="3"/>
    <n v="9"/>
    <x v="8"/>
  </r>
  <r>
    <d v="2023-09-22T00:00:00"/>
    <x v="2"/>
    <x v="2"/>
    <n v="2"/>
    <x v="2"/>
    <n v="89000"/>
    <n v="65000"/>
    <n v="178000"/>
    <n v="130000"/>
    <n v="47664"/>
    <n v="335.99999999999994"/>
    <s v="30 mns"/>
    <x v="1"/>
    <n v="9"/>
    <x v="8"/>
  </r>
  <r>
    <d v="2023-09-22T00:00:00"/>
    <x v="3"/>
    <x v="3"/>
    <n v="2"/>
    <x v="0"/>
    <n v="33000"/>
    <n v="18000"/>
    <n v="66000"/>
    <n v="36000"/>
    <n v="29790"/>
    <n v="209.99999999999997"/>
    <s v="35 mns"/>
    <x v="3"/>
    <n v="9"/>
    <x v="8"/>
  </r>
  <r>
    <d v="2023-09-22T00:00:00"/>
    <x v="3"/>
    <x v="3"/>
    <n v="2"/>
    <x v="1"/>
    <n v="60000"/>
    <n v="31000"/>
    <n v="120000"/>
    <n v="62000"/>
    <n v="57594"/>
    <n v="405.99999999999994"/>
    <s v="35 mns"/>
    <x v="2"/>
    <n v="9"/>
    <x v="8"/>
  </r>
  <r>
    <d v="2023-09-22T00:00:00"/>
    <x v="3"/>
    <x v="3"/>
    <n v="2"/>
    <x v="2"/>
    <n v="89000"/>
    <n v="65000"/>
    <n v="178000"/>
    <n v="130000"/>
    <n v="47664"/>
    <n v="335.99999999999994"/>
    <s v="35 mns"/>
    <x v="0"/>
    <n v="9"/>
    <x v="8"/>
  </r>
  <r>
    <d v="2023-09-23T00:00:00"/>
    <x v="0"/>
    <x v="0"/>
    <n v="1"/>
    <x v="0"/>
    <n v="33000"/>
    <n v="18000"/>
    <n v="33000"/>
    <n v="18000"/>
    <n v="14895"/>
    <n v="104.99999999999999"/>
    <s v="11 mns"/>
    <x v="2"/>
    <n v="9"/>
    <x v="8"/>
  </r>
  <r>
    <d v="2023-09-23T00:00:00"/>
    <x v="0"/>
    <x v="0"/>
    <n v="1"/>
    <x v="1"/>
    <n v="60000"/>
    <n v="31000"/>
    <n v="60000"/>
    <n v="31000"/>
    <n v="28797"/>
    <n v="202.99999999999997"/>
    <s v="11 mns"/>
    <x v="3"/>
    <n v="9"/>
    <x v="8"/>
  </r>
  <r>
    <d v="2023-09-23T00:00:00"/>
    <x v="0"/>
    <x v="0"/>
    <n v="1"/>
    <x v="2"/>
    <n v="89000"/>
    <n v="65000"/>
    <n v="89000"/>
    <n v="65000"/>
    <n v="23832"/>
    <n v="167.99999999999997"/>
    <s v="11 mns"/>
    <x v="0"/>
    <n v="9"/>
    <x v="8"/>
  </r>
  <r>
    <d v="2023-09-23T00:00:00"/>
    <x v="1"/>
    <x v="1"/>
    <n v="1"/>
    <x v="0"/>
    <n v="33000"/>
    <n v="18000"/>
    <n v="33000"/>
    <n v="18000"/>
    <n v="14895"/>
    <n v="104.99999999999999"/>
    <s v="58 mns"/>
    <x v="1"/>
    <n v="9"/>
    <x v="8"/>
  </r>
  <r>
    <d v="2023-09-23T00:00:00"/>
    <x v="2"/>
    <x v="2"/>
    <n v="1"/>
    <x v="0"/>
    <n v="33000"/>
    <n v="18000"/>
    <n v="33000"/>
    <n v="18000"/>
    <n v="14895"/>
    <n v="104.99999999999999"/>
    <s v="30 mns"/>
    <x v="3"/>
    <n v="9"/>
    <x v="8"/>
  </r>
  <r>
    <d v="2023-09-23T00:00:00"/>
    <x v="2"/>
    <x v="2"/>
    <n v="1"/>
    <x v="1"/>
    <n v="60000"/>
    <n v="31000"/>
    <n v="60000"/>
    <n v="31000"/>
    <n v="28797"/>
    <n v="202.99999999999997"/>
    <s v="30 mns"/>
    <x v="1"/>
    <n v="9"/>
    <x v="8"/>
  </r>
  <r>
    <d v="2023-09-23T00:00:00"/>
    <x v="2"/>
    <x v="2"/>
    <n v="1"/>
    <x v="2"/>
    <n v="89000"/>
    <n v="65000"/>
    <n v="89000"/>
    <n v="65000"/>
    <n v="23832"/>
    <n v="167.99999999999997"/>
    <s v="30 mns"/>
    <x v="1"/>
    <n v="9"/>
    <x v="8"/>
  </r>
  <r>
    <d v="2023-09-23T00:00:00"/>
    <x v="3"/>
    <x v="3"/>
    <n v="1"/>
    <x v="0"/>
    <n v="33000"/>
    <n v="18000"/>
    <n v="33000"/>
    <n v="18000"/>
    <n v="14895"/>
    <n v="104.99999999999999"/>
    <s v="35 mns"/>
    <x v="3"/>
    <n v="9"/>
    <x v="8"/>
  </r>
  <r>
    <d v="2023-09-23T00:00:00"/>
    <x v="3"/>
    <x v="3"/>
    <n v="1"/>
    <x v="1"/>
    <n v="60000"/>
    <n v="31000"/>
    <n v="60000"/>
    <n v="31000"/>
    <n v="28797"/>
    <n v="202.99999999999997"/>
    <s v="35 mns"/>
    <x v="0"/>
    <n v="9"/>
    <x v="8"/>
  </r>
  <r>
    <d v="2023-09-23T00:00:00"/>
    <x v="3"/>
    <x v="3"/>
    <n v="1"/>
    <x v="2"/>
    <n v="89000"/>
    <n v="65000"/>
    <n v="89000"/>
    <n v="65000"/>
    <n v="23832"/>
    <n v="167.99999999999997"/>
    <s v="35 mns"/>
    <x v="3"/>
    <n v="9"/>
    <x v="8"/>
  </r>
  <r>
    <d v="2023-09-24T00:00:00"/>
    <x v="0"/>
    <x v="0"/>
    <n v="1"/>
    <x v="0"/>
    <n v="33000"/>
    <n v="18000"/>
    <n v="33000"/>
    <n v="18000"/>
    <n v="14895"/>
    <n v="104.99999999999999"/>
    <s v="11 mns"/>
    <x v="3"/>
    <n v="9"/>
    <x v="8"/>
  </r>
  <r>
    <d v="2023-09-24T00:00:00"/>
    <x v="0"/>
    <x v="0"/>
    <n v="1"/>
    <x v="1"/>
    <n v="60000"/>
    <n v="31000"/>
    <n v="60000"/>
    <n v="31000"/>
    <n v="28797"/>
    <n v="202.99999999999997"/>
    <s v="11 mns"/>
    <x v="1"/>
    <n v="9"/>
    <x v="8"/>
  </r>
  <r>
    <d v="2023-09-24T00:00:00"/>
    <x v="0"/>
    <x v="0"/>
    <n v="1"/>
    <x v="2"/>
    <n v="89000"/>
    <n v="65000"/>
    <n v="89000"/>
    <n v="65000"/>
    <n v="23832"/>
    <n v="167.99999999999997"/>
    <s v="11 mns"/>
    <x v="0"/>
    <n v="9"/>
    <x v="8"/>
  </r>
  <r>
    <d v="2023-09-24T00:00:00"/>
    <x v="1"/>
    <x v="1"/>
    <n v="1"/>
    <x v="0"/>
    <n v="33000"/>
    <n v="18000"/>
    <n v="33000"/>
    <n v="18000"/>
    <n v="14895"/>
    <n v="104.99999999999999"/>
    <s v="58 mns"/>
    <x v="1"/>
    <n v="9"/>
    <x v="8"/>
  </r>
  <r>
    <d v="2023-09-24T00:00:00"/>
    <x v="2"/>
    <x v="2"/>
    <n v="1"/>
    <x v="0"/>
    <n v="33000"/>
    <n v="18000"/>
    <n v="33000"/>
    <n v="18000"/>
    <n v="14895"/>
    <n v="104.99999999999999"/>
    <s v="30 mns"/>
    <x v="0"/>
    <n v="9"/>
    <x v="8"/>
  </r>
  <r>
    <d v="2023-09-24T00:00:00"/>
    <x v="2"/>
    <x v="2"/>
    <n v="1"/>
    <x v="1"/>
    <n v="60000"/>
    <n v="31000"/>
    <n v="60000"/>
    <n v="31000"/>
    <n v="28797"/>
    <n v="202.99999999999997"/>
    <s v="30 mns"/>
    <x v="0"/>
    <n v="9"/>
    <x v="8"/>
  </r>
  <r>
    <d v="2023-09-24T00:00:00"/>
    <x v="2"/>
    <x v="2"/>
    <n v="1"/>
    <x v="2"/>
    <n v="89000"/>
    <n v="65000"/>
    <n v="89000"/>
    <n v="65000"/>
    <n v="23832"/>
    <n v="167.99999999999997"/>
    <s v="30 mns"/>
    <x v="0"/>
    <n v="9"/>
    <x v="8"/>
  </r>
  <r>
    <d v="2023-09-24T00:00:00"/>
    <x v="3"/>
    <x v="3"/>
    <n v="1"/>
    <x v="0"/>
    <n v="33000"/>
    <n v="18000"/>
    <n v="33000"/>
    <n v="18000"/>
    <n v="14895"/>
    <n v="104.99999999999999"/>
    <s v="35 mns"/>
    <x v="3"/>
    <n v="9"/>
    <x v="8"/>
  </r>
  <r>
    <d v="2023-09-24T00:00:00"/>
    <x v="3"/>
    <x v="3"/>
    <n v="1"/>
    <x v="1"/>
    <n v="60000"/>
    <n v="31000"/>
    <n v="60000"/>
    <n v="31000"/>
    <n v="28797"/>
    <n v="202.99999999999997"/>
    <s v="35 mns"/>
    <x v="3"/>
    <n v="9"/>
    <x v="8"/>
  </r>
  <r>
    <d v="2023-09-24T00:00:00"/>
    <x v="3"/>
    <x v="3"/>
    <n v="1"/>
    <x v="2"/>
    <n v="89000"/>
    <n v="65000"/>
    <n v="89000"/>
    <n v="65000"/>
    <n v="23832"/>
    <n v="167.99999999999997"/>
    <s v="35 mns"/>
    <x v="1"/>
    <n v="9"/>
    <x v="8"/>
  </r>
  <r>
    <d v="2023-09-25T00:00:00"/>
    <x v="0"/>
    <x v="0"/>
    <n v="1"/>
    <x v="0"/>
    <n v="33000"/>
    <n v="18000"/>
    <n v="33000"/>
    <n v="18000"/>
    <n v="14895"/>
    <n v="104.99999999999999"/>
    <s v="11 mns"/>
    <x v="3"/>
    <n v="9"/>
    <x v="8"/>
  </r>
  <r>
    <d v="2023-09-25T00:00:00"/>
    <x v="0"/>
    <x v="0"/>
    <n v="1"/>
    <x v="1"/>
    <n v="60000"/>
    <n v="31000"/>
    <n v="60000"/>
    <n v="31000"/>
    <n v="28797"/>
    <n v="202.99999999999997"/>
    <s v="11 mns"/>
    <x v="3"/>
    <n v="9"/>
    <x v="8"/>
  </r>
  <r>
    <d v="2023-09-25T00:00:00"/>
    <x v="0"/>
    <x v="0"/>
    <n v="1"/>
    <x v="2"/>
    <n v="89000"/>
    <n v="65000"/>
    <n v="89000"/>
    <n v="65000"/>
    <n v="23832"/>
    <n v="167.99999999999997"/>
    <s v="11 mns"/>
    <x v="1"/>
    <n v="9"/>
    <x v="8"/>
  </r>
  <r>
    <d v="2023-09-25T00:00:00"/>
    <x v="1"/>
    <x v="1"/>
    <n v="1"/>
    <x v="0"/>
    <n v="33000"/>
    <n v="18000"/>
    <n v="33000"/>
    <n v="18000"/>
    <n v="14895"/>
    <n v="104.99999999999999"/>
    <s v="58 mns"/>
    <x v="1"/>
    <n v="9"/>
    <x v="8"/>
  </r>
  <r>
    <d v="2023-09-25T00:00:00"/>
    <x v="2"/>
    <x v="2"/>
    <n v="1"/>
    <x v="0"/>
    <n v="33000"/>
    <n v="18000"/>
    <n v="33000"/>
    <n v="18000"/>
    <n v="14895"/>
    <n v="104.99999999999999"/>
    <s v="30 mns"/>
    <x v="2"/>
    <n v="9"/>
    <x v="8"/>
  </r>
  <r>
    <d v="2023-09-25T00:00:00"/>
    <x v="2"/>
    <x v="2"/>
    <n v="1"/>
    <x v="1"/>
    <n v="60000"/>
    <n v="31000"/>
    <n v="60000"/>
    <n v="31000"/>
    <n v="28797"/>
    <n v="202.99999999999997"/>
    <s v="30 mns"/>
    <x v="3"/>
    <n v="9"/>
    <x v="8"/>
  </r>
  <r>
    <d v="2023-09-25T00:00:00"/>
    <x v="2"/>
    <x v="2"/>
    <n v="1"/>
    <x v="2"/>
    <n v="89000"/>
    <n v="65000"/>
    <n v="89000"/>
    <n v="65000"/>
    <n v="23832"/>
    <n v="167.99999999999997"/>
    <s v="30 mns"/>
    <x v="1"/>
    <n v="9"/>
    <x v="8"/>
  </r>
  <r>
    <d v="2023-09-25T00:00:00"/>
    <x v="3"/>
    <x v="3"/>
    <n v="1"/>
    <x v="0"/>
    <n v="33000"/>
    <n v="18000"/>
    <n v="33000"/>
    <n v="18000"/>
    <n v="14895"/>
    <n v="104.99999999999999"/>
    <s v="35 mns"/>
    <x v="0"/>
    <n v="9"/>
    <x v="8"/>
  </r>
  <r>
    <d v="2023-09-25T00:00:00"/>
    <x v="3"/>
    <x v="3"/>
    <n v="1"/>
    <x v="1"/>
    <n v="60000"/>
    <n v="31000"/>
    <n v="60000"/>
    <n v="31000"/>
    <n v="28797"/>
    <n v="202.99999999999997"/>
    <s v="35 mns"/>
    <x v="3"/>
    <n v="9"/>
    <x v="8"/>
  </r>
  <r>
    <d v="2023-09-25T00:00:00"/>
    <x v="3"/>
    <x v="3"/>
    <n v="1"/>
    <x v="2"/>
    <n v="89000"/>
    <n v="65000"/>
    <n v="89000"/>
    <n v="65000"/>
    <n v="23832"/>
    <n v="167.99999999999997"/>
    <s v="35 mns"/>
    <x v="2"/>
    <n v="9"/>
    <x v="8"/>
  </r>
  <r>
    <d v="2023-09-26T00:00:00"/>
    <x v="0"/>
    <x v="0"/>
    <n v="1"/>
    <x v="0"/>
    <n v="33000"/>
    <n v="18000"/>
    <n v="33000"/>
    <n v="18000"/>
    <n v="14895"/>
    <n v="104.99999999999999"/>
    <s v="11 mns"/>
    <x v="1"/>
    <n v="9"/>
    <x v="8"/>
  </r>
  <r>
    <d v="2023-09-26T00:00:00"/>
    <x v="0"/>
    <x v="0"/>
    <n v="1"/>
    <x v="1"/>
    <n v="60000"/>
    <n v="31000"/>
    <n v="60000"/>
    <n v="31000"/>
    <n v="28797"/>
    <n v="202.99999999999997"/>
    <s v="11 mns"/>
    <x v="2"/>
    <n v="9"/>
    <x v="8"/>
  </r>
  <r>
    <d v="2023-09-26T00:00:00"/>
    <x v="0"/>
    <x v="0"/>
    <n v="1"/>
    <x v="2"/>
    <n v="89000"/>
    <n v="65000"/>
    <n v="89000"/>
    <n v="65000"/>
    <n v="23832"/>
    <n v="167.99999999999997"/>
    <s v="11 mns"/>
    <x v="1"/>
    <n v="9"/>
    <x v="8"/>
  </r>
  <r>
    <d v="2023-09-26T00:00:00"/>
    <x v="1"/>
    <x v="1"/>
    <n v="1"/>
    <x v="0"/>
    <n v="33000"/>
    <n v="18000"/>
    <n v="33000"/>
    <n v="18000"/>
    <n v="14895"/>
    <n v="104.99999999999999"/>
    <s v="58 mns"/>
    <x v="3"/>
    <n v="9"/>
    <x v="8"/>
  </r>
  <r>
    <d v="2023-09-26T00:00:00"/>
    <x v="2"/>
    <x v="2"/>
    <n v="1"/>
    <x v="0"/>
    <n v="33000"/>
    <n v="18000"/>
    <n v="33000"/>
    <n v="18000"/>
    <n v="14895"/>
    <n v="104.99999999999999"/>
    <s v="30 mns"/>
    <x v="3"/>
    <n v="9"/>
    <x v="8"/>
  </r>
  <r>
    <d v="2023-09-26T00:00:00"/>
    <x v="2"/>
    <x v="2"/>
    <n v="1"/>
    <x v="1"/>
    <n v="60000"/>
    <n v="31000"/>
    <n v="60000"/>
    <n v="31000"/>
    <n v="28797"/>
    <n v="202.99999999999997"/>
    <s v="30 mns"/>
    <x v="0"/>
    <n v="9"/>
    <x v="8"/>
  </r>
  <r>
    <d v="2023-09-26T00:00:00"/>
    <x v="2"/>
    <x v="2"/>
    <n v="1"/>
    <x v="2"/>
    <n v="89000"/>
    <n v="65000"/>
    <n v="89000"/>
    <n v="65000"/>
    <n v="23832"/>
    <n v="167.99999999999997"/>
    <s v="30 mns"/>
    <x v="0"/>
    <n v="9"/>
    <x v="8"/>
  </r>
  <r>
    <d v="2023-09-26T00:00:00"/>
    <x v="3"/>
    <x v="3"/>
    <n v="1"/>
    <x v="0"/>
    <n v="33000"/>
    <n v="18000"/>
    <n v="33000"/>
    <n v="18000"/>
    <n v="14895"/>
    <n v="104.99999999999999"/>
    <s v="35 mns"/>
    <x v="1"/>
    <n v="9"/>
    <x v="8"/>
  </r>
  <r>
    <d v="2023-09-26T00:00:00"/>
    <x v="3"/>
    <x v="3"/>
    <n v="1"/>
    <x v="1"/>
    <n v="60000"/>
    <n v="31000"/>
    <n v="60000"/>
    <n v="31000"/>
    <n v="28797"/>
    <n v="202.99999999999997"/>
    <s v="35 mns"/>
    <x v="1"/>
    <n v="9"/>
    <x v="8"/>
  </r>
  <r>
    <d v="2023-09-26T00:00:00"/>
    <x v="3"/>
    <x v="3"/>
    <n v="1"/>
    <x v="2"/>
    <n v="89000"/>
    <n v="65000"/>
    <n v="89000"/>
    <n v="65000"/>
    <n v="23832"/>
    <n v="167.99999999999997"/>
    <s v="35 mns"/>
    <x v="3"/>
    <n v="9"/>
    <x v="8"/>
  </r>
  <r>
    <d v="2023-09-27T00:00:00"/>
    <x v="0"/>
    <x v="0"/>
    <n v="1"/>
    <x v="0"/>
    <n v="33000"/>
    <n v="18000"/>
    <n v="33000"/>
    <n v="18000"/>
    <n v="14895"/>
    <n v="104.99999999999999"/>
    <s v="11 mns"/>
    <x v="3"/>
    <n v="9"/>
    <x v="8"/>
  </r>
  <r>
    <d v="2023-09-27T00:00:00"/>
    <x v="0"/>
    <x v="0"/>
    <n v="1"/>
    <x v="1"/>
    <n v="60000"/>
    <n v="31000"/>
    <n v="60000"/>
    <n v="31000"/>
    <n v="28797"/>
    <n v="202.99999999999997"/>
    <s v="11 mns"/>
    <x v="1"/>
    <n v="9"/>
    <x v="8"/>
  </r>
  <r>
    <d v="2023-09-27T00:00:00"/>
    <x v="0"/>
    <x v="0"/>
    <n v="1"/>
    <x v="2"/>
    <n v="89000"/>
    <n v="65000"/>
    <n v="89000"/>
    <n v="65000"/>
    <n v="23832"/>
    <n v="167.99999999999997"/>
    <s v="11 mns"/>
    <x v="3"/>
    <n v="9"/>
    <x v="8"/>
  </r>
  <r>
    <d v="2023-09-27T00:00:00"/>
    <x v="1"/>
    <x v="1"/>
    <n v="1"/>
    <x v="0"/>
    <n v="33000"/>
    <n v="18000"/>
    <n v="33000"/>
    <n v="18000"/>
    <n v="14895"/>
    <n v="104.99999999999999"/>
    <s v="58 mns"/>
    <x v="3"/>
    <n v="9"/>
    <x v="8"/>
  </r>
  <r>
    <d v="2023-09-27T00:00:00"/>
    <x v="2"/>
    <x v="2"/>
    <n v="1"/>
    <x v="0"/>
    <n v="33000"/>
    <n v="18000"/>
    <n v="33000"/>
    <n v="18000"/>
    <n v="14895"/>
    <n v="104.99999999999999"/>
    <s v="30 mns"/>
    <x v="1"/>
    <n v="9"/>
    <x v="8"/>
  </r>
  <r>
    <d v="2023-09-27T00:00:00"/>
    <x v="2"/>
    <x v="2"/>
    <n v="1"/>
    <x v="1"/>
    <n v="60000"/>
    <n v="31000"/>
    <n v="60000"/>
    <n v="31000"/>
    <n v="28797"/>
    <n v="202.99999999999997"/>
    <s v="30 mns"/>
    <x v="3"/>
    <n v="9"/>
    <x v="8"/>
  </r>
  <r>
    <d v="2023-09-27T00:00:00"/>
    <x v="2"/>
    <x v="2"/>
    <n v="1"/>
    <x v="2"/>
    <n v="89000"/>
    <n v="65000"/>
    <n v="89000"/>
    <n v="65000"/>
    <n v="23832"/>
    <n v="167.99999999999997"/>
    <s v="30 mns"/>
    <x v="2"/>
    <n v="9"/>
    <x v="8"/>
  </r>
  <r>
    <d v="2023-09-27T00:00:00"/>
    <x v="3"/>
    <x v="3"/>
    <n v="1"/>
    <x v="0"/>
    <n v="33000"/>
    <n v="18000"/>
    <n v="33000"/>
    <n v="18000"/>
    <n v="14895"/>
    <n v="104.99999999999999"/>
    <s v="35 mns"/>
    <x v="3"/>
    <n v="9"/>
    <x v="8"/>
  </r>
  <r>
    <d v="2023-09-27T00:00:00"/>
    <x v="3"/>
    <x v="3"/>
    <n v="1"/>
    <x v="1"/>
    <n v="60000"/>
    <n v="31000"/>
    <n v="60000"/>
    <n v="31000"/>
    <n v="28797"/>
    <n v="202.99999999999997"/>
    <s v="35 mns"/>
    <x v="1"/>
    <n v="9"/>
    <x v="8"/>
  </r>
  <r>
    <d v="2023-09-27T00:00:00"/>
    <x v="3"/>
    <x v="3"/>
    <n v="1"/>
    <x v="2"/>
    <n v="89000"/>
    <n v="65000"/>
    <n v="89000"/>
    <n v="65000"/>
    <n v="23832"/>
    <n v="167.99999999999997"/>
    <s v="35 mns"/>
    <x v="3"/>
    <n v="9"/>
    <x v="8"/>
  </r>
  <r>
    <d v="2023-09-28T00:00:00"/>
    <x v="0"/>
    <x v="0"/>
    <n v="1"/>
    <x v="0"/>
    <n v="33000"/>
    <n v="18000"/>
    <n v="33000"/>
    <n v="18000"/>
    <n v="14895"/>
    <n v="104.99999999999999"/>
    <s v="11 mns"/>
    <x v="0"/>
    <n v="9"/>
    <x v="8"/>
  </r>
  <r>
    <d v="2023-09-28T00:00:00"/>
    <x v="0"/>
    <x v="0"/>
    <n v="1"/>
    <x v="1"/>
    <n v="60000"/>
    <n v="31000"/>
    <n v="60000"/>
    <n v="31000"/>
    <n v="28797"/>
    <n v="202.99999999999997"/>
    <s v="11 mns"/>
    <x v="0"/>
    <n v="9"/>
    <x v="8"/>
  </r>
  <r>
    <d v="2023-09-28T00:00:00"/>
    <x v="0"/>
    <x v="0"/>
    <n v="1"/>
    <x v="2"/>
    <n v="89000"/>
    <n v="65000"/>
    <n v="89000"/>
    <n v="65000"/>
    <n v="23832"/>
    <n v="167.99999999999997"/>
    <s v="11 mns"/>
    <x v="1"/>
    <n v="9"/>
    <x v="8"/>
  </r>
  <r>
    <d v="2023-09-28T00:00:00"/>
    <x v="1"/>
    <x v="1"/>
    <n v="1"/>
    <x v="0"/>
    <n v="33000"/>
    <n v="18000"/>
    <n v="33000"/>
    <n v="18000"/>
    <n v="14895"/>
    <n v="104.99999999999999"/>
    <s v="58 mns"/>
    <x v="1"/>
    <n v="9"/>
    <x v="8"/>
  </r>
  <r>
    <d v="2023-09-28T00:00:00"/>
    <x v="2"/>
    <x v="2"/>
    <n v="1"/>
    <x v="0"/>
    <n v="33000"/>
    <n v="18000"/>
    <n v="33000"/>
    <n v="18000"/>
    <n v="14895"/>
    <n v="104.99999999999999"/>
    <s v="30 mns"/>
    <x v="1"/>
    <n v="9"/>
    <x v="8"/>
  </r>
  <r>
    <d v="2023-09-28T00:00:00"/>
    <x v="2"/>
    <x v="2"/>
    <n v="1"/>
    <x v="1"/>
    <n v="60000"/>
    <n v="31000"/>
    <n v="60000"/>
    <n v="31000"/>
    <n v="28797"/>
    <n v="202.99999999999997"/>
    <s v="30 mns"/>
    <x v="3"/>
    <n v="9"/>
    <x v="8"/>
  </r>
  <r>
    <d v="2023-09-28T00:00:00"/>
    <x v="2"/>
    <x v="2"/>
    <n v="1"/>
    <x v="2"/>
    <n v="89000"/>
    <n v="65000"/>
    <n v="89000"/>
    <n v="65000"/>
    <n v="23832"/>
    <n v="167.99999999999997"/>
    <s v="30 mns"/>
    <x v="0"/>
    <n v="9"/>
    <x v="8"/>
  </r>
  <r>
    <d v="2023-09-28T00:00:00"/>
    <x v="3"/>
    <x v="3"/>
    <n v="1"/>
    <x v="0"/>
    <n v="33000"/>
    <n v="18000"/>
    <n v="33000"/>
    <n v="18000"/>
    <n v="14895"/>
    <n v="104.99999999999999"/>
    <s v="35 mns"/>
    <x v="3"/>
    <n v="9"/>
    <x v="8"/>
  </r>
  <r>
    <d v="2023-09-28T00:00:00"/>
    <x v="3"/>
    <x v="3"/>
    <n v="1"/>
    <x v="1"/>
    <n v="60000"/>
    <n v="31000"/>
    <n v="60000"/>
    <n v="31000"/>
    <n v="28797"/>
    <n v="202.99999999999997"/>
    <s v="35 mns"/>
    <x v="3"/>
    <n v="9"/>
    <x v="8"/>
  </r>
  <r>
    <d v="2023-09-28T00:00:00"/>
    <x v="3"/>
    <x v="3"/>
    <n v="1"/>
    <x v="2"/>
    <n v="89000"/>
    <n v="65000"/>
    <n v="89000"/>
    <n v="65000"/>
    <n v="23832"/>
    <n v="167.99999999999997"/>
    <s v="35 mns"/>
    <x v="3"/>
    <n v="9"/>
    <x v="8"/>
  </r>
  <r>
    <d v="2023-09-29T00:00:00"/>
    <x v="0"/>
    <x v="0"/>
    <n v="1"/>
    <x v="0"/>
    <n v="33000"/>
    <n v="18000"/>
    <n v="33000"/>
    <n v="18000"/>
    <n v="14895"/>
    <n v="104.99999999999999"/>
    <s v="11 mns"/>
    <x v="1"/>
    <n v="9"/>
    <x v="8"/>
  </r>
  <r>
    <d v="2023-09-29T00:00:00"/>
    <x v="0"/>
    <x v="0"/>
    <n v="1"/>
    <x v="1"/>
    <n v="60000"/>
    <n v="31000"/>
    <n v="60000"/>
    <n v="31000"/>
    <n v="28797"/>
    <n v="202.99999999999997"/>
    <s v="11 mns"/>
    <x v="1"/>
    <n v="9"/>
    <x v="8"/>
  </r>
  <r>
    <d v="2023-09-29T00:00:00"/>
    <x v="0"/>
    <x v="0"/>
    <n v="1"/>
    <x v="2"/>
    <n v="89000"/>
    <n v="65000"/>
    <n v="89000"/>
    <n v="65000"/>
    <n v="23832"/>
    <n v="167.99999999999997"/>
    <s v="11 mns"/>
    <x v="0"/>
    <n v="9"/>
    <x v="8"/>
  </r>
  <r>
    <d v="2023-09-29T00:00:00"/>
    <x v="1"/>
    <x v="1"/>
    <n v="1"/>
    <x v="0"/>
    <n v="33000"/>
    <n v="18000"/>
    <n v="33000"/>
    <n v="18000"/>
    <n v="14895"/>
    <n v="104.99999999999999"/>
    <s v="58 mns"/>
    <x v="1"/>
    <n v="9"/>
    <x v="8"/>
  </r>
  <r>
    <d v="2023-09-29T00:00:00"/>
    <x v="2"/>
    <x v="2"/>
    <n v="1"/>
    <x v="0"/>
    <n v="33000"/>
    <n v="18000"/>
    <n v="33000"/>
    <n v="18000"/>
    <n v="14895"/>
    <n v="104.99999999999999"/>
    <s v="30 mns"/>
    <x v="0"/>
    <n v="9"/>
    <x v="8"/>
  </r>
  <r>
    <d v="2023-09-29T00:00:00"/>
    <x v="2"/>
    <x v="2"/>
    <n v="1"/>
    <x v="1"/>
    <n v="60000"/>
    <n v="31000"/>
    <n v="60000"/>
    <n v="31000"/>
    <n v="28797"/>
    <n v="202.99999999999997"/>
    <s v="30 mns"/>
    <x v="3"/>
    <n v="9"/>
    <x v="8"/>
  </r>
  <r>
    <d v="2023-09-29T00:00:00"/>
    <x v="2"/>
    <x v="2"/>
    <n v="1"/>
    <x v="2"/>
    <n v="89000"/>
    <n v="65000"/>
    <n v="89000"/>
    <n v="65000"/>
    <n v="23832"/>
    <n v="167.99999999999997"/>
    <s v="30 mns"/>
    <x v="3"/>
    <n v="9"/>
    <x v="8"/>
  </r>
  <r>
    <d v="2023-09-29T00:00:00"/>
    <x v="3"/>
    <x v="3"/>
    <n v="1"/>
    <x v="0"/>
    <n v="33000"/>
    <n v="18000"/>
    <n v="33000"/>
    <n v="18000"/>
    <n v="14895"/>
    <n v="104.99999999999999"/>
    <s v="35 mns"/>
    <x v="3"/>
    <n v="9"/>
    <x v="8"/>
  </r>
  <r>
    <d v="2023-09-29T00:00:00"/>
    <x v="3"/>
    <x v="3"/>
    <n v="1"/>
    <x v="1"/>
    <n v="60000"/>
    <n v="31000"/>
    <n v="60000"/>
    <n v="31000"/>
    <n v="28797"/>
    <n v="202.99999999999997"/>
    <s v="35 mns"/>
    <x v="3"/>
    <n v="9"/>
    <x v="8"/>
  </r>
  <r>
    <d v="2023-09-29T00:00:00"/>
    <x v="3"/>
    <x v="3"/>
    <n v="1"/>
    <x v="2"/>
    <n v="89000"/>
    <n v="65000"/>
    <n v="89000"/>
    <n v="65000"/>
    <n v="23832"/>
    <n v="167.99999999999997"/>
    <s v="35 mns"/>
    <x v="0"/>
    <n v="9"/>
    <x v="8"/>
  </r>
  <r>
    <d v="2023-09-30T00:00:00"/>
    <x v="0"/>
    <x v="0"/>
    <n v="2"/>
    <x v="0"/>
    <n v="33000"/>
    <n v="18000"/>
    <n v="66000"/>
    <n v="36000"/>
    <n v="29790"/>
    <n v="209.99999999999997"/>
    <s v="11 mns"/>
    <x v="1"/>
    <n v="9"/>
    <x v="8"/>
  </r>
  <r>
    <d v="2023-09-30T00:00:00"/>
    <x v="0"/>
    <x v="0"/>
    <n v="2"/>
    <x v="1"/>
    <n v="60000"/>
    <n v="31000"/>
    <n v="120000"/>
    <n v="62000"/>
    <n v="57594"/>
    <n v="405.99999999999994"/>
    <s v="11 mns"/>
    <x v="1"/>
    <n v="9"/>
    <x v="8"/>
  </r>
  <r>
    <d v="2023-09-30T00:00:00"/>
    <x v="0"/>
    <x v="0"/>
    <n v="2"/>
    <x v="2"/>
    <n v="89000"/>
    <n v="65000"/>
    <n v="178000"/>
    <n v="130000"/>
    <n v="47664"/>
    <n v="335.99999999999994"/>
    <s v="11 mns"/>
    <x v="1"/>
    <n v="9"/>
    <x v="8"/>
  </r>
  <r>
    <d v="2023-09-30T00:00:00"/>
    <x v="1"/>
    <x v="1"/>
    <n v="2"/>
    <x v="0"/>
    <n v="33000"/>
    <n v="18000"/>
    <n v="66000"/>
    <n v="36000"/>
    <n v="29790"/>
    <n v="209.99999999999997"/>
    <s v="58 mns"/>
    <x v="3"/>
    <n v="9"/>
    <x v="8"/>
  </r>
  <r>
    <d v="2023-09-30T00:00:00"/>
    <x v="2"/>
    <x v="2"/>
    <n v="2"/>
    <x v="0"/>
    <n v="33000"/>
    <n v="18000"/>
    <n v="66000"/>
    <n v="36000"/>
    <n v="29790"/>
    <n v="209.99999999999997"/>
    <s v="30 mns"/>
    <x v="0"/>
    <n v="9"/>
    <x v="8"/>
  </r>
  <r>
    <d v="2023-09-30T00:00:00"/>
    <x v="2"/>
    <x v="2"/>
    <n v="2"/>
    <x v="1"/>
    <n v="60000"/>
    <n v="31000"/>
    <n v="120000"/>
    <n v="62000"/>
    <n v="57594"/>
    <n v="405.99999999999994"/>
    <s v="30 mns"/>
    <x v="1"/>
    <n v="9"/>
    <x v="8"/>
  </r>
  <r>
    <d v="2023-09-30T00:00:00"/>
    <x v="2"/>
    <x v="2"/>
    <n v="2"/>
    <x v="2"/>
    <n v="89000"/>
    <n v="65000"/>
    <n v="178000"/>
    <n v="130000"/>
    <n v="47664"/>
    <n v="335.99999999999994"/>
    <s v="30 mns"/>
    <x v="2"/>
    <n v="9"/>
    <x v="8"/>
  </r>
  <r>
    <d v="2023-09-30T00:00:00"/>
    <x v="3"/>
    <x v="3"/>
    <n v="2"/>
    <x v="0"/>
    <n v="33000"/>
    <n v="18000"/>
    <n v="66000"/>
    <n v="36000"/>
    <n v="29790"/>
    <n v="209.99999999999997"/>
    <s v="35 mns"/>
    <x v="3"/>
    <n v="9"/>
    <x v="8"/>
  </r>
  <r>
    <d v="2023-09-30T00:00:00"/>
    <x v="3"/>
    <x v="3"/>
    <n v="2"/>
    <x v="1"/>
    <n v="60000"/>
    <n v="31000"/>
    <n v="120000"/>
    <n v="62000"/>
    <n v="57594"/>
    <n v="405.99999999999994"/>
    <s v="35 mns"/>
    <x v="3"/>
    <n v="9"/>
    <x v="8"/>
  </r>
  <r>
    <d v="2023-09-30T00:00:00"/>
    <x v="3"/>
    <x v="3"/>
    <n v="2"/>
    <x v="2"/>
    <n v="89000"/>
    <n v="65000"/>
    <n v="178000"/>
    <n v="130000"/>
    <n v="47664"/>
    <n v="335.99999999999994"/>
    <s v="35 mns"/>
    <x v="0"/>
    <n v="9"/>
    <x v="8"/>
  </r>
  <r>
    <d v="2023-10-01T00:00:00"/>
    <x v="0"/>
    <x v="0"/>
    <n v="2"/>
    <x v="0"/>
    <n v="33000"/>
    <n v="18000"/>
    <n v="66000"/>
    <n v="36000"/>
    <n v="29790"/>
    <n v="209.99999999999997"/>
    <s v="11 mns"/>
    <x v="0"/>
    <n v="10"/>
    <x v="9"/>
  </r>
  <r>
    <d v="2023-10-01T00:00:00"/>
    <x v="0"/>
    <x v="0"/>
    <n v="2"/>
    <x v="1"/>
    <n v="60000"/>
    <n v="31000"/>
    <n v="120000"/>
    <n v="62000"/>
    <n v="57594"/>
    <n v="405.99999999999994"/>
    <s v="11 mns"/>
    <x v="0"/>
    <n v="10"/>
    <x v="9"/>
  </r>
  <r>
    <d v="2023-10-01T00:00:00"/>
    <x v="0"/>
    <x v="0"/>
    <n v="2"/>
    <x v="2"/>
    <n v="89000"/>
    <n v="65000"/>
    <n v="178000"/>
    <n v="130000"/>
    <n v="47664"/>
    <n v="335.99999999999994"/>
    <s v="11 mns"/>
    <x v="1"/>
    <n v="10"/>
    <x v="9"/>
  </r>
  <r>
    <d v="2023-10-01T00:00:00"/>
    <x v="1"/>
    <x v="1"/>
    <n v="2"/>
    <x v="0"/>
    <n v="33000"/>
    <n v="18000"/>
    <n v="66000"/>
    <n v="36000"/>
    <n v="29790"/>
    <n v="209.99999999999997"/>
    <s v="58 mns"/>
    <x v="1"/>
    <n v="10"/>
    <x v="9"/>
  </r>
  <r>
    <d v="2023-10-01T00:00:00"/>
    <x v="2"/>
    <x v="2"/>
    <n v="2"/>
    <x v="0"/>
    <n v="33000"/>
    <n v="18000"/>
    <n v="66000"/>
    <n v="36000"/>
    <n v="29790"/>
    <n v="209.99999999999997"/>
    <s v="30 mns"/>
    <x v="1"/>
    <n v="10"/>
    <x v="9"/>
  </r>
  <r>
    <d v="2023-10-01T00:00:00"/>
    <x v="2"/>
    <x v="2"/>
    <n v="2"/>
    <x v="1"/>
    <n v="60000"/>
    <n v="31000"/>
    <n v="120000"/>
    <n v="62000"/>
    <n v="57594"/>
    <n v="405.99999999999994"/>
    <s v="30 mns"/>
    <x v="3"/>
    <n v="10"/>
    <x v="9"/>
  </r>
  <r>
    <d v="2023-10-01T00:00:00"/>
    <x v="2"/>
    <x v="2"/>
    <n v="2"/>
    <x v="2"/>
    <n v="89000"/>
    <n v="65000"/>
    <n v="178000"/>
    <n v="130000"/>
    <n v="47664"/>
    <n v="335.99999999999994"/>
    <s v="30 mns"/>
    <x v="0"/>
    <n v="10"/>
    <x v="9"/>
  </r>
  <r>
    <d v="2023-10-01T00:00:00"/>
    <x v="3"/>
    <x v="3"/>
    <n v="2"/>
    <x v="0"/>
    <n v="33000"/>
    <n v="18000"/>
    <n v="66000"/>
    <n v="36000"/>
    <n v="29790"/>
    <n v="209.99999999999997"/>
    <s v="35 mns"/>
    <x v="1"/>
    <n v="10"/>
    <x v="9"/>
  </r>
  <r>
    <d v="2023-10-01T00:00:00"/>
    <x v="3"/>
    <x v="3"/>
    <n v="2"/>
    <x v="1"/>
    <n v="60000"/>
    <n v="31000"/>
    <n v="120000"/>
    <n v="62000"/>
    <n v="57594"/>
    <n v="405.99999999999994"/>
    <s v="35 mns"/>
    <x v="3"/>
    <n v="10"/>
    <x v="9"/>
  </r>
  <r>
    <d v="2023-10-01T00:00:00"/>
    <x v="3"/>
    <x v="3"/>
    <n v="2"/>
    <x v="2"/>
    <n v="89000"/>
    <n v="65000"/>
    <n v="178000"/>
    <n v="130000"/>
    <n v="47664"/>
    <n v="335.99999999999994"/>
    <s v="35 mns"/>
    <x v="1"/>
    <n v="10"/>
    <x v="9"/>
  </r>
  <r>
    <d v="2023-10-02T00:00:00"/>
    <x v="0"/>
    <x v="0"/>
    <n v="1"/>
    <x v="0"/>
    <n v="33000"/>
    <n v="18000"/>
    <n v="33000"/>
    <n v="18000"/>
    <n v="14895"/>
    <n v="104.99999999999999"/>
    <s v="11 mns"/>
    <x v="0"/>
    <n v="10"/>
    <x v="9"/>
  </r>
  <r>
    <d v="2023-10-02T00:00:00"/>
    <x v="0"/>
    <x v="0"/>
    <n v="1"/>
    <x v="1"/>
    <n v="60000"/>
    <n v="31000"/>
    <n v="60000"/>
    <n v="31000"/>
    <n v="28797"/>
    <n v="202.99999999999997"/>
    <s v="11 mns"/>
    <x v="0"/>
    <n v="10"/>
    <x v="9"/>
  </r>
  <r>
    <d v="2023-10-02T00:00:00"/>
    <x v="0"/>
    <x v="0"/>
    <n v="1"/>
    <x v="2"/>
    <n v="89000"/>
    <n v="65000"/>
    <n v="89000"/>
    <n v="65000"/>
    <n v="23832"/>
    <n v="167.99999999999997"/>
    <s v="11 mns"/>
    <x v="3"/>
    <n v="10"/>
    <x v="9"/>
  </r>
  <r>
    <d v="2023-10-02T00:00:00"/>
    <x v="1"/>
    <x v="1"/>
    <n v="1"/>
    <x v="0"/>
    <n v="33000"/>
    <n v="18000"/>
    <n v="33000"/>
    <n v="18000"/>
    <n v="14895"/>
    <n v="104.99999999999999"/>
    <s v="58 mns"/>
    <x v="1"/>
    <n v="10"/>
    <x v="9"/>
  </r>
  <r>
    <d v="2023-10-02T00:00:00"/>
    <x v="2"/>
    <x v="2"/>
    <n v="1"/>
    <x v="0"/>
    <n v="33000"/>
    <n v="18000"/>
    <n v="33000"/>
    <n v="18000"/>
    <n v="14895"/>
    <n v="104.99999999999999"/>
    <s v="30 mns"/>
    <x v="3"/>
    <n v="10"/>
    <x v="9"/>
  </r>
  <r>
    <d v="2023-10-02T00:00:00"/>
    <x v="2"/>
    <x v="2"/>
    <n v="1"/>
    <x v="1"/>
    <n v="60000"/>
    <n v="31000"/>
    <n v="60000"/>
    <n v="31000"/>
    <n v="28797"/>
    <n v="202.99999999999997"/>
    <s v="30 mns"/>
    <x v="1"/>
    <n v="10"/>
    <x v="9"/>
  </r>
  <r>
    <d v="2023-10-02T00:00:00"/>
    <x v="2"/>
    <x v="2"/>
    <n v="1"/>
    <x v="2"/>
    <n v="89000"/>
    <n v="65000"/>
    <n v="89000"/>
    <n v="65000"/>
    <n v="23832"/>
    <n v="167.99999999999997"/>
    <s v="30 mns"/>
    <x v="1"/>
    <n v="10"/>
    <x v="9"/>
  </r>
  <r>
    <d v="2023-10-02T00:00:00"/>
    <x v="3"/>
    <x v="3"/>
    <n v="1"/>
    <x v="0"/>
    <n v="33000"/>
    <n v="18000"/>
    <n v="33000"/>
    <n v="18000"/>
    <n v="14895"/>
    <n v="104.99999999999999"/>
    <s v="35 mns"/>
    <x v="1"/>
    <n v="10"/>
    <x v="9"/>
  </r>
  <r>
    <d v="2023-10-02T00:00:00"/>
    <x v="3"/>
    <x v="3"/>
    <n v="1"/>
    <x v="1"/>
    <n v="60000"/>
    <n v="31000"/>
    <n v="60000"/>
    <n v="31000"/>
    <n v="28797"/>
    <n v="202.99999999999997"/>
    <s v="35 mns"/>
    <x v="3"/>
    <n v="10"/>
    <x v="9"/>
  </r>
  <r>
    <d v="2023-10-02T00:00:00"/>
    <x v="3"/>
    <x v="3"/>
    <n v="1"/>
    <x v="2"/>
    <n v="89000"/>
    <n v="65000"/>
    <n v="89000"/>
    <n v="65000"/>
    <n v="23832"/>
    <n v="167.99999999999997"/>
    <s v="35 mns"/>
    <x v="3"/>
    <n v="10"/>
    <x v="9"/>
  </r>
  <r>
    <d v="2023-10-03T00:00:00"/>
    <x v="0"/>
    <x v="0"/>
    <n v="1"/>
    <x v="0"/>
    <n v="33000"/>
    <n v="18000"/>
    <n v="33000"/>
    <n v="18000"/>
    <n v="14895"/>
    <n v="104.99999999999999"/>
    <s v="11 mns"/>
    <x v="3"/>
    <n v="10"/>
    <x v="9"/>
  </r>
  <r>
    <d v="2023-10-03T00:00:00"/>
    <x v="0"/>
    <x v="0"/>
    <n v="1"/>
    <x v="1"/>
    <n v="60000"/>
    <n v="31000"/>
    <n v="60000"/>
    <n v="31000"/>
    <n v="28797"/>
    <n v="202.99999999999997"/>
    <s v="11 mns"/>
    <x v="1"/>
    <n v="10"/>
    <x v="9"/>
  </r>
  <r>
    <d v="2023-10-03T00:00:00"/>
    <x v="0"/>
    <x v="0"/>
    <n v="1"/>
    <x v="2"/>
    <n v="89000"/>
    <n v="65000"/>
    <n v="89000"/>
    <n v="65000"/>
    <n v="23832"/>
    <n v="167.99999999999997"/>
    <s v="11 mns"/>
    <x v="3"/>
    <n v="10"/>
    <x v="9"/>
  </r>
  <r>
    <d v="2023-10-03T00:00:00"/>
    <x v="1"/>
    <x v="1"/>
    <n v="1"/>
    <x v="0"/>
    <n v="33000"/>
    <n v="18000"/>
    <n v="33000"/>
    <n v="18000"/>
    <n v="14895"/>
    <n v="104.99999999999999"/>
    <s v="58 mns"/>
    <x v="1"/>
    <n v="10"/>
    <x v="9"/>
  </r>
  <r>
    <d v="2023-10-03T00:00:00"/>
    <x v="2"/>
    <x v="2"/>
    <n v="1"/>
    <x v="0"/>
    <n v="33000"/>
    <n v="18000"/>
    <n v="33000"/>
    <n v="18000"/>
    <n v="14895"/>
    <n v="104.99999999999999"/>
    <s v="30 mns"/>
    <x v="1"/>
    <n v="10"/>
    <x v="9"/>
  </r>
  <r>
    <d v="2023-10-03T00:00:00"/>
    <x v="2"/>
    <x v="2"/>
    <n v="1"/>
    <x v="1"/>
    <n v="60000"/>
    <n v="31000"/>
    <n v="60000"/>
    <n v="31000"/>
    <n v="28797"/>
    <n v="202.99999999999997"/>
    <s v="30 mns"/>
    <x v="0"/>
    <n v="10"/>
    <x v="9"/>
  </r>
  <r>
    <d v="2023-10-03T00:00:00"/>
    <x v="2"/>
    <x v="2"/>
    <n v="1"/>
    <x v="2"/>
    <n v="89000"/>
    <n v="65000"/>
    <n v="89000"/>
    <n v="65000"/>
    <n v="23832"/>
    <n v="167.99999999999997"/>
    <s v="30 mns"/>
    <x v="0"/>
    <n v="10"/>
    <x v="9"/>
  </r>
  <r>
    <d v="2023-10-03T00:00:00"/>
    <x v="3"/>
    <x v="3"/>
    <n v="1"/>
    <x v="0"/>
    <n v="33000"/>
    <n v="18000"/>
    <n v="33000"/>
    <n v="18000"/>
    <n v="14895"/>
    <n v="104.99999999999999"/>
    <s v="35 mns"/>
    <x v="0"/>
    <n v="10"/>
    <x v="9"/>
  </r>
  <r>
    <d v="2023-10-03T00:00:00"/>
    <x v="3"/>
    <x v="3"/>
    <n v="1"/>
    <x v="1"/>
    <n v="60000"/>
    <n v="31000"/>
    <n v="60000"/>
    <n v="31000"/>
    <n v="28797"/>
    <n v="202.99999999999997"/>
    <s v="35 mns"/>
    <x v="0"/>
    <n v="10"/>
    <x v="9"/>
  </r>
  <r>
    <d v="2023-10-03T00:00:00"/>
    <x v="3"/>
    <x v="3"/>
    <n v="1"/>
    <x v="2"/>
    <n v="89000"/>
    <n v="65000"/>
    <n v="89000"/>
    <n v="65000"/>
    <n v="23832"/>
    <n v="167.99999999999997"/>
    <s v="35 mns"/>
    <x v="1"/>
    <n v="10"/>
    <x v="9"/>
  </r>
  <r>
    <d v="2023-10-04T00:00:00"/>
    <x v="0"/>
    <x v="0"/>
    <n v="1"/>
    <x v="0"/>
    <n v="33000"/>
    <n v="18000"/>
    <n v="33000"/>
    <n v="18000"/>
    <n v="14895"/>
    <n v="104.99999999999999"/>
    <s v="11 mns"/>
    <x v="1"/>
    <n v="10"/>
    <x v="9"/>
  </r>
  <r>
    <d v="2023-10-04T00:00:00"/>
    <x v="0"/>
    <x v="0"/>
    <n v="1"/>
    <x v="1"/>
    <n v="60000"/>
    <n v="31000"/>
    <n v="60000"/>
    <n v="31000"/>
    <n v="28797"/>
    <n v="202.99999999999997"/>
    <s v="11 mns"/>
    <x v="1"/>
    <n v="10"/>
    <x v="9"/>
  </r>
  <r>
    <d v="2023-10-04T00:00:00"/>
    <x v="0"/>
    <x v="0"/>
    <n v="1"/>
    <x v="2"/>
    <n v="89000"/>
    <n v="65000"/>
    <n v="89000"/>
    <n v="65000"/>
    <n v="23832"/>
    <n v="167.99999999999997"/>
    <s v="11 mns"/>
    <x v="2"/>
    <n v="10"/>
    <x v="9"/>
  </r>
  <r>
    <d v="2023-10-04T00:00:00"/>
    <x v="2"/>
    <x v="2"/>
    <n v="1"/>
    <x v="0"/>
    <n v="33000"/>
    <n v="18000"/>
    <n v="33000"/>
    <n v="18000"/>
    <n v="14895"/>
    <n v="104.99999999999999"/>
    <s v="30 mns"/>
    <x v="0"/>
    <n v="10"/>
    <x v="9"/>
  </r>
  <r>
    <d v="2023-10-04T00:00:00"/>
    <x v="2"/>
    <x v="2"/>
    <n v="1"/>
    <x v="1"/>
    <n v="60000"/>
    <n v="31000"/>
    <n v="60000"/>
    <n v="31000"/>
    <n v="28797"/>
    <n v="202.99999999999997"/>
    <s v="30 mns"/>
    <x v="1"/>
    <n v="10"/>
    <x v="9"/>
  </r>
  <r>
    <d v="2023-10-04T00:00:00"/>
    <x v="2"/>
    <x v="2"/>
    <n v="1"/>
    <x v="2"/>
    <n v="89000"/>
    <n v="65000"/>
    <n v="89000"/>
    <n v="65000"/>
    <n v="23832"/>
    <n v="167.99999999999997"/>
    <s v="30 mns"/>
    <x v="0"/>
    <n v="10"/>
    <x v="9"/>
  </r>
  <r>
    <d v="2023-10-04T00:00:00"/>
    <x v="3"/>
    <x v="3"/>
    <n v="1"/>
    <x v="0"/>
    <n v="33000"/>
    <n v="18000"/>
    <n v="33000"/>
    <n v="18000"/>
    <n v="14895"/>
    <n v="104.99999999999999"/>
    <s v="35 mns"/>
    <x v="3"/>
    <n v="10"/>
    <x v="9"/>
  </r>
  <r>
    <d v="2023-10-04T00:00:00"/>
    <x v="3"/>
    <x v="3"/>
    <n v="1"/>
    <x v="1"/>
    <n v="60000"/>
    <n v="31000"/>
    <n v="60000"/>
    <n v="31000"/>
    <n v="28797"/>
    <n v="202.99999999999997"/>
    <s v="35 mns"/>
    <x v="3"/>
    <n v="10"/>
    <x v="9"/>
  </r>
  <r>
    <d v="2023-10-04T00:00:00"/>
    <x v="3"/>
    <x v="3"/>
    <n v="1"/>
    <x v="2"/>
    <n v="89000"/>
    <n v="65000"/>
    <n v="89000"/>
    <n v="65000"/>
    <n v="23832"/>
    <n v="167.99999999999997"/>
    <s v="35 mns"/>
    <x v="1"/>
    <n v="10"/>
    <x v="9"/>
  </r>
  <r>
    <d v="2023-10-05T00:00:00"/>
    <x v="0"/>
    <x v="0"/>
    <n v="2"/>
    <x v="0"/>
    <n v="33000"/>
    <n v="18000"/>
    <n v="66000"/>
    <n v="36000"/>
    <n v="29790"/>
    <n v="209.99999999999997"/>
    <s v="11 mns"/>
    <x v="0"/>
    <n v="10"/>
    <x v="9"/>
  </r>
  <r>
    <d v="2023-10-05T00:00:00"/>
    <x v="0"/>
    <x v="0"/>
    <n v="2"/>
    <x v="1"/>
    <n v="60000"/>
    <n v="31000"/>
    <n v="120000"/>
    <n v="62000"/>
    <n v="57594"/>
    <n v="405.99999999999994"/>
    <s v="11 mns"/>
    <x v="1"/>
    <n v="10"/>
    <x v="9"/>
  </r>
  <r>
    <d v="2023-10-05T00:00:00"/>
    <x v="0"/>
    <x v="0"/>
    <n v="2"/>
    <x v="2"/>
    <n v="89000"/>
    <n v="65000"/>
    <n v="178000"/>
    <n v="130000"/>
    <n v="47664"/>
    <n v="335.99999999999994"/>
    <s v="11 mns"/>
    <x v="3"/>
    <n v="10"/>
    <x v="9"/>
  </r>
  <r>
    <d v="2023-10-05T00:00:00"/>
    <x v="2"/>
    <x v="2"/>
    <n v="2"/>
    <x v="0"/>
    <n v="33000"/>
    <n v="18000"/>
    <n v="66000"/>
    <n v="36000"/>
    <n v="29790"/>
    <n v="209.99999999999997"/>
    <s v="30 mns"/>
    <x v="0"/>
    <n v="10"/>
    <x v="9"/>
  </r>
  <r>
    <d v="2023-10-05T00:00:00"/>
    <x v="2"/>
    <x v="2"/>
    <n v="2"/>
    <x v="1"/>
    <n v="60000"/>
    <n v="31000"/>
    <n v="120000"/>
    <n v="62000"/>
    <n v="57594"/>
    <n v="405.99999999999994"/>
    <s v="30 mns"/>
    <x v="3"/>
    <n v="10"/>
    <x v="9"/>
  </r>
  <r>
    <d v="2023-10-05T00:00:00"/>
    <x v="2"/>
    <x v="2"/>
    <n v="2"/>
    <x v="2"/>
    <n v="89000"/>
    <n v="65000"/>
    <n v="178000"/>
    <n v="130000"/>
    <n v="47664"/>
    <n v="335.99999999999994"/>
    <s v="30 mns"/>
    <x v="2"/>
    <n v="10"/>
    <x v="9"/>
  </r>
  <r>
    <d v="2023-10-05T00:00:00"/>
    <x v="3"/>
    <x v="3"/>
    <n v="2"/>
    <x v="0"/>
    <n v="33000"/>
    <n v="18000"/>
    <n v="66000"/>
    <n v="36000"/>
    <n v="29790"/>
    <n v="209.99999999999997"/>
    <s v="35 mns"/>
    <x v="0"/>
    <n v="10"/>
    <x v="9"/>
  </r>
  <r>
    <d v="2023-10-05T00:00:00"/>
    <x v="3"/>
    <x v="3"/>
    <n v="2"/>
    <x v="1"/>
    <n v="60000"/>
    <n v="31000"/>
    <n v="120000"/>
    <n v="62000"/>
    <n v="57594"/>
    <n v="405.99999999999994"/>
    <s v="35 mns"/>
    <x v="3"/>
    <n v="10"/>
    <x v="9"/>
  </r>
  <r>
    <d v="2023-10-05T00:00:00"/>
    <x v="3"/>
    <x v="3"/>
    <n v="2"/>
    <x v="2"/>
    <n v="89000"/>
    <n v="65000"/>
    <n v="178000"/>
    <n v="130000"/>
    <n v="47664"/>
    <n v="335.99999999999994"/>
    <s v="35 mns"/>
    <x v="3"/>
    <n v="10"/>
    <x v="9"/>
  </r>
  <r>
    <d v="2023-10-06T00:00:00"/>
    <x v="0"/>
    <x v="0"/>
    <n v="1"/>
    <x v="0"/>
    <n v="33000"/>
    <n v="18000"/>
    <n v="33000"/>
    <n v="18000"/>
    <n v="14895"/>
    <n v="104.99999999999999"/>
    <s v="11 mns"/>
    <x v="1"/>
    <n v="10"/>
    <x v="9"/>
  </r>
  <r>
    <d v="2023-10-06T00:00:00"/>
    <x v="0"/>
    <x v="0"/>
    <n v="1"/>
    <x v="1"/>
    <n v="60000"/>
    <n v="31000"/>
    <n v="60000"/>
    <n v="31000"/>
    <n v="28797"/>
    <n v="202.99999999999997"/>
    <s v="11 mns"/>
    <x v="3"/>
    <n v="10"/>
    <x v="9"/>
  </r>
  <r>
    <d v="2023-10-06T00:00:00"/>
    <x v="0"/>
    <x v="0"/>
    <n v="1"/>
    <x v="2"/>
    <n v="89000"/>
    <n v="65000"/>
    <n v="89000"/>
    <n v="65000"/>
    <n v="23832"/>
    <n v="167.99999999999997"/>
    <s v="11 mns"/>
    <x v="1"/>
    <n v="10"/>
    <x v="9"/>
  </r>
  <r>
    <d v="2023-10-06T00:00:00"/>
    <x v="2"/>
    <x v="2"/>
    <n v="1"/>
    <x v="0"/>
    <n v="33000"/>
    <n v="18000"/>
    <n v="33000"/>
    <n v="18000"/>
    <n v="14895"/>
    <n v="104.99999999999999"/>
    <s v="30 mns"/>
    <x v="0"/>
    <n v="10"/>
    <x v="9"/>
  </r>
  <r>
    <d v="2023-10-06T00:00:00"/>
    <x v="2"/>
    <x v="2"/>
    <n v="1"/>
    <x v="1"/>
    <n v="60000"/>
    <n v="31000"/>
    <n v="60000"/>
    <n v="31000"/>
    <n v="28797"/>
    <n v="202.99999999999997"/>
    <s v="30 mns"/>
    <x v="2"/>
    <n v="10"/>
    <x v="9"/>
  </r>
  <r>
    <d v="2023-10-06T00:00:00"/>
    <x v="2"/>
    <x v="2"/>
    <n v="1"/>
    <x v="2"/>
    <n v="89000"/>
    <n v="65000"/>
    <n v="89000"/>
    <n v="65000"/>
    <n v="23832"/>
    <n v="167.99999999999997"/>
    <s v="30 mns"/>
    <x v="3"/>
    <n v="10"/>
    <x v="9"/>
  </r>
  <r>
    <d v="2023-10-06T00:00:00"/>
    <x v="3"/>
    <x v="3"/>
    <n v="1"/>
    <x v="0"/>
    <n v="33000"/>
    <n v="18000"/>
    <n v="33000"/>
    <n v="18000"/>
    <n v="14895"/>
    <n v="104.99999999999999"/>
    <s v="35 mns"/>
    <x v="0"/>
    <n v="10"/>
    <x v="9"/>
  </r>
  <r>
    <d v="2023-10-06T00:00:00"/>
    <x v="3"/>
    <x v="3"/>
    <n v="1"/>
    <x v="1"/>
    <n v="60000"/>
    <n v="31000"/>
    <n v="60000"/>
    <n v="31000"/>
    <n v="28797"/>
    <n v="202.99999999999997"/>
    <s v="35 mns"/>
    <x v="3"/>
    <n v="10"/>
    <x v="9"/>
  </r>
  <r>
    <d v="2023-10-06T00:00:00"/>
    <x v="3"/>
    <x v="3"/>
    <n v="1"/>
    <x v="2"/>
    <n v="89000"/>
    <n v="65000"/>
    <n v="89000"/>
    <n v="65000"/>
    <n v="23832"/>
    <n v="167.99999999999997"/>
    <s v="35 mns"/>
    <x v="1"/>
    <n v="10"/>
    <x v="9"/>
  </r>
  <r>
    <d v="2023-10-07T00:00:00"/>
    <x v="0"/>
    <x v="0"/>
    <n v="1"/>
    <x v="0"/>
    <n v="33000"/>
    <n v="18000"/>
    <n v="33000"/>
    <n v="18000"/>
    <n v="14895"/>
    <n v="104.99999999999999"/>
    <s v="11 mns"/>
    <x v="3"/>
    <n v="10"/>
    <x v="9"/>
  </r>
  <r>
    <d v="2023-10-07T00:00:00"/>
    <x v="0"/>
    <x v="0"/>
    <n v="1"/>
    <x v="1"/>
    <n v="60000"/>
    <n v="31000"/>
    <n v="60000"/>
    <n v="31000"/>
    <n v="28797"/>
    <n v="202.99999999999997"/>
    <s v="11 mns"/>
    <x v="2"/>
    <n v="10"/>
    <x v="9"/>
  </r>
  <r>
    <d v="2023-10-07T00:00:00"/>
    <x v="0"/>
    <x v="0"/>
    <n v="1"/>
    <x v="2"/>
    <n v="89000"/>
    <n v="65000"/>
    <n v="89000"/>
    <n v="65000"/>
    <n v="23832"/>
    <n v="167.99999999999997"/>
    <s v="11 mns"/>
    <x v="2"/>
    <n v="10"/>
    <x v="9"/>
  </r>
  <r>
    <d v="2023-10-07T00:00:00"/>
    <x v="2"/>
    <x v="2"/>
    <n v="1"/>
    <x v="0"/>
    <n v="33000"/>
    <n v="18000"/>
    <n v="33000"/>
    <n v="18000"/>
    <n v="14895"/>
    <n v="104.99999999999999"/>
    <s v="30 mns"/>
    <x v="0"/>
    <n v="10"/>
    <x v="9"/>
  </r>
  <r>
    <d v="2023-10-07T00:00:00"/>
    <x v="2"/>
    <x v="2"/>
    <n v="1"/>
    <x v="1"/>
    <n v="60000"/>
    <n v="31000"/>
    <n v="60000"/>
    <n v="31000"/>
    <n v="28797"/>
    <n v="202.99999999999997"/>
    <s v="30 mns"/>
    <x v="3"/>
    <n v="10"/>
    <x v="9"/>
  </r>
  <r>
    <d v="2023-10-07T00:00:00"/>
    <x v="2"/>
    <x v="2"/>
    <n v="1"/>
    <x v="2"/>
    <n v="89000"/>
    <n v="65000"/>
    <n v="89000"/>
    <n v="65000"/>
    <n v="23832"/>
    <n v="167.99999999999997"/>
    <s v="30 mns"/>
    <x v="3"/>
    <n v="10"/>
    <x v="9"/>
  </r>
  <r>
    <d v="2023-10-07T00:00:00"/>
    <x v="3"/>
    <x v="3"/>
    <n v="1"/>
    <x v="0"/>
    <n v="33000"/>
    <n v="18000"/>
    <n v="33000"/>
    <n v="18000"/>
    <n v="14895"/>
    <n v="104.99999999999999"/>
    <s v="35 mns"/>
    <x v="2"/>
    <n v="10"/>
    <x v="9"/>
  </r>
  <r>
    <d v="2023-10-07T00:00:00"/>
    <x v="3"/>
    <x v="3"/>
    <n v="1"/>
    <x v="1"/>
    <n v="60000"/>
    <n v="31000"/>
    <n v="60000"/>
    <n v="31000"/>
    <n v="28797"/>
    <n v="202.99999999999997"/>
    <s v="35 mns"/>
    <x v="1"/>
    <n v="10"/>
    <x v="9"/>
  </r>
  <r>
    <d v="2023-10-07T00:00:00"/>
    <x v="3"/>
    <x v="3"/>
    <n v="1"/>
    <x v="2"/>
    <n v="89000"/>
    <n v="65000"/>
    <n v="89000"/>
    <n v="65000"/>
    <n v="23832"/>
    <n v="167.99999999999997"/>
    <s v="35 mns"/>
    <x v="1"/>
    <n v="10"/>
    <x v="9"/>
  </r>
  <r>
    <d v="2023-10-08T00:00:00"/>
    <x v="0"/>
    <x v="0"/>
    <n v="1"/>
    <x v="0"/>
    <n v="33000"/>
    <n v="18000"/>
    <n v="33000"/>
    <n v="18000"/>
    <n v="14895"/>
    <n v="104.99999999999999"/>
    <s v="11 mns"/>
    <x v="0"/>
    <n v="10"/>
    <x v="9"/>
  </r>
  <r>
    <d v="2023-10-08T00:00:00"/>
    <x v="0"/>
    <x v="0"/>
    <n v="1"/>
    <x v="1"/>
    <n v="60000"/>
    <n v="31000"/>
    <n v="60000"/>
    <n v="31000"/>
    <n v="28797"/>
    <n v="202.99999999999997"/>
    <s v="11 mns"/>
    <x v="3"/>
    <n v="10"/>
    <x v="9"/>
  </r>
  <r>
    <d v="2023-10-08T00:00:00"/>
    <x v="0"/>
    <x v="0"/>
    <n v="1"/>
    <x v="2"/>
    <n v="89000"/>
    <n v="65000"/>
    <n v="89000"/>
    <n v="65000"/>
    <n v="23832"/>
    <n v="167.99999999999997"/>
    <s v="11 mns"/>
    <x v="3"/>
    <n v="10"/>
    <x v="9"/>
  </r>
  <r>
    <d v="2023-10-08T00:00:00"/>
    <x v="2"/>
    <x v="2"/>
    <n v="1"/>
    <x v="0"/>
    <n v="33000"/>
    <n v="18000"/>
    <n v="33000"/>
    <n v="18000"/>
    <n v="14895"/>
    <n v="104.99999999999999"/>
    <s v="30 mns"/>
    <x v="3"/>
    <n v="10"/>
    <x v="9"/>
  </r>
  <r>
    <d v="2023-10-08T00:00:00"/>
    <x v="2"/>
    <x v="2"/>
    <n v="1"/>
    <x v="1"/>
    <n v="60000"/>
    <n v="31000"/>
    <n v="60000"/>
    <n v="31000"/>
    <n v="28797"/>
    <n v="202.99999999999997"/>
    <s v="30 mns"/>
    <x v="0"/>
    <n v="10"/>
    <x v="9"/>
  </r>
  <r>
    <d v="2023-10-08T00:00:00"/>
    <x v="2"/>
    <x v="2"/>
    <n v="1"/>
    <x v="2"/>
    <n v="89000"/>
    <n v="65000"/>
    <n v="89000"/>
    <n v="65000"/>
    <n v="23832"/>
    <n v="167.99999999999997"/>
    <s v="30 mns"/>
    <x v="3"/>
    <n v="10"/>
    <x v="9"/>
  </r>
  <r>
    <d v="2023-10-08T00:00:00"/>
    <x v="3"/>
    <x v="3"/>
    <n v="1"/>
    <x v="0"/>
    <n v="33000"/>
    <n v="18000"/>
    <n v="33000"/>
    <n v="18000"/>
    <n v="14895"/>
    <n v="104.99999999999999"/>
    <s v="35 mns"/>
    <x v="1"/>
    <n v="10"/>
    <x v="9"/>
  </r>
  <r>
    <d v="2023-10-08T00:00:00"/>
    <x v="3"/>
    <x v="3"/>
    <n v="1"/>
    <x v="1"/>
    <n v="60000"/>
    <n v="31000"/>
    <n v="60000"/>
    <n v="31000"/>
    <n v="28797"/>
    <n v="202.99999999999997"/>
    <s v="35 mns"/>
    <x v="3"/>
    <n v="10"/>
    <x v="9"/>
  </r>
  <r>
    <d v="2023-10-08T00:00:00"/>
    <x v="3"/>
    <x v="3"/>
    <n v="1"/>
    <x v="2"/>
    <n v="89000"/>
    <n v="65000"/>
    <n v="89000"/>
    <n v="65000"/>
    <n v="23832"/>
    <n v="167.99999999999997"/>
    <s v="35 mns"/>
    <x v="1"/>
    <n v="10"/>
    <x v="9"/>
  </r>
  <r>
    <d v="2023-10-09T00:00:00"/>
    <x v="0"/>
    <x v="0"/>
    <n v="1"/>
    <x v="0"/>
    <n v="33000"/>
    <n v="18000"/>
    <n v="33000"/>
    <n v="18000"/>
    <n v="14895"/>
    <n v="104.99999999999999"/>
    <s v="11 mns"/>
    <x v="0"/>
    <n v="10"/>
    <x v="9"/>
  </r>
  <r>
    <d v="2023-10-09T00:00:00"/>
    <x v="0"/>
    <x v="0"/>
    <n v="1"/>
    <x v="1"/>
    <n v="60000"/>
    <n v="31000"/>
    <n v="60000"/>
    <n v="31000"/>
    <n v="28797"/>
    <n v="202.99999999999997"/>
    <s v="11 mns"/>
    <x v="1"/>
    <n v="10"/>
    <x v="9"/>
  </r>
  <r>
    <d v="2023-10-09T00:00:00"/>
    <x v="0"/>
    <x v="0"/>
    <n v="1"/>
    <x v="2"/>
    <n v="89000"/>
    <n v="65000"/>
    <n v="89000"/>
    <n v="65000"/>
    <n v="23832"/>
    <n v="167.99999999999997"/>
    <s v="11 mns"/>
    <x v="3"/>
    <n v="10"/>
    <x v="9"/>
  </r>
  <r>
    <d v="2023-10-09T00:00:00"/>
    <x v="2"/>
    <x v="2"/>
    <n v="1"/>
    <x v="0"/>
    <n v="33000"/>
    <n v="18000"/>
    <n v="33000"/>
    <n v="18000"/>
    <n v="14895"/>
    <n v="104.99999999999999"/>
    <s v="30 mns"/>
    <x v="1"/>
    <n v="10"/>
    <x v="9"/>
  </r>
  <r>
    <d v="2023-10-09T00:00:00"/>
    <x v="2"/>
    <x v="2"/>
    <n v="1"/>
    <x v="1"/>
    <n v="60000"/>
    <n v="31000"/>
    <n v="60000"/>
    <n v="31000"/>
    <n v="28797"/>
    <n v="202.99999999999997"/>
    <s v="30 mns"/>
    <x v="1"/>
    <n v="10"/>
    <x v="9"/>
  </r>
  <r>
    <d v="2023-10-09T00:00:00"/>
    <x v="2"/>
    <x v="2"/>
    <n v="1"/>
    <x v="2"/>
    <n v="89000"/>
    <n v="65000"/>
    <n v="89000"/>
    <n v="65000"/>
    <n v="23832"/>
    <n v="167.99999999999997"/>
    <s v="30 mns"/>
    <x v="1"/>
    <n v="10"/>
    <x v="9"/>
  </r>
  <r>
    <d v="2023-10-09T00:00:00"/>
    <x v="3"/>
    <x v="3"/>
    <n v="1"/>
    <x v="0"/>
    <n v="33000"/>
    <n v="18000"/>
    <n v="33000"/>
    <n v="18000"/>
    <n v="14895"/>
    <n v="104.99999999999999"/>
    <s v="35 mns"/>
    <x v="0"/>
    <n v="10"/>
    <x v="9"/>
  </r>
  <r>
    <d v="2023-10-09T00:00:00"/>
    <x v="3"/>
    <x v="3"/>
    <n v="1"/>
    <x v="1"/>
    <n v="60000"/>
    <n v="31000"/>
    <n v="60000"/>
    <n v="31000"/>
    <n v="28797"/>
    <n v="202.99999999999997"/>
    <s v="35 mns"/>
    <x v="0"/>
    <n v="10"/>
    <x v="9"/>
  </r>
  <r>
    <d v="2023-10-09T00:00:00"/>
    <x v="3"/>
    <x v="3"/>
    <n v="1"/>
    <x v="2"/>
    <n v="89000"/>
    <n v="65000"/>
    <n v="89000"/>
    <n v="65000"/>
    <n v="23832"/>
    <n v="167.99999999999997"/>
    <s v="35 mns"/>
    <x v="2"/>
    <n v="10"/>
    <x v="9"/>
  </r>
  <r>
    <d v="2023-10-10T00:00:00"/>
    <x v="0"/>
    <x v="0"/>
    <n v="1"/>
    <x v="0"/>
    <n v="33000"/>
    <n v="18000"/>
    <n v="33000"/>
    <n v="18000"/>
    <n v="14895"/>
    <n v="104.99999999999999"/>
    <s v="11 mns"/>
    <x v="1"/>
    <n v="10"/>
    <x v="9"/>
  </r>
  <r>
    <d v="2023-10-10T00:00:00"/>
    <x v="0"/>
    <x v="0"/>
    <n v="1"/>
    <x v="1"/>
    <n v="60000"/>
    <n v="31000"/>
    <n v="60000"/>
    <n v="31000"/>
    <n v="28797"/>
    <n v="202.99999999999997"/>
    <s v="11 mns"/>
    <x v="3"/>
    <n v="10"/>
    <x v="9"/>
  </r>
  <r>
    <d v="2023-10-10T00:00:00"/>
    <x v="0"/>
    <x v="0"/>
    <n v="1"/>
    <x v="2"/>
    <n v="89000"/>
    <n v="65000"/>
    <n v="89000"/>
    <n v="65000"/>
    <n v="23832"/>
    <n v="167.99999999999997"/>
    <s v="11 mns"/>
    <x v="1"/>
    <n v="10"/>
    <x v="9"/>
  </r>
  <r>
    <d v="2023-10-10T00:00:00"/>
    <x v="2"/>
    <x v="2"/>
    <n v="1"/>
    <x v="0"/>
    <n v="33000"/>
    <n v="18000"/>
    <n v="33000"/>
    <n v="18000"/>
    <n v="14895"/>
    <n v="104.99999999999999"/>
    <s v="30 mns"/>
    <x v="0"/>
    <n v="10"/>
    <x v="9"/>
  </r>
  <r>
    <d v="2023-10-10T00:00:00"/>
    <x v="2"/>
    <x v="2"/>
    <n v="1"/>
    <x v="1"/>
    <n v="60000"/>
    <n v="31000"/>
    <n v="60000"/>
    <n v="31000"/>
    <n v="28797"/>
    <n v="202.99999999999997"/>
    <s v="30 mns"/>
    <x v="3"/>
    <n v="10"/>
    <x v="9"/>
  </r>
  <r>
    <d v="2023-10-10T00:00:00"/>
    <x v="2"/>
    <x v="2"/>
    <n v="1"/>
    <x v="2"/>
    <n v="89000"/>
    <n v="65000"/>
    <n v="89000"/>
    <n v="65000"/>
    <n v="23832"/>
    <n v="167.99999999999997"/>
    <s v="30 mns"/>
    <x v="3"/>
    <n v="10"/>
    <x v="9"/>
  </r>
  <r>
    <d v="2023-10-10T00:00:00"/>
    <x v="3"/>
    <x v="3"/>
    <n v="1"/>
    <x v="0"/>
    <n v="33000"/>
    <n v="18000"/>
    <n v="33000"/>
    <n v="18000"/>
    <n v="14895"/>
    <n v="104.99999999999999"/>
    <s v="35 mns"/>
    <x v="3"/>
    <n v="10"/>
    <x v="9"/>
  </r>
  <r>
    <d v="2023-10-10T00:00:00"/>
    <x v="3"/>
    <x v="3"/>
    <n v="1"/>
    <x v="1"/>
    <n v="60000"/>
    <n v="31000"/>
    <n v="60000"/>
    <n v="31000"/>
    <n v="28797"/>
    <n v="202.99999999999997"/>
    <s v="35 mns"/>
    <x v="3"/>
    <n v="10"/>
    <x v="9"/>
  </r>
  <r>
    <d v="2023-10-10T00:00:00"/>
    <x v="3"/>
    <x v="3"/>
    <n v="1"/>
    <x v="2"/>
    <n v="89000"/>
    <n v="65000"/>
    <n v="89000"/>
    <n v="65000"/>
    <n v="23832"/>
    <n v="167.99999999999997"/>
    <s v="35 mns"/>
    <x v="3"/>
    <n v="10"/>
    <x v="9"/>
  </r>
  <r>
    <d v="2023-10-11T00:00:00"/>
    <x v="0"/>
    <x v="0"/>
    <n v="2"/>
    <x v="0"/>
    <n v="33000"/>
    <n v="18000"/>
    <n v="66000"/>
    <n v="36000"/>
    <n v="29790"/>
    <n v="209.99999999999997"/>
    <s v="11 mns"/>
    <x v="1"/>
    <n v="10"/>
    <x v="9"/>
  </r>
  <r>
    <d v="2023-10-11T00:00:00"/>
    <x v="0"/>
    <x v="0"/>
    <n v="2"/>
    <x v="1"/>
    <n v="60000"/>
    <n v="31000"/>
    <n v="120000"/>
    <n v="62000"/>
    <n v="57594"/>
    <n v="405.99999999999994"/>
    <s v="11 mns"/>
    <x v="1"/>
    <n v="10"/>
    <x v="9"/>
  </r>
  <r>
    <d v="2023-10-11T00:00:00"/>
    <x v="0"/>
    <x v="0"/>
    <n v="2"/>
    <x v="2"/>
    <n v="89000"/>
    <n v="65000"/>
    <n v="178000"/>
    <n v="130000"/>
    <n v="47664"/>
    <n v="335.99999999999994"/>
    <s v="11 mns"/>
    <x v="0"/>
    <n v="10"/>
    <x v="9"/>
  </r>
  <r>
    <d v="2023-10-11T00:00:00"/>
    <x v="2"/>
    <x v="2"/>
    <n v="2"/>
    <x v="0"/>
    <n v="33000"/>
    <n v="18000"/>
    <n v="66000"/>
    <n v="36000"/>
    <n v="29790"/>
    <n v="209.99999999999997"/>
    <s v="30 mns"/>
    <x v="1"/>
    <n v="10"/>
    <x v="9"/>
  </r>
  <r>
    <d v="2023-10-11T00:00:00"/>
    <x v="2"/>
    <x v="2"/>
    <n v="2"/>
    <x v="1"/>
    <n v="60000"/>
    <n v="31000"/>
    <n v="120000"/>
    <n v="62000"/>
    <n v="57594"/>
    <n v="405.99999999999994"/>
    <s v="30 mns"/>
    <x v="1"/>
    <n v="10"/>
    <x v="9"/>
  </r>
  <r>
    <d v="2023-10-11T00:00:00"/>
    <x v="2"/>
    <x v="2"/>
    <n v="2"/>
    <x v="2"/>
    <n v="89000"/>
    <n v="65000"/>
    <n v="178000"/>
    <n v="130000"/>
    <n v="47664"/>
    <n v="335.99999999999994"/>
    <s v="30 mns"/>
    <x v="0"/>
    <n v="10"/>
    <x v="9"/>
  </r>
  <r>
    <d v="2023-10-11T00:00:00"/>
    <x v="3"/>
    <x v="3"/>
    <n v="2"/>
    <x v="0"/>
    <n v="33000"/>
    <n v="18000"/>
    <n v="66000"/>
    <n v="36000"/>
    <n v="29790"/>
    <n v="209.99999999999997"/>
    <s v="35 mns"/>
    <x v="2"/>
    <n v="10"/>
    <x v="9"/>
  </r>
  <r>
    <d v="2023-10-11T00:00:00"/>
    <x v="3"/>
    <x v="3"/>
    <n v="2"/>
    <x v="1"/>
    <n v="60000"/>
    <n v="31000"/>
    <n v="120000"/>
    <n v="62000"/>
    <n v="57594"/>
    <n v="405.99999999999994"/>
    <s v="35 mns"/>
    <x v="1"/>
    <n v="10"/>
    <x v="9"/>
  </r>
  <r>
    <d v="2023-10-11T00:00:00"/>
    <x v="3"/>
    <x v="3"/>
    <n v="2"/>
    <x v="2"/>
    <n v="89000"/>
    <n v="65000"/>
    <n v="178000"/>
    <n v="130000"/>
    <n v="47664"/>
    <n v="335.99999999999994"/>
    <s v="35 mns"/>
    <x v="1"/>
    <n v="10"/>
    <x v="9"/>
  </r>
  <r>
    <d v="2023-10-12T00:00:00"/>
    <x v="0"/>
    <x v="0"/>
    <n v="1"/>
    <x v="0"/>
    <n v="33000"/>
    <n v="18000"/>
    <n v="33000"/>
    <n v="18000"/>
    <n v="14895"/>
    <n v="104.99999999999999"/>
    <s v="11 mns"/>
    <x v="2"/>
    <n v="10"/>
    <x v="9"/>
  </r>
  <r>
    <d v="2023-10-12T00:00:00"/>
    <x v="0"/>
    <x v="0"/>
    <n v="1"/>
    <x v="1"/>
    <n v="60000"/>
    <n v="31000"/>
    <n v="60000"/>
    <n v="31000"/>
    <n v="28797"/>
    <n v="202.99999999999997"/>
    <s v="11 mns"/>
    <x v="3"/>
    <n v="10"/>
    <x v="9"/>
  </r>
  <r>
    <d v="2023-10-12T00:00:00"/>
    <x v="0"/>
    <x v="0"/>
    <n v="1"/>
    <x v="2"/>
    <n v="89000"/>
    <n v="65000"/>
    <n v="89000"/>
    <n v="65000"/>
    <n v="23832"/>
    <n v="167.99999999999997"/>
    <s v="11 mns"/>
    <x v="0"/>
    <n v="10"/>
    <x v="9"/>
  </r>
  <r>
    <d v="2023-10-12T00:00:00"/>
    <x v="2"/>
    <x v="2"/>
    <n v="1"/>
    <x v="0"/>
    <n v="33000"/>
    <n v="18000"/>
    <n v="33000"/>
    <n v="18000"/>
    <n v="14895"/>
    <n v="104.99999999999999"/>
    <s v="30 mns"/>
    <x v="3"/>
    <n v="10"/>
    <x v="9"/>
  </r>
  <r>
    <d v="2023-10-12T00:00:00"/>
    <x v="2"/>
    <x v="2"/>
    <n v="1"/>
    <x v="1"/>
    <n v="60000"/>
    <n v="31000"/>
    <n v="60000"/>
    <n v="31000"/>
    <n v="28797"/>
    <n v="202.99999999999997"/>
    <s v="30 mns"/>
    <x v="3"/>
    <n v="10"/>
    <x v="9"/>
  </r>
  <r>
    <d v="2023-10-12T00:00:00"/>
    <x v="2"/>
    <x v="2"/>
    <n v="1"/>
    <x v="2"/>
    <n v="89000"/>
    <n v="65000"/>
    <n v="89000"/>
    <n v="65000"/>
    <n v="23832"/>
    <n v="167.99999999999997"/>
    <s v="30 mns"/>
    <x v="1"/>
    <n v="10"/>
    <x v="9"/>
  </r>
  <r>
    <d v="2023-10-12T00:00:00"/>
    <x v="3"/>
    <x v="3"/>
    <n v="1"/>
    <x v="0"/>
    <n v="33000"/>
    <n v="18000"/>
    <n v="33000"/>
    <n v="18000"/>
    <n v="14895"/>
    <n v="104.99999999999999"/>
    <s v="35 mns"/>
    <x v="1"/>
    <n v="10"/>
    <x v="9"/>
  </r>
  <r>
    <d v="2023-10-12T00:00:00"/>
    <x v="3"/>
    <x v="3"/>
    <n v="1"/>
    <x v="1"/>
    <n v="60000"/>
    <n v="31000"/>
    <n v="60000"/>
    <n v="31000"/>
    <n v="28797"/>
    <n v="202.99999999999997"/>
    <s v="35 mns"/>
    <x v="0"/>
    <n v="10"/>
    <x v="9"/>
  </r>
  <r>
    <d v="2023-10-12T00:00:00"/>
    <x v="3"/>
    <x v="3"/>
    <n v="1"/>
    <x v="2"/>
    <n v="89000"/>
    <n v="65000"/>
    <n v="89000"/>
    <n v="65000"/>
    <n v="23832"/>
    <n v="167.99999999999997"/>
    <s v="35 mns"/>
    <x v="0"/>
    <n v="10"/>
    <x v="9"/>
  </r>
  <r>
    <d v="2023-10-13T00:00:00"/>
    <x v="0"/>
    <x v="0"/>
    <n v="1"/>
    <x v="0"/>
    <n v="33000"/>
    <n v="18000"/>
    <n v="33000"/>
    <n v="18000"/>
    <n v="14895"/>
    <n v="104.99999999999999"/>
    <s v="11 mns"/>
    <x v="3"/>
    <n v="10"/>
    <x v="9"/>
  </r>
  <r>
    <d v="2023-10-13T00:00:00"/>
    <x v="0"/>
    <x v="0"/>
    <n v="1"/>
    <x v="1"/>
    <n v="60000"/>
    <n v="31000"/>
    <n v="60000"/>
    <n v="31000"/>
    <n v="28797"/>
    <n v="202.99999999999997"/>
    <s v="11 mns"/>
    <x v="1"/>
    <n v="10"/>
    <x v="9"/>
  </r>
  <r>
    <d v="2023-10-13T00:00:00"/>
    <x v="0"/>
    <x v="0"/>
    <n v="1"/>
    <x v="2"/>
    <n v="89000"/>
    <n v="65000"/>
    <n v="89000"/>
    <n v="65000"/>
    <n v="23832"/>
    <n v="167.99999999999997"/>
    <s v="11 mns"/>
    <x v="1"/>
    <n v="10"/>
    <x v="9"/>
  </r>
  <r>
    <d v="2023-10-13T00:00:00"/>
    <x v="2"/>
    <x v="2"/>
    <n v="1"/>
    <x v="0"/>
    <n v="33000"/>
    <n v="18000"/>
    <n v="33000"/>
    <n v="18000"/>
    <n v="14895"/>
    <n v="104.99999999999999"/>
    <s v="30 mns"/>
    <x v="1"/>
    <n v="10"/>
    <x v="9"/>
  </r>
  <r>
    <d v="2023-10-13T00:00:00"/>
    <x v="2"/>
    <x v="2"/>
    <n v="1"/>
    <x v="1"/>
    <n v="60000"/>
    <n v="31000"/>
    <n v="60000"/>
    <n v="31000"/>
    <n v="28797"/>
    <n v="202.99999999999997"/>
    <s v="30 mns"/>
    <x v="1"/>
    <n v="10"/>
    <x v="9"/>
  </r>
  <r>
    <d v="2023-10-13T00:00:00"/>
    <x v="2"/>
    <x v="2"/>
    <n v="1"/>
    <x v="2"/>
    <n v="89000"/>
    <n v="65000"/>
    <n v="89000"/>
    <n v="65000"/>
    <n v="23832"/>
    <n v="167.99999999999997"/>
    <s v="30 mns"/>
    <x v="1"/>
    <n v="10"/>
    <x v="9"/>
  </r>
  <r>
    <d v="2023-10-13T00:00:00"/>
    <x v="3"/>
    <x v="3"/>
    <n v="1"/>
    <x v="0"/>
    <n v="33000"/>
    <n v="18000"/>
    <n v="33000"/>
    <n v="18000"/>
    <n v="14895"/>
    <n v="104.99999999999999"/>
    <s v="35 mns"/>
    <x v="2"/>
    <n v="10"/>
    <x v="9"/>
  </r>
  <r>
    <d v="2023-10-13T00:00:00"/>
    <x v="3"/>
    <x v="3"/>
    <n v="1"/>
    <x v="1"/>
    <n v="60000"/>
    <n v="31000"/>
    <n v="60000"/>
    <n v="31000"/>
    <n v="28797"/>
    <n v="202.99999999999997"/>
    <s v="35 mns"/>
    <x v="3"/>
    <n v="10"/>
    <x v="9"/>
  </r>
  <r>
    <d v="2023-10-13T00:00:00"/>
    <x v="3"/>
    <x v="3"/>
    <n v="1"/>
    <x v="2"/>
    <n v="89000"/>
    <n v="65000"/>
    <n v="89000"/>
    <n v="65000"/>
    <n v="23832"/>
    <n v="167.99999999999997"/>
    <s v="35 mns"/>
    <x v="1"/>
    <n v="10"/>
    <x v="9"/>
  </r>
  <r>
    <d v="2023-10-14T00:00:00"/>
    <x v="0"/>
    <x v="0"/>
    <n v="1"/>
    <x v="0"/>
    <n v="33000"/>
    <n v="18000"/>
    <n v="33000"/>
    <n v="18000"/>
    <n v="14895"/>
    <n v="104.99999999999999"/>
    <s v="11 mns"/>
    <x v="3"/>
    <n v="10"/>
    <x v="9"/>
  </r>
  <r>
    <d v="2023-10-14T00:00:00"/>
    <x v="0"/>
    <x v="0"/>
    <n v="1"/>
    <x v="1"/>
    <n v="60000"/>
    <n v="31000"/>
    <n v="60000"/>
    <n v="31000"/>
    <n v="28797"/>
    <n v="202.99999999999997"/>
    <s v="11 mns"/>
    <x v="1"/>
    <n v="10"/>
    <x v="9"/>
  </r>
  <r>
    <d v="2023-10-14T00:00:00"/>
    <x v="0"/>
    <x v="0"/>
    <n v="1"/>
    <x v="2"/>
    <n v="89000"/>
    <n v="65000"/>
    <n v="89000"/>
    <n v="65000"/>
    <n v="23832"/>
    <n v="167.99999999999997"/>
    <s v="11 mns"/>
    <x v="1"/>
    <n v="10"/>
    <x v="9"/>
  </r>
  <r>
    <d v="2023-10-14T00:00:00"/>
    <x v="2"/>
    <x v="2"/>
    <n v="1"/>
    <x v="0"/>
    <n v="33000"/>
    <n v="18000"/>
    <n v="33000"/>
    <n v="18000"/>
    <n v="14895"/>
    <n v="104.99999999999999"/>
    <s v="30 mns"/>
    <x v="3"/>
    <n v="10"/>
    <x v="9"/>
  </r>
  <r>
    <d v="2023-10-14T00:00:00"/>
    <x v="2"/>
    <x v="2"/>
    <n v="1"/>
    <x v="1"/>
    <n v="60000"/>
    <n v="31000"/>
    <n v="60000"/>
    <n v="31000"/>
    <n v="28797"/>
    <n v="202.99999999999997"/>
    <s v="30 mns"/>
    <x v="3"/>
    <n v="10"/>
    <x v="9"/>
  </r>
  <r>
    <d v="2023-10-14T00:00:00"/>
    <x v="2"/>
    <x v="2"/>
    <n v="1"/>
    <x v="2"/>
    <n v="89000"/>
    <n v="65000"/>
    <n v="89000"/>
    <n v="65000"/>
    <n v="23832"/>
    <n v="167.99999999999997"/>
    <s v="30 mns"/>
    <x v="0"/>
    <n v="10"/>
    <x v="9"/>
  </r>
  <r>
    <d v="2023-10-14T00:00:00"/>
    <x v="3"/>
    <x v="3"/>
    <n v="1"/>
    <x v="0"/>
    <n v="33000"/>
    <n v="18000"/>
    <n v="33000"/>
    <n v="18000"/>
    <n v="14895"/>
    <n v="104.99999999999999"/>
    <s v="35 mns"/>
    <x v="3"/>
    <n v="10"/>
    <x v="9"/>
  </r>
  <r>
    <d v="2023-10-14T00:00:00"/>
    <x v="3"/>
    <x v="3"/>
    <n v="1"/>
    <x v="1"/>
    <n v="60000"/>
    <n v="31000"/>
    <n v="60000"/>
    <n v="31000"/>
    <n v="28797"/>
    <n v="202.99999999999997"/>
    <s v="35 mns"/>
    <x v="0"/>
    <n v="10"/>
    <x v="9"/>
  </r>
  <r>
    <d v="2023-10-14T00:00:00"/>
    <x v="3"/>
    <x v="3"/>
    <n v="1"/>
    <x v="2"/>
    <n v="89000"/>
    <n v="65000"/>
    <n v="89000"/>
    <n v="65000"/>
    <n v="23832"/>
    <n v="167.99999999999997"/>
    <s v="35 mns"/>
    <x v="3"/>
    <n v="10"/>
    <x v="9"/>
  </r>
  <r>
    <d v="2023-10-15T00:00:00"/>
    <x v="0"/>
    <x v="0"/>
    <n v="1"/>
    <x v="0"/>
    <n v="33000"/>
    <n v="18000"/>
    <n v="33000"/>
    <n v="18000"/>
    <n v="14895"/>
    <n v="104.99999999999999"/>
    <s v="11 mns"/>
    <x v="1"/>
    <n v="10"/>
    <x v="9"/>
  </r>
  <r>
    <d v="2023-10-15T00:00:00"/>
    <x v="0"/>
    <x v="0"/>
    <n v="1"/>
    <x v="1"/>
    <n v="60000"/>
    <n v="31000"/>
    <n v="60000"/>
    <n v="31000"/>
    <n v="28797"/>
    <n v="202.99999999999997"/>
    <s v="11 mns"/>
    <x v="0"/>
    <n v="10"/>
    <x v="9"/>
  </r>
  <r>
    <d v="2023-10-15T00:00:00"/>
    <x v="0"/>
    <x v="0"/>
    <n v="1"/>
    <x v="2"/>
    <n v="89000"/>
    <n v="65000"/>
    <n v="89000"/>
    <n v="65000"/>
    <n v="23832"/>
    <n v="167.99999999999997"/>
    <s v="11 mns"/>
    <x v="3"/>
    <n v="10"/>
    <x v="9"/>
  </r>
  <r>
    <d v="2023-10-15T00:00:00"/>
    <x v="2"/>
    <x v="2"/>
    <n v="1"/>
    <x v="0"/>
    <n v="33000"/>
    <n v="18000"/>
    <n v="33000"/>
    <n v="18000"/>
    <n v="14895"/>
    <n v="104.99999999999999"/>
    <s v="30 mns"/>
    <x v="2"/>
    <n v="10"/>
    <x v="9"/>
  </r>
  <r>
    <d v="2023-10-15T00:00:00"/>
    <x v="2"/>
    <x v="2"/>
    <n v="1"/>
    <x v="1"/>
    <n v="60000"/>
    <n v="31000"/>
    <n v="60000"/>
    <n v="31000"/>
    <n v="28797"/>
    <n v="202.99999999999997"/>
    <s v="30 mns"/>
    <x v="3"/>
    <n v="10"/>
    <x v="9"/>
  </r>
  <r>
    <d v="2023-10-15T00:00:00"/>
    <x v="2"/>
    <x v="2"/>
    <n v="1"/>
    <x v="2"/>
    <n v="89000"/>
    <n v="65000"/>
    <n v="89000"/>
    <n v="65000"/>
    <n v="23832"/>
    <n v="167.99999999999997"/>
    <s v="30 mns"/>
    <x v="1"/>
    <n v="10"/>
    <x v="9"/>
  </r>
  <r>
    <d v="2023-10-15T00:00:00"/>
    <x v="3"/>
    <x v="3"/>
    <n v="1"/>
    <x v="0"/>
    <n v="33000"/>
    <n v="18000"/>
    <n v="33000"/>
    <n v="18000"/>
    <n v="14895"/>
    <n v="104.99999999999999"/>
    <s v="35 mns"/>
    <x v="0"/>
    <n v="10"/>
    <x v="9"/>
  </r>
  <r>
    <d v="2023-10-15T00:00:00"/>
    <x v="3"/>
    <x v="3"/>
    <n v="1"/>
    <x v="1"/>
    <n v="60000"/>
    <n v="31000"/>
    <n v="60000"/>
    <n v="31000"/>
    <n v="28797"/>
    <n v="202.99999999999997"/>
    <s v="35 mns"/>
    <x v="1"/>
    <n v="10"/>
    <x v="9"/>
  </r>
  <r>
    <d v="2023-10-15T00:00:00"/>
    <x v="3"/>
    <x v="3"/>
    <n v="1"/>
    <x v="2"/>
    <n v="89000"/>
    <n v="65000"/>
    <n v="89000"/>
    <n v="65000"/>
    <n v="23832"/>
    <n v="167.99999999999997"/>
    <s v="35 mns"/>
    <x v="3"/>
    <n v="10"/>
    <x v="9"/>
  </r>
  <r>
    <d v="2023-10-16T00:00:00"/>
    <x v="0"/>
    <x v="0"/>
    <n v="2"/>
    <x v="0"/>
    <n v="33000"/>
    <n v="18000"/>
    <n v="66000"/>
    <n v="36000"/>
    <n v="29790"/>
    <n v="209.99999999999997"/>
    <s v="11 mns"/>
    <x v="0"/>
    <n v="10"/>
    <x v="9"/>
  </r>
  <r>
    <d v="2023-10-16T00:00:00"/>
    <x v="0"/>
    <x v="0"/>
    <n v="2"/>
    <x v="1"/>
    <n v="60000"/>
    <n v="31000"/>
    <n v="120000"/>
    <n v="62000"/>
    <n v="57594"/>
    <n v="405.99999999999994"/>
    <s v="11 mns"/>
    <x v="3"/>
    <n v="10"/>
    <x v="9"/>
  </r>
  <r>
    <d v="2023-10-16T00:00:00"/>
    <x v="0"/>
    <x v="0"/>
    <n v="2"/>
    <x v="2"/>
    <n v="89000"/>
    <n v="65000"/>
    <n v="178000"/>
    <n v="130000"/>
    <n v="47664"/>
    <n v="335.99999999999994"/>
    <s v="11 mns"/>
    <x v="3"/>
    <n v="10"/>
    <x v="9"/>
  </r>
  <r>
    <d v="2023-10-16T00:00:00"/>
    <x v="2"/>
    <x v="2"/>
    <n v="2"/>
    <x v="0"/>
    <n v="33000"/>
    <n v="18000"/>
    <n v="66000"/>
    <n v="36000"/>
    <n v="29790"/>
    <n v="209.99999999999997"/>
    <s v="30 mns"/>
    <x v="0"/>
    <n v="10"/>
    <x v="9"/>
  </r>
  <r>
    <d v="2023-10-16T00:00:00"/>
    <x v="2"/>
    <x v="2"/>
    <n v="2"/>
    <x v="1"/>
    <n v="60000"/>
    <n v="31000"/>
    <n v="120000"/>
    <n v="62000"/>
    <n v="57594"/>
    <n v="405.99999999999994"/>
    <s v="30 mns"/>
    <x v="3"/>
    <n v="10"/>
    <x v="9"/>
  </r>
  <r>
    <d v="2023-10-16T00:00:00"/>
    <x v="2"/>
    <x v="2"/>
    <n v="2"/>
    <x v="2"/>
    <n v="89000"/>
    <n v="65000"/>
    <n v="178000"/>
    <n v="130000"/>
    <n v="47664"/>
    <n v="335.99999999999994"/>
    <s v="30 mns"/>
    <x v="1"/>
    <n v="10"/>
    <x v="9"/>
  </r>
  <r>
    <d v="2023-10-16T00:00:00"/>
    <x v="3"/>
    <x v="3"/>
    <n v="2"/>
    <x v="0"/>
    <n v="33000"/>
    <n v="18000"/>
    <n v="66000"/>
    <n v="36000"/>
    <n v="29790"/>
    <n v="209.99999999999997"/>
    <s v="35 mns"/>
    <x v="1"/>
    <n v="10"/>
    <x v="9"/>
  </r>
  <r>
    <d v="2023-10-16T00:00:00"/>
    <x v="3"/>
    <x v="3"/>
    <n v="2"/>
    <x v="1"/>
    <n v="60000"/>
    <n v="31000"/>
    <n v="120000"/>
    <n v="62000"/>
    <n v="57594"/>
    <n v="405.99999999999994"/>
    <s v="35 mns"/>
    <x v="0"/>
    <n v="10"/>
    <x v="9"/>
  </r>
  <r>
    <d v="2023-10-16T00:00:00"/>
    <x v="3"/>
    <x v="3"/>
    <n v="2"/>
    <x v="2"/>
    <n v="89000"/>
    <n v="65000"/>
    <n v="178000"/>
    <n v="130000"/>
    <n v="47664"/>
    <n v="335.99999999999994"/>
    <s v="35 mns"/>
    <x v="3"/>
    <n v="10"/>
    <x v="9"/>
  </r>
  <r>
    <d v="2023-10-17T00:00:00"/>
    <x v="0"/>
    <x v="0"/>
    <n v="1"/>
    <x v="0"/>
    <n v="33000"/>
    <n v="18000"/>
    <n v="33000"/>
    <n v="18000"/>
    <n v="14895"/>
    <n v="104.99999999999999"/>
    <s v="11 mns"/>
    <x v="1"/>
    <n v="10"/>
    <x v="9"/>
  </r>
  <r>
    <d v="2023-10-17T00:00:00"/>
    <x v="0"/>
    <x v="0"/>
    <n v="1"/>
    <x v="1"/>
    <n v="60000"/>
    <n v="31000"/>
    <n v="60000"/>
    <n v="31000"/>
    <n v="28797"/>
    <n v="202.99999999999997"/>
    <s v="11 mns"/>
    <x v="3"/>
    <n v="10"/>
    <x v="9"/>
  </r>
  <r>
    <d v="2023-10-17T00:00:00"/>
    <x v="0"/>
    <x v="0"/>
    <n v="1"/>
    <x v="2"/>
    <n v="89000"/>
    <n v="65000"/>
    <n v="89000"/>
    <n v="65000"/>
    <n v="23832"/>
    <n v="167.99999999999997"/>
    <s v="11 mns"/>
    <x v="1"/>
    <n v="10"/>
    <x v="9"/>
  </r>
  <r>
    <d v="2023-10-17T00:00:00"/>
    <x v="2"/>
    <x v="2"/>
    <n v="1"/>
    <x v="0"/>
    <n v="33000"/>
    <n v="18000"/>
    <n v="33000"/>
    <n v="18000"/>
    <n v="14895"/>
    <n v="104.99999999999999"/>
    <s v="30 mns"/>
    <x v="0"/>
    <n v="10"/>
    <x v="9"/>
  </r>
  <r>
    <d v="2023-10-17T00:00:00"/>
    <x v="2"/>
    <x v="2"/>
    <n v="1"/>
    <x v="1"/>
    <n v="60000"/>
    <n v="31000"/>
    <n v="60000"/>
    <n v="31000"/>
    <n v="28797"/>
    <n v="202.99999999999997"/>
    <s v="30 mns"/>
    <x v="2"/>
    <n v="10"/>
    <x v="9"/>
  </r>
  <r>
    <d v="2023-10-17T00:00:00"/>
    <x v="2"/>
    <x v="2"/>
    <n v="1"/>
    <x v="2"/>
    <n v="89000"/>
    <n v="65000"/>
    <n v="89000"/>
    <n v="65000"/>
    <n v="23832"/>
    <n v="167.99999999999997"/>
    <s v="30 mns"/>
    <x v="0"/>
    <n v="10"/>
    <x v="9"/>
  </r>
  <r>
    <d v="2023-10-17T00:00:00"/>
    <x v="3"/>
    <x v="3"/>
    <n v="1"/>
    <x v="0"/>
    <n v="33000"/>
    <n v="18000"/>
    <n v="33000"/>
    <n v="18000"/>
    <n v="14895"/>
    <n v="104.99999999999999"/>
    <s v="35 mns"/>
    <x v="3"/>
    <n v="10"/>
    <x v="9"/>
  </r>
  <r>
    <d v="2023-10-17T00:00:00"/>
    <x v="3"/>
    <x v="3"/>
    <n v="1"/>
    <x v="1"/>
    <n v="60000"/>
    <n v="31000"/>
    <n v="60000"/>
    <n v="31000"/>
    <n v="28797"/>
    <n v="202.99999999999997"/>
    <s v="35 mns"/>
    <x v="0"/>
    <n v="10"/>
    <x v="9"/>
  </r>
  <r>
    <d v="2023-10-17T00:00:00"/>
    <x v="3"/>
    <x v="3"/>
    <n v="1"/>
    <x v="2"/>
    <n v="89000"/>
    <n v="65000"/>
    <n v="89000"/>
    <n v="65000"/>
    <n v="23832"/>
    <n v="167.99999999999997"/>
    <s v="35 mns"/>
    <x v="0"/>
    <n v="10"/>
    <x v="9"/>
  </r>
  <r>
    <d v="2023-10-18T00:00:00"/>
    <x v="0"/>
    <x v="0"/>
    <n v="1"/>
    <x v="0"/>
    <n v="33000"/>
    <n v="18000"/>
    <n v="33000"/>
    <n v="18000"/>
    <n v="14895"/>
    <n v="104.99999999999999"/>
    <s v="11 mns"/>
    <x v="1"/>
    <n v="10"/>
    <x v="9"/>
  </r>
  <r>
    <d v="2023-10-18T00:00:00"/>
    <x v="0"/>
    <x v="0"/>
    <n v="1"/>
    <x v="1"/>
    <n v="60000"/>
    <n v="31000"/>
    <n v="60000"/>
    <n v="31000"/>
    <n v="28797"/>
    <n v="202.99999999999997"/>
    <s v="11 mns"/>
    <x v="0"/>
    <n v="10"/>
    <x v="9"/>
  </r>
  <r>
    <d v="2023-10-18T00:00:00"/>
    <x v="0"/>
    <x v="0"/>
    <n v="1"/>
    <x v="2"/>
    <n v="89000"/>
    <n v="65000"/>
    <n v="89000"/>
    <n v="65000"/>
    <n v="23832"/>
    <n v="167.99999999999997"/>
    <s v="11 mns"/>
    <x v="0"/>
    <n v="10"/>
    <x v="9"/>
  </r>
  <r>
    <d v="2023-10-18T00:00:00"/>
    <x v="2"/>
    <x v="2"/>
    <n v="1"/>
    <x v="0"/>
    <n v="33000"/>
    <n v="18000"/>
    <n v="33000"/>
    <n v="18000"/>
    <n v="14895"/>
    <n v="104.99999999999999"/>
    <s v="30 mns"/>
    <x v="1"/>
    <n v="10"/>
    <x v="9"/>
  </r>
  <r>
    <d v="2023-10-18T00:00:00"/>
    <x v="2"/>
    <x v="2"/>
    <n v="1"/>
    <x v="1"/>
    <n v="60000"/>
    <n v="31000"/>
    <n v="60000"/>
    <n v="31000"/>
    <n v="28797"/>
    <n v="202.99999999999997"/>
    <s v="30 mns"/>
    <x v="0"/>
    <n v="10"/>
    <x v="9"/>
  </r>
  <r>
    <d v="2023-10-18T00:00:00"/>
    <x v="2"/>
    <x v="2"/>
    <n v="1"/>
    <x v="2"/>
    <n v="89000"/>
    <n v="65000"/>
    <n v="89000"/>
    <n v="65000"/>
    <n v="23832"/>
    <n v="167.99999999999997"/>
    <s v="30 mns"/>
    <x v="1"/>
    <n v="10"/>
    <x v="9"/>
  </r>
  <r>
    <d v="2023-10-18T00:00:00"/>
    <x v="3"/>
    <x v="3"/>
    <n v="1"/>
    <x v="0"/>
    <n v="33000"/>
    <n v="18000"/>
    <n v="33000"/>
    <n v="18000"/>
    <n v="14895"/>
    <n v="104.99999999999999"/>
    <s v="35 mns"/>
    <x v="0"/>
    <n v="10"/>
    <x v="9"/>
  </r>
  <r>
    <d v="2023-10-18T00:00:00"/>
    <x v="3"/>
    <x v="3"/>
    <n v="1"/>
    <x v="1"/>
    <n v="60000"/>
    <n v="31000"/>
    <n v="60000"/>
    <n v="31000"/>
    <n v="28797"/>
    <n v="202.99999999999997"/>
    <s v="35 mns"/>
    <x v="2"/>
    <n v="10"/>
    <x v="9"/>
  </r>
  <r>
    <d v="2023-10-18T00:00:00"/>
    <x v="3"/>
    <x v="3"/>
    <n v="1"/>
    <x v="2"/>
    <n v="89000"/>
    <n v="65000"/>
    <n v="89000"/>
    <n v="65000"/>
    <n v="23832"/>
    <n v="167.99999999999997"/>
    <s v="35 mns"/>
    <x v="2"/>
    <n v="10"/>
    <x v="9"/>
  </r>
  <r>
    <d v="2023-10-19T00:00:00"/>
    <x v="0"/>
    <x v="0"/>
    <n v="2"/>
    <x v="0"/>
    <n v="33000"/>
    <n v="18000"/>
    <n v="66000"/>
    <n v="36000"/>
    <n v="29790"/>
    <n v="209.99999999999997"/>
    <s v="11 mns"/>
    <x v="1"/>
    <n v="10"/>
    <x v="9"/>
  </r>
  <r>
    <d v="2023-10-19T00:00:00"/>
    <x v="0"/>
    <x v="0"/>
    <n v="2"/>
    <x v="1"/>
    <n v="60000"/>
    <n v="31000"/>
    <n v="120000"/>
    <n v="62000"/>
    <n v="57594"/>
    <n v="405.99999999999994"/>
    <s v="11 mns"/>
    <x v="1"/>
    <n v="10"/>
    <x v="9"/>
  </r>
  <r>
    <d v="2023-10-19T00:00:00"/>
    <x v="0"/>
    <x v="0"/>
    <n v="2"/>
    <x v="2"/>
    <n v="89000"/>
    <n v="65000"/>
    <n v="178000"/>
    <n v="130000"/>
    <n v="47664"/>
    <n v="335.99999999999994"/>
    <s v="11 mns"/>
    <x v="3"/>
    <n v="10"/>
    <x v="9"/>
  </r>
  <r>
    <d v="2023-10-19T00:00:00"/>
    <x v="2"/>
    <x v="2"/>
    <n v="2"/>
    <x v="0"/>
    <n v="33000"/>
    <n v="18000"/>
    <n v="66000"/>
    <n v="36000"/>
    <n v="29790"/>
    <n v="209.99999999999997"/>
    <s v="30 mns"/>
    <x v="0"/>
    <n v="10"/>
    <x v="9"/>
  </r>
  <r>
    <d v="2023-10-19T00:00:00"/>
    <x v="2"/>
    <x v="2"/>
    <n v="2"/>
    <x v="1"/>
    <n v="60000"/>
    <n v="31000"/>
    <n v="120000"/>
    <n v="62000"/>
    <n v="57594"/>
    <n v="405.99999999999994"/>
    <s v="30 mns"/>
    <x v="0"/>
    <n v="10"/>
    <x v="9"/>
  </r>
  <r>
    <d v="2023-10-19T00:00:00"/>
    <x v="2"/>
    <x v="2"/>
    <n v="2"/>
    <x v="2"/>
    <n v="89000"/>
    <n v="65000"/>
    <n v="178000"/>
    <n v="130000"/>
    <n v="47664"/>
    <n v="335.99999999999994"/>
    <s v="30 mns"/>
    <x v="0"/>
    <n v="10"/>
    <x v="9"/>
  </r>
  <r>
    <d v="2023-10-19T00:00:00"/>
    <x v="3"/>
    <x v="3"/>
    <n v="2"/>
    <x v="0"/>
    <n v="33000"/>
    <n v="18000"/>
    <n v="66000"/>
    <n v="36000"/>
    <n v="29790"/>
    <n v="209.99999999999997"/>
    <s v="35 mns"/>
    <x v="3"/>
    <n v="10"/>
    <x v="9"/>
  </r>
  <r>
    <d v="2023-10-19T00:00:00"/>
    <x v="3"/>
    <x v="3"/>
    <n v="2"/>
    <x v="1"/>
    <n v="60000"/>
    <n v="31000"/>
    <n v="120000"/>
    <n v="62000"/>
    <n v="57594"/>
    <n v="405.99999999999994"/>
    <s v="35 mns"/>
    <x v="2"/>
    <n v="10"/>
    <x v="9"/>
  </r>
  <r>
    <d v="2023-10-19T00:00:00"/>
    <x v="3"/>
    <x v="3"/>
    <n v="2"/>
    <x v="2"/>
    <n v="89000"/>
    <n v="65000"/>
    <n v="178000"/>
    <n v="130000"/>
    <n v="47664"/>
    <n v="335.99999999999994"/>
    <s v="35 mns"/>
    <x v="1"/>
    <n v="10"/>
    <x v="9"/>
  </r>
  <r>
    <d v="2023-10-20T00:00:00"/>
    <x v="0"/>
    <x v="0"/>
    <n v="1"/>
    <x v="0"/>
    <n v="33000"/>
    <n v="18000"/>
    <n v="33000"/>
    <n v="18000"/>
    <n v="14895"/>
    <n v="104.99999999999999"/>
    <s v="11 mns"/>
    <x v="3"/>
    <n v="10"/>
    <x v="9"/>
  </r>
  <r>
    <d v="2023-10-20T00:00:00"/>
    <x v="0"/>
    <x v="0"/>
    <n v="1"/>
    <x v="1"/>
    <n v="60000"/>
    <n v="31000"/>
    <n v="60000"/>
    <n v="31000"/>
    <n v="28797"/>
    <n v="202.99999999999997"/>
    <s v="11 mns"/>
    <x v="3"/>
    <n v="10"/>
    <x v="9"/>
  </r>
  <r>
    <d v="2023-10-20T00:00:00"/>
    <x v="0"/>
    <x v="0"/>
    <n v="1"/>
    <x v="2"/>
    <n v="89000"/>
    <n v="65000"/>
    <n v="89000"/>
    <n v="65000"/>
    <n v="23832"/>
    <n v="167.99999999999997"/>
    <s v="11 mns"/>
    <x v="1"/>
    <n v="10"/>
    <x v="9"/>
  </r>
  <r>
    <d v="2023-10-20T00:00:00"/>
    <x v="2"/>
    <x v="2"/>
    <n v="1"/>
    <x v="0"/>
    <n v="33000"/>
    <n v="18000"/>
    <n v="33000"/>
    <n v="18000"/>
    <n v="14895"/>
    <n v="104.99999999999999"/>
    <s v="30 mns"/>
    <x v="3"/>
    <n v="10"/>
    <x v="9"/>
  </r>
  <r>
    <d v="2023-10-20T00:00:00"/>
    <x v="2"/>
    <x v="2"/>
    <n v="1"/>
    <x v="1"/>
    <n v="60000"/>
    <n v="31000"/>
    <n v="60000"/>
    <n v="31000"/>
    <n v="28797"/>
    <n v="202.99999999999997"/>
    <s v="30 mns"/>
    <x v="0"/>
    <n v="10"/>
    <x v="9"/>
  </r>
  <r>
    <d v="2023-10-20T00:00:00"/>
    <x v="2"/>
    <x v="2"/>
    <n v="1"/>
    <x v="2"/>
    <n v="89000"/>
    <n v="65000"/>
    <n v="89000"/>
    <n v="65000"/>
    <n v="23832"/>
    <n v="167.99999999999997"/>
    <s v="30 mns"/>
    <x v="3"/>
    <n v="10"/>
    <x v="9"/>
  </r>
  <r>
    <d v="2023-10-20T00:00:00"/>
    <x v="3"/>
    <x v="3"/>
    <n v="1"/>
    <x v="0"/>
    <n v="33000"/>
    <n v="18000"/>
    <n v="33000"/>
    <n v="18000"/>
    <n v="14895"/>
    <n v="104.99999999999999"/>
    <s v="35 mns"/>
    <x v="2"/>
    <n v="10"/>
    <x v="9"/>
  </r>
  <r>
    <d v="2023-10-20T00:00:00"/>
    <x v="3"/>
    <x v="3"/>
    <n v="1"/>
    <x v="1"/>
    <n v="60000"/>
    <n v="31000"/>
    <n v="60000"/>
    <n v="31000"/>
    <n v="28797"/>
    <n v="202.99999999999997"/>
    <s v="35 mns"/>
    <x v="1"/>
    <n v="10"/>
    <x v="9"/>
  </r>
  <r>
    <d v="2023-10-20T00:00:00"/>
    <x v="3"/>
    <x v="3"/>
    <n v="1"/>
    <x v="2"/>
    <n v="89000"/>
    <n v="65000"/>
    <n v="89000"/>
    <n v="65000"/>
    <n v="23832"/>
    <n v="167.99999999999997"/>
    <s v="35 mns"/>
    <x v="2"/>
    <n v="10"/>
    <x v="9"/>
  </r>
  <r>
    <d v="2023-10-21T00:00:00"/>
    <x v="0"/>
    <x v="0"/>
    <n v="1"/>
    <x v="0"/>
    <n v="33000"/>
    <n v="18000"/>
    <n v="33000"/>
    <n v="18000"/>
    <n v="14895"/>
    <n v="104.99999999999999"/>
    <s v="11 mns"/>
    <x v="1"/>
    <n v="10"/>
    <x v="9"/>
  </r>
  <r>
    <d v="2023-10-21T00:00:00"/>
    <x v="0"/>
    <x v="0"/>
    <n v="1"/>
    <x v="1"/>
    <n v="60000"/>
    <n v="31000"/>
    <n v="60000"/>
    <n v="31000"/>
    <n v="28797"/>
    <n v="202.99999999999997"/>
    <s v="11 mns"/>
    <x v="0"/>
    <n v="10"/>
    <x v="9"/>
  </r>
  <r>
    <d v="2023-10-21T00:00:00"/>
    <x v="0"/>
    <x v="0"/>
    <n v="1"/>
    <x v="2"/>
    <n v="89000"/>
    <n v="65000"/>
    <n v="89000"/>
    <n v="65000"/>
    <n v="23832"/>
    <n v="167.99999999999997"/>
    <s v="11 mns"/>
    <x v="0"/>
    <n v="10"/>
    <x v="9"/>
  </r>
  <r>
    <d v="2023-10-21T00:00:00"/>
    <x v="2"/>
    <x v="2"/>
    <n v="1"/>
    <x v="0"/>
    <n v="33000"/>
    <n v="18000"/>
    <n v="33000"/>
    <n v="18000"/>
    <n v="14895"/>
    <n v="104.99999999999999"/>
    <s v="30 mns"/>
    <x v="3"/>
    <n v="10"/>
    <x v="9"/>
  </r>
  <r>
    <d v="2023-10-21T00:00:00"/>
    <x v="2"/>
    <x v="2"/>
    <n v="1"/>
    <x v="1"/>
    <n v="60000"/>
    <n v="31000"/>
    <n v="60000"/>
    <n v="31000"/>
    <n v="28797"/>
    <n v="202.99999999999997"/>
    <s v="30 mns"/>
    <x v="1"/>
    <n v="10"/>
    <x v="9"/>
  </r>
  <r>
    <d v="2023-10-21T00:00:00"/>
    <x v="2"/>
    <x v="2"/>
    <n v="1"/>
    <x v="2"/>
    <n v="89000"/>
    <n v="65000"/>
    <n v="89000"/>
    <n v="65000"/>
    <n v="23832"/>
    <n v="167.99999999999997"/>
    <s v="30 mns"/>
    <x v="3"/>
    <n v="10"/>
    <x v="9"/>
  </r>
  <r>
    <d v="2023-10-21T00:00:00"/>
    <x v="3"/>
    <x v="3"/>
    <n v="1"/>
    <x v="0"/>
    <n v="33000"/>
    <n v="18000"/>
    <n v="33000"/>
    <n v="18000"/>
    <n v="14895"/>
    <n v="104.99999999999999"/>
    <s v="35 mns"/>
    <x v="0"/>
    <n v="10"/>
    <x v="9"/>
  </r>
  <r>
    <d v="2023-10-21T00:00:00"/>
    <x v="3"/>
    <x v="3"/>
    <n v="1"/>
    <x v="1"/>
    <n v="60000"/>
    <n v="31000"/>
    <n v="60000"/>
    <n v="31000"/>
    <n v="28797"/>
    <n v="202.99999999999997"/>
    <s v="35 mns"/>
    <x v="3"/>
    <n v="10"/>
    <x v="9"/>
  </r>
  <r>
    <d v="2023-10-21T00:00:00"/>
    <x v="3"/>
    <x v="3"/>
    <n v="1"/>
    <x v="2"/>
    <n v="89000"/>
    <n v="65000"/>
    <n v="89000"/>
    <n v="65000"/>
    <n v="23832"/>
    <n v="167.99999999999997"/>
    <s v="35 mns"/>
    <x v="0"/>
    <n v="10"/>
    <x v="9"/>
  </r>
  <r>
    <d v="2023-10-22T00:00:00"/>
    <x v="0"/>
    <x v="0"/>
    <n v="1"/>
    <x v="0"/>
    <n v="33000"/>
    <n v="18000"/>
    <n v="33000"/>
    <n v="18000"/>
    <n v="14895"/>
    <n v="104.99999999999999"/>
    <s v="11 mns"/>
    <x v="1"/>
    <n v="10"/>
    <x v="9"/>
  </r>
  <r>
    <d v="2023-10-22T00:00:00"/>
    <x v="0"/>
    <x v="0"/>
    <n v="1"/>
    <x v="1"/>
    <n v="60000"/>
    <n v="31000"/>
    <n v="60000"/>
    <n v="31000"/>
    <n v="28797"/>
    <n v="202.99999999999997"/>
    <s v="11 mns"/>
    <x v="0"/>
    <n v="10"/>
    <x v="9"/>
  </r>
  <r>
    <d v="2023-10-22T00:00:00"/>
    <x v="0"/>
    <x v="0"/>
    <n v="1"/>
    <x v="2"/>
    <n v="89000"/>
    <n v="65000"/>
    <n v="89000"/>
    <n v="65000"/>
    <n v="23832"/>
    <n v="167.99999999999997"/>
    <s v="11 mns"/>
    <x v="1"/>
    <n v="10"/>
    <x v="9"/>
  </r>
  <r>
    <d v="2023-10-22T00:00:00"/>
    <x v="1"/>
    <x v="1"/>
    <n v="1"/>
    <x v="2"/>
    <n v="89000"/>
    <n v="65000"/>
    <n v="89000"/>
    <n v="65000"/>
    <n v="23832"/>
    <n v="167.99999999999997"/>
    <s v="58 mns"/>
    <x v="2"/>
    <n v="10"/>
    <x v="9"/>
  </r>
  <r>
    <d v="2023-10-22T00:00:00"/>
    <x v="2"/>
    <x v="2"/>
    <n v="1"/>
    <x v="0"/>
    <n v="33000"/>
    <n v="18000"/>
    <n v="33000"/>
    <n v="18000"/>
    <n v="14895"/>
    <n v="104.99999999999999"/>
    <s v="30 mns"/>
    <x v="3"/>
    <n v="10"/>
    <x v="9"/>
  </r>
  <r>
    <d v="2023-10-22T00:00:00"/>
    <x v="2"/>
    <x v="2"/>
    <n v="1"/>
    <x v="1"/>
    <n v="60000"/>
    <n v="31000"/>
    <n v="60000"/>
    <n v="31000"/>
    <n v="28797"/>
    <n v="202.99999999999997"/>
    <s v="30 mns"/>
    <x v="0"/>
    <n v="10"/>
    <x v="9"/>
  </r>
  <r>
    <d v="2023-10-22T00:00:00"/>
    <x v="2"/>
    <x v="2"/>
    <n v="1"/>
    <x v="2"/>
    <n v="89000"/>
    <n v="65000"/>
    <n v="89000"/>
    <n v="65000"/>
    <n v="23832"/>
    <n v="167.99999999999997"/>
    <s v="30 mns"/>
    <x v="3"/>
    <n v="10"/>
    <x v="9"/>
  </r>
  <r>
    <d v="2023-10-22T00:00:00"/>
    <x v="3"/>
    <x v="3"/>
    <n v="1"/>
    <x v="0"/>
    <n v="33000"/>
    <n v="18000"/>
    <n v="33000"/>
    <n v="18000"/>
    <n v="14895"/>
    <n v="104.99999999999999"/>
    <s v="35 mns"/>
    <x v="0"/>
    <n v="10"/>
    <x v="9"/>
  </r>
  <r>
    <d v="2023-10-22T00:00:00"/>
    <x v="3"/>
    <x v="3"/>
    <n v="1"/>
    <x v="1"/>
    <n v="60000"/>
    <n v="31000"/>
    <n v="60000"/>
    <n v="31000"/>
    <n v="28797"/>
    <n v="202.99999999999997"/>
    <s v="35 mns"/>
    <x v="2"/>
    <n v="10"/>
    <x v="9"/>
  </r>
  <r>
    <d v="2023-10-22T00:00:00"/>
    <x v="3"/>
    <x v="3"/>
    <n v="1"/>
    <x v="2"/>
    <n v="89000"/>
    <n v="65000"/>
    <n v="89000"/>
    <n v="65000"/>
    <n v="23832"/>
    <n v="167.99999999999997"/>
    <s v="35 mns"/>
    <x v="3"/>
    <n v="10"/>
    <x v="9"/>
  </r>
  <r>
    <d v="2023-10-23T00:00:00"/>
    <x v="0"/>
    <x v="0"/>
    <n v="2"/>
    <x v="0"/>
    <n v="33000"/>
    <n v="18000"/>
    <n v="66000"/>
    <n v="36000"/>
    <n v="29790"/>
    <n v="209.99999999999997"/>
    <s v="11 mns"/>
    <x v="3"/>
    <n v="10"/>
    <x v="9"/>
  </r>
  <r>
    <d v="2023-10-23T00:00:00"/>
    <x v="0"/>
    <x v="0"/>
    <n v="2"/>
    <x v="1"/>
    <n v="60000"/>
    <n v="31000"/>
    <n v="120000"/>
    <n v="62000"/>
    <n v="57594"/>
    <n v="405.99999999999994"/>
    <s v="11 mns"/>
    <x v="3"/>
    <n v="10"/>
    <x v="9"/>
  </r>
  <r>
    <d v="2023-10-23T00:00:00"/>
    <x v="0"/>
    <x v="0"/>
    <n v="2"/>
    <x v="2"/>
    <n v="89000"/>
    <n v="65000"/>
    <n v="178000"/>
    <n v="130000"/>
    <n v="47664"/>
    <n v="335.99999999999994"/>
    <s v="11 mns"/>
    <x v="1"/>
    <n v="10"/>
    <x v="9"/>
  </r>
  <r>
    <d v="2023-10-23T00:00:00"/>
    <x v="1"/>
    <x v="1"/>
    <n v="2"/>
    <x v="0"/>
    <n v="33000"/>
    <n v="18000"/>
    <n v="66000"/>
    <n v="36000"/>
    <n v="29790"/>
    <n v="209.99999999999997"/>
    <s v="58 mns"/>
    <x v="3"/>
    <n v="10"/>
    <x v="9"/>
  </r>
  <r>
    <d v="2023-10-23T00:00:00"/>
    <x v="1"/>
    <x v="1"/>
    <n v="2"/>
    <x v="2"/>
    <n v="89000"/>
    <n v="65000"/>
    <n v="178000"/>
    <n v="130000"/>
    <n v="47664"/>
    <n v="335.99999999999994"/>
    <s v="58 mns"/>
    <x v="3"/>
    <n v="10"/>
    <x v="9"/>
  </r>
  <r>
    <d v="2023-10-23T00:00:00"/>
    <x v="2"/>
    <x v="2"/>
    <n v="2"/>
    <x v="0"/>
    <n v="33000"/>
    <n v="18000"/>
    <n v="66000"/>
    <n v="36000"/>
    <n v="29790"/>
    <n v="209.99999999999997"/>
    <s v="30 mns"/>
    <x v="0"/>
    <n v="10"/>
    <x v="9"/>
  </r>
  <r>
    <d v="2023-10-23T00:00:00"/>
    <x v="2"/>
    <x v="2"/>
    <n v="2"/>
    <x v="1"/>
    <n v="60000"/>
    <n v="31000"/>
    <n v="120000"/>
    <n v="62000"/>
    <n v="57594"/>
    <n v="405.99999999999994"/>
    <s v="30 mns"/>
    <x v="2"/>
    <n v="10"/>
    <x v="9"/>
  </r>
  <r>
    <d v="2023-10-23T00:00:00"/>
    <x v="2"/>
    <x v="2"/>
    <n v="2"/>
    <x v="2"/>
    <n v="89000"/>
    <n v="65000"/>
    <n v="178000"/>
    <n v="130000"/>
    <n v="47664"/>
    <n v="335.99999999999994"/>
    <s v="30 mns"/>
    <x v="3"/>
    <n v="10"/>
    <x v="9"/>
  </r>
  <r>
    <d v="2023-10-23T00:00:00"/>
    <x v="3"/>
    <x v="3"/>
    <n v="2"/>
    <x v="0"/>
    <n v="33000"/>
    <n v="18000"/>
    <n v="66000"/>
    <n v="36000"/>
    <n v="29790"/>
    <n v="209.99999999999997"/>
    <s v="35 mns"/>
    <x v="3"/>
    <n v="10"/>
    <x v="9"/>
  </r>
  <r>
    <d v="2023-10-23T00:00:00"/>
    <x v="3"/>
    <x v="3"/>
    <n v="2"/>
    <x v="1"/>
    <n v="60000"/>
    <n v="31000"/>
    <n v="120000"/>
    <n v="62000"/>
    <n v="57594"/>
    <n v="405.99999999999994"/>
    <s v="35 mns"/>
    <x v="0"/>
    <n v="10"/>
    <x v="9"/>
  </r>
  <r>
    <d v="2023-10-23T00:00:00"/>
    <x v="3"/>
    <x v="3"/>
    <n v="2"/>
    <x v="2"/>
    <n v="89000"/>
    <n v="65000"/>
    <n v="178000"/>
    <n v="130000"/>
    <n v="47664"/>
    <n v="335.99999999999994"/>
    <s v="35 mns"/>
    <x v="3"/>
    <n v="10"/>
    <x v="9"/>
  </r>
  <r>
    <d v="2023-10-24T00:00:00"/>
    <x v="0"/>
    <x v="0"/>
    <n v="2"/>
    <x v="0"/>
    <n v="33000"/>
    <n v="18000"/>
    <n v="66000"/>
    <n v="36000"/>
    <n v="29790"/>
    <n v="209.99999999999997"/>
    <s v="11 mns"/>
    <x v="0"/>
    <n v="10"/>
    <x v="9"/>
  </r>
  <r>
    <d v="2023-10-24T00:00:00"/>
    <x v="0"/>
    <x v="0"/>
    <n v="2"/>
    <x v="1"/>
    <n v="60000"/>
    <n v="31000"/>
    <n v="120000"/>
    <n v="62000"/>
    <n v="57594"/>
    <n v="405.99999999999994"/>
    <s v="11 mns"/>
    <x v="3"/>
    <n v="10"/>
    <x v="9"/>
  </r>
  <r>
    <d v="2023-10-24T00:00:00"/>
    <x v="0"/>
    <x v="0"/>
    <n v="2"/>
    <x v="2"/>
    <n v="89000"/>
    <n v="65000"/>
    <n v="178000"/>
    <n v="130000"/>
    <n v="47664"/>
    <n v="335.99999999999994"/>
    <s v="11 mns"/>
    <x v="3"/>
    <n v="10"/>
    <x v="9"/>
  </r>
  <r>
    <d v="2023-10-24T00:00:00"/>
    <x v="1"/>
    <x v="1"/>
    <n v="2"/>
    <x v="0"/>
    <n v="33000"/>
    <n v="18000"/>
    <n v="66000"/>
    <n v="36000"/>
    <n v="29790"/>
    <n v="209.99999999999997"/>
    <s v="58 mns"/>
    <x v="3"/>
    <n v="10"/>
    <x v="9"/>
  </r>
  <r>
    <d v="2023-10-24T00:00:00"/>
    <x v="1"/>
    <x v="1"/>
    <n v="2"/>
    <x v="2"/>
    <n v="89000"/>
    <n v="65000"/>
    <n v="178000"/>
    <n v="130000"/>
    <n v="47664"/>
    <n v="335.99999999999994"/>
    <s v="58 mns"/>
    <x v="0"/>
    <n v="10"/>
    <x v="9"/>
  </r>
  <r>
    <d v="2023-10-24T00:00:00"/>
    <x v="2"/>
    <x v="2"/>
    <n v="2"/>
    <x v="0"/>
    <n v="33000"/>
    <n v="18000"/>
    <n v="66000"/>
    <n v="36000"/>
    <n v="29790"/>
    <n v="209.99999999999997"/>
    <s v="30 mns"/>
    <x v="0"/>
    <n v="10"/>
    <x v="9"/>
  </r>
  <r>
    <d v="2023-10-24T00:00:00"/>
    <x v="2"/>
    <x v="2"/>
    <n v="2"/>
    <x v="1"/>
    <n v="60000"/>
    <n v="31000"/>
    <n v="120000"/>
    <n v="62000"/>
    <n v="57594"/>
    <n v="405.99999999999994"/>
    <s v="30 mns"/>
    <x v="2"/>
    <n v="10"/>
    <x v="9"/>
  </r>
  <r>
    <d v="2023-10-24T00:00:00"/>
    <x v="2"/>
    <x v="2"/>
    <n v="2"/>
    <x v="2"/>
    <n v="89000"/>
    <n v="65000"/>
    <n v="178000"/>
    <n v="130000"/>
    <n v="47664"/>
    <n v="335.99999999999994"/>
    <s v="30 mns"/>
    <x v="0"/>
    <n v="10"/>
    <x v="9"/>
  </r>
  <r>
    <d v="2023-10-24T00:00:00"/>
    <x v="3"/>
    <x v="3"/>
    <n v="2"/>
    <x v="0"/>
    <n v="33000"/>
    <n v="18000"/>
    <n v="66000"/>
    <n v="36000"/>
    <n v="29790"/>
    <n v="209.99999999999997"/>
    <s v="35 mns"/>
    <x v="3"/>
    <n v="10"/>
    <x v="9"/>
  </r>
  <r>
    <d v="2023-10-24T00:00:00"/>
    <x v="3"/>
    <x v="3"/>
    <n v="2"/>
    <x v="1"/>
    <n v="60000"/>
    <n v="31000"/>
    <n v="120000"/>
    <n v="62000"/>
    <n v="57594"/>
    <n v="405.99999999999994"/>
    <s v="35 mns"/>
    <x v="1"/>
    <n v="10"/>
    <x v="9"/>
  </r>
  <r>
    <d v="2023-10-24T00:00:00"/>
    <x v="3"/>
    <x v="3"/>
    <n v="2"/>
    <x v="2"/>
    <n v="89000"/>
    <n v="65000"/>
    <n v="178000"/>
    <n v="130000"/>
    <n v="47664"/>
    <n v="335.99999999999994"/>
    <s v="35 mns"/>
    <x v="3"/>
    <n v="10"/>
    <x v="9"/>
  </r>
  <r>
    <d v="2023-10-25T00:00:00"/>
    <x v="0"/>
    <x v="0"/>
    <n v="1"/>
    <x v="0"/>
    <n v="33000"/>
    <n v="18000"/>
    <n v="33000"/>
    <n v="18000"/>
    <n v="14895"/>
    <n v="104.99999999999999"/>
    <s v="11 mns"/>
    <x v="1"/>
    <n v="10"/>
    <x v="9"/>
  </r>
  <r>
    <d v="2023-10-25T00:00:00"/>
    <x v="0"/>
    <x v="0"/>
    <n v="1"/>
    <x v="1"/>
    <n v="60000"/>
    <n v="31000"/>
    <n v="60000"/>
    <n v="31000"/>
    <n v="28797"/>
    <n v="202.99999999999997"/>
    <s v="11 mns"/>
    <x v="1"/>
    <n v="10"/>
    <x v="9"/>
  </r>
  <r>
    <d v="2023-10-25T00:00:00"/>
    <x v="0"/>
    <x v="0"/>
    <n v="1"/>
    <x v="2"/>
    <n v="89000"/>
    <n v="65000"/>
    <n v="89000"/>
    <n v="65000"/>
    <n v="23832"/>
    <n v="167.99999999999997"/>
    <s v="11 mns"/>
    <x v="2"/>
    <n v="10"/>
    <x v="9"/>
  </r>
  <r>
    <d v="2023-10-25T00:00:00"/>
    <x v="1"/>
    <x v="1"/>
    <n v="1"/>
    <x v="0"/>
    <n v="33000"/>
    <n v="18000"/>
    <n v="33000"/>
    <n v="18000"/>
    <n v="14895"/>
    <n v="104.99999999999999"/>
    <s v="58 mns"/>
    <x v="3"/>
    <n v="10"/>
    <x v="9"/>
  </r>
  <r>
    <d v="2023-10-25T00:00:00"/>
    <x v="1"/>
    <x v="1"/>
    <n v="1"/>
    <x v="2"/>
    <n v="89000"/>
    <n v="65000"/>
    <n v="89000"/>
    <n v="65000"/>
    <n v="23832"/>
    <n v="167.99999999999997"/>
    <s v="58 mns"/>
    <x v="2"/>
    <n v="10"/>
    <x v="9"/>
  </r>
  <r>
    <d v="2023-10-25T00:00:00"/>
    <x v="2"/>
    <x v="2"/>
    <n v="1"/>
    <x v="0"/>
    <n v="33000"/>
    <n v="18000"/>
    <n v="33000"/>
    <n v="18000"/>
    <n v="14895"/>
    <n v="104.99999999999999"/>
    <s v="30 mns"/>
    <x v="2"/>
    <n v="10"/>
    <x v="9"/>
  </r>
  <r>
    <d v="2023-10-25T00:00:00"/>
    <x v="2"/>
    <x v="2"/>
    <n v="1"/>
    <x v="1"/>
    <n v="60000"/>
    <n v="31000"/>
    <n v="60000"/>
    <n v="31000"/>
    <n v="28797"/>
    <n v="202.99999999999997"/>
    <s v="30 mns"/>
    <x v="1"/>
    <n v="10"/>
    <x v="9"/>
  </r>
  <r>
    <d v="2023-10-25T00:00:00"/>
    <x v="2"/>
    <x v="2"/>
    <n v="1"/>
    <x v="2"/>
    <n v="89000"/>
    <n v="65000"/>
    <n v="89000"/>
    <n v="65000"/>
    <n v="23832"/>
    <n v="167.99999999999997"/>
    <s v="30 mns"/>
    <x v="3"/>
    <n v="10"/>
    <x v="9"/>
  </r>
  <r>
    <d v="2023-10-25T00:00:00"/>
    <x v="3"/>
    <x v="3"/>
    <n v="1"/>
    <x v="0"/>
    <n v="33000"/>
    <n v="18000"/>
    <n v="33000"/>
    <n v="18000"/>
    <n v="14895"/>
    <n v="104.99999999999999"/>
    <s v="35 mns"/>
    <x v="3"/>
    <n v="10"/>
    <x v="9"/>
  </r>
  <r>
    <d v="2023-10-25T00:00:00"/>
    <x v="3"/>
    <x v="3"/>
    <n v="1"/>
    <x v="1"/>
    <n v="60000"/>
    <n v="31000"/>
    <n v="60000"/>
    <n v="31000"/>
    <n v="28797"/>
    <n v="202.99999999999997"/>
    <s v="35 mns"/>
    <x v="3"/>
    <n v="10"/>
    <x v="9"/>
  </r>
  <r>
    <d v="2023-10-25T00:00:00"/>
    <x v="3"/>
    <x v="3"/>
    <n v="1"/>
    <x v="2"/>
    <n v="89000"/>
    <n v="65000"/>
    <n v="89000"/>
    <n v="65000"/>
    <n v="23832"/>
    <n v="167.99999999999997"/>
    <s v="35 mns"/>
    <x v="0"/>
    <n v="10"/>
    <x v="9"/>
  </r>
  <r>
    <d v="2023-10-26T00:00:00"/>
    <x v="0"/>
    <x v="0"/>
    <n v="1"/>
    <x v="0"/>
    <n v="33000"/>
    <n v="18000"/>
    <n v="33000"/>
    <n v="18000"/>
    <n v="14895"/>
    <n v="104.99999999999999"/>
    <s v="11 mns"/>
    <x v="0"/>
    <n v="10"/>
    <x v="9"/>
  </r>
  <r>
    <d v="2023-10-26T00:00:00"/>
    <x v="0"/>
    <x v="0"/>
    <n v="1"/>
    <x v="1"/>
    <n v="60000"/>
    <n v="31000"/>
    <n v="60000"/>
    <n v="31000"/>
    <n v="28797"/>
    <n v="202.99999999999997"/>
    <s v="11 mns"/>
    <x v="0"/>
    <n v="10"/>
    <x v="9"/>
  </r>
  <r>
    <d v="2023-10-26T00:00:00"/>
    <x v="0"/>
    <x v="0"/>
    <n v="1"/>
    <x v="2"/>
    <n v="89000"/>
    <n v="65000"/>
    <n v="89000"/>
    <n v="65000"/>
    <n v="23832"/>
    <n v="167.99999999999997"/>
    <s v="11 mns"/>
    <x v="2"/>
    <n v="10"/>
    <x v="9"/>
  </r>
  <r>
    <d v="2023-10-26T00:00:00"/>
    <x v="1"/>
    <x v="1"/>
    <n v="1"/>
    <x v="0"/>
    <n v="33000"/>
    <n v="18000"/>
    <n v="33000"/>
    <n v="18000"/>
    <n v="14895"/>
    <n v="104.99999999999999"/>
    <s v="58 mns"/>
    <x v="3"/>
    <n v="10"/>
    <x v="9"/>
  </r>
  <r>
    <d v="2023-10-26T00:00:00"/>
    <x v="1"/>
    <x v="1"/>
    <n v="1"/>
    <x v="2"/>
    <n v="89000"/>
    <n v="65000"/>
    <n v="89000"/>
    <n v="65000"/>
    <n v="23832"/>
    <n v="167.99999999999997"/>
    <s v="58 mns"/>
    <x v="3"/>
    <n v="10"/>
    <x v="9"/>
  </r>
  <r>
    <d v="2023-10-26T00:00:00"/>
    <x v="2"/>
    <x v="2"/>
    <n v="1"/>
    <x v="0"/>
    <n v="33000"/>
    <n v="18000"/>
    <n v="33000"/>
    <n v="18000"/>
    <n v="14895"/>
    <n v="104.99999999999999"/>
    <s v="30 mns"/>
    <x v="1"/>
    <n v="10"/>
    <x v="9"/>
  </r>
  <r>
    <d v="2023-10-26T00:00:00"/>
    <x v="2"/>
    <x v="2"/>
    <n v="1"/>
    <x v="1"/>
    <n v="60000"/>
    <n v="31000"/>
    <n v="60000"/>
    <n v="31000"/>
    <n v="28797"/>
    <n v="202.99999999999997"/>
    <s v="30 mns"/>
    <x v="0"/>
    <n v="10"/>
    <x v="9"/>
  </r>
  <r>
    <d v="2023-10-26T00:00:00"/>
    <x v="2"/>
    <x v="2"/>
    <n v="1"/>
    <x v="2"/>
    <n v="89000"/>
    <n v="65000"/>
    <n v="89000"/>
    <n v="65000"/>
    <n v="23832"/>
    <n v="167.99999999999997"/>
    <s v="30 mns"/>
    <x v="0"/>
    <n v="10"/>
    <x v="9"/>
  </r>
  <r>
    <d v="2023-10-26T00:00:00"/>
    <x v="3"/>
    <x v="3"/>
    <n v="1"/>
    <x v="0"/>
    <n v="33000"/>
    <n v="18000"/>
    <n v="33000"/>
    <n v="18000"/>
    <n v="14895"/>
    <n v="104.99999999999999"/>
    <s v="35 mns"/>
    <x v="2"/>
    <n v="10"/>
    <x v="9"/>
  </r>
  <r>
    <d v="2023-10-26T00:00:00"/>
    <x v="3"/>
    <x v="3"/>
    <n v="1"/>
    <x v="1"/>
    <n v="60000"/>
    <n v="31000"/>
    <n v="60000"/>
    <n v="31000"/>
    <n v="28797"/>
    <n v="202.99999999999997"/>
    <s v="35 mns"/>
    <x v="1"/>
    <n v="10"/>
    <x v="9"/>
  </r>
  <r>
    <d v="2023-10-26T00:00:00"/>
    <x v="3"/>
    <x v="3"/>
    <n v="1"/>
    <x v="2"/>
    <n v="89000"/>
    <n v="65000"/>
    <n v="89000"/>
    <n v="65000"/>
    <n v="23832"/>
    <n v="167.99999999999997"/>
    <s v="35 mns"/>
    <x v="3"/>
    <n v="10"/>
    <x v="9"/>
  </r>
  <r>
    <d v="2023-10-27T00:00:00"/>
    <x v="0"/>
    <x v="0"/>
    <n v="2"/>
    <x v="0"/>
    <n v="33000"/>
    <n v="18000"/>
    <n v="66000"/>
    <n v="36000"/>
    <n v="29790"/>
    <n v="209.99999999999997"/>
    <s v="11 mns"/>
    <x v="1"/>
    <n v="10"/>
    <x v="9"/>
  </r>
  <r>
    <d v="2023-10-27T00:00:00"/>
    <x v="0"/>
    <x v="0"/>
    <n v="2"/>
    <x v="1"/>
    <n v="60000"/>
    <n v="31000"/>
    <n v="120000"/>
    <n v="62000"/>
    <n v="57594"/>
    <n v="405.99999999999994"/>
    <s v="11 mns"/>
    <x v="2"/>
    <n v="10"/>
    <x v="9"/>
  </r>
  <r>
    <d v="2023-10-27T00:00:00"/>
    <x v="0"/>
    <x v="0"/>
    <n v="2"/>
    <x v="2"/>
    <n v="89000"/>
    <n v="65000"/>
    <n v="178000"/>
    <n v="130000"/>
    <n v="47664"/>
    <n v="335.99999999999994"/>
    <s v="11 mns"/>
    <x v="0"/>
    <n v="10"/>
    <x v="9"/>
  </r>
  <r>
    <d v="2023-10-27T00:00:00"/>
    <x v="1"/>
    <x v="1"/>
    <n v="2"/>
    <x v="0"/>
    <n v="33000"/>
    <n v="18000"/>
    <n v="66000"/>
    <n v="36000"/>
    <n v="29790"/>
    <n v="209.99999999999997"/>
    <s v="58 mns"/>
    <x v="2"/>
    <n v="10"/>
    <x v="9"/>
  </r>
  <r>
    <d v="2023-10-27T00:00:00"/>
    <x v="1"/>
    <x v="1"/>
    <n v="2"/>
    <x v="2"/>
    <n v="89000"/>
    <n v="65000"/>
    <n v="178000"/>
    <n v="130000"/>
    <n v="47664"/>
    <n v="335.99999999999994"/>
    <s v="58 mns"/>
    <x v="2"/>
    <n v="10"/>
    <x v="9"/>
  </r>
  <r>
    <d v="2023-10-27T00:00:00"/>
    <x v="2"/>
    <x v="2"/>
    <n v="2"/>
    <x v="0"/>
    <n v="33000"/>
    <n v="18000"/>
    <n v="66000"/>
    <n v="36000"/>
    <n v="29790"/>
    <n v="209.99999999999997"/>
    <s v="30 mns"/>
    <x v="3"/>
    <n v="10"/>
    <x v="9"/>
  </r>
  <r>
    <d v="2023-10-27T00:00:00"/>
    <x v="2"/>
    <x v="2"/>
    <n v="2"/>
    <x v="1"/>
    <n v="60000"/>
    <n v="31000"/>
    <n v="120000"/>
    <n v="62000"/>
    <n v="57594"/>
    <n v="405.99999999999994"/>
    <s v="30 mns"/>
    <x v="1"/>
    <n v="10"/>
    <x v="9"/>
  </r>
  <r>
    <d v="2023-10-27T00:00:00"/>
    <x v="2"/>
    <x v="2"/>
    <n v="2"/>
    <x v="2"/>
    <n v="89000"/>
    <n v="65000"/>
    <n v="178000"/>
    <n v="130000"/>
    <n v="47664"/>
    <n v="335.99999999999994"/>
    <s v="30 mns"/>
    <x v="1"/>
    <n v="10"/>
    <x v="9"/>
  </r>
  <r>
    <d v="2023-10-27T00:00:00"/>
    <x v="3"/>
    <x v="3"/>
    <n v="2"/>
    <x v="0"/>
    <n v="33000"/>
    <n v="18000"/>
    <n v="66000"/>
    <n v="36000"/>
    <n v="29790"/>
    <n v="209.99999999999997"/>
    <s v="35 mns"/>
    <x v="3"/>
    <n v="10"/>
    <x v="9"/>
  </r>
  <r>
    <d v="2023-10-27T00:00:00"/>
    <x v="3"/>
    <x v="3"/>
    <n v="2"/>
    <x v="1"/>
    <n v="60000"/>
    <n v="31000"/>
    <n v="120000"/>
    <n v="62000"/>
    <n v="57594"/>
    <n v="405.99999999999994"/>
    <s v="35 mns"/>
    <x v="1"/>
    <n v="10"/>
    <x v="9"/>
  </r>
  <r>
    <d v="2023-10-27T00:00:00"/>
    <x v="3"/>
    <x v="3"/>
    <n v="2"/>
    <x v="2"/>
    <n v="89000"/>
    <n v="65000"/>
    <n v="178000"/>
    <n v="130000"/>
    <n v="47664"/>
    <n v="335.99999999999994"/>
    <s v="35 mns"/>
    <x v="1"/>
    <n v="10"/>
    <x v="9"/>
  </r>
  <r>
    <d v="2023-10-28T00:00:00"/>
    <x v="0"/>
    <x v="0"/>
    <n v="2"/>
    <x v="0"/>
    <n v="33000"/>
    <n v="18000"/>
    <n v="66000"/>
    <n v="36000"/>
    <n v="29790"/>
    <n v="209.99999999999997"/>
    <s v="11 mns"/>
    <x v="1"/>
    <n v="10"/>
    <x v="9"/>
  </r>
  <r>
    <d v="2023-10-28T00:00:00"/>
    <x v="0"/>
    <x v="0"/>
    <n v="2"/>
    <x v="1"/>
    <n v="60000"/>
    <n v="31000"/>
    <n v="120000"/>
    <n v="62000"/>
    <n v="57594"/>
    <n v="405.99999999999994"/>
    <s v="11 mns"/>
    <x v="2"/>
    <n v="10"/>
    <x v="9"/>
  </r>
  <r>
    <d v="2023-10-28T00:00:00"/>
    <x v="0"/>
    <x v="0"/>
    <n v="2"/>
    <x v="2"/>
    <n v="89000"/>
    <n v="65000"/>
    <n v="178000"/>
    <n v="130000"/>
    <n v="47664"/>
    <n v="335.99999999999994"/>
    <s v="11 mns"/>
    <x v="1"/>
    <n v="10"/>
    <x v="9"/>
  </r>
  <r>
    <d v="2023-10-28T00:00:00"/>
    <x v="1"/>
    <x v="1"/>
    <n v="2"/>
    <x v="0"/>
    <n v="33000"/>
    <n v="18000"/>
    <n v="66000"/>
    <n v="36000"/>
    <n v="29790"/>
    <n v="209.99999999999997"/>
    <s v="58 mns"/>
    <x v="1"/>
    <n v="10"/>
    <x v="9"/>
  </r>
  <r>
    <d v="2023-10-28T00:00:00"/>
    <x v="1"/>
    <x v="1"/>
    <n v="2"/>
    <x v="2"/>
    <n v="89000"/>
    <n v="65000"/>
    <n v="178000"/>
    <n v="130000"/>
    <n v="47664"/>
    <n v="335.99999999999994"/>
    <s v="58 mns"/>
    <x v="3"/>
    <n v="10"/>
    <x v="9"/>
  </r>
  <r>
    <d v="2023-10-28T00:00:00"/>
    <x v="2"/>
    <x v="2"/>
    <n v="2"/>
    <x v="0"/>
    <n v="33000"/>
    <n v="18000"/>
    <n v="66000"/>
    <n v="36000"/>
    <n v="29790"/>
    <n v="209.99999999999997"/>
    <s v="30 mns"/>
    <x v="1"/>
    <n v="10"/>
    <x v="9"/>
  </r>
  <r>
    <d v="2023-10-28T00:00:00"/>
    <x v="2"/>
    <x v="2"/>
    <n v="2"/>
    <x v="1"/>
    <n v="60000"/>
    <n v="31000"/>
    <n v="120000"/>
    <n v="62000"/>
    <n v="57594"/>
    <n v="405.99999999999994"/>
    <s v="30 mns"/>
    <x v="1"/>
    <n v="10"/>
    <x v="9"/>
  </r>
  <r>
    <d v="2023-10-28T00:00:00"/>
    <x v="2"/>
    <x v="2"/>
    <n v="2"/>
    <x v="2"/>
    <n v="89000"/>
    <n v="65000"/>
    <n v="178000"/>
    <n v="130000"/>
    <n v="47664"/>
    <n v="335.99999999999994"/>
    <s v="30 mns"/>
    <x v="2"/>
    <n v="10"/>
    <x v="9"/>
  </r>
  <r>
    <d v="2023-10-28T00:00:00"/>
    <x v="3"/>
    <x v="3"/>
    <n v="2"/>
    <x v="0"/>
    <n v="33000"/>
    <n v="18000"/>
    <n v="66000"/>
    <n v="36000"/>
    <n v="29790"/>
    <n v="209.99999999999997"/>
    <s v="35 mns"/>
    <x v="0"/>
    <n v="10"/>
    <x v="9"/>
  </r>
  <r>
    <d v="2023-10-28T00:00:00"/>
    <x v="3"/>
    <x v="3"/>
    <n v="2"/>
    <x v="1"/>
    <n v="60000"/>
    <n v="31000"/>
    <n v="120000"/>
    <n v="62000"/>
    <n v="57594"/>
    <n v="405.99999999999994"/>
    <s v="35 mns"/>
    <x v="1"/>
    <n v="10"/>
    <x v="9"/>
  </r>
  <r>
    <d v="2023-10-28T00:00:00"/>
    <x v="3"/>
    <x v="3"/>
    <n v="2"/>
    <x v="2"/>
    <n v="89000"/>
    <n v="65000"/>
    <n v="178000"/>
    <n v="130000"/>
    <n v="47664"/>
    <n v="335.99999999999994"/>
    <s v="35 mns"/>
    <x v="2"/>
    <n v="10"/>
    <x v="9"/>
  </r>
  <r>
    <d v="2023-10-29T00:00:00"/>
    <x v="0"/>
    <x v="0"/>
    <n v="1"/>
    <x v="0"/>
    <n v="33000"/>
    <n v="18000"/>
    <n v="33000"/>
    <n v="18000"/>
    <n v="14895"/>
    <n v="104.99999999999999"/>
    <s v="11 mns"/>
    <x v="2"/>
    <n v="10"/>
    <x v="9"/>
  </r>
  <r>
    <d v="2023-10-29T00:00:00"/>
    <x v="0"/>
    <x v="0"/>
    <n v="1"/>
    <x v="1"/>
    <n v="60000"/>
    <n v="31000"/>
    <n v="60000"/>
    <n v="31000"/>
    <n v="28797"/>
    <n v="202.99999999999997"/>
    <s v="11 mns"/>
    <x v="1"/>
    <n v="10"/>
    <x v="9"/>
  </r>
  <r>
    <d v="2023-10-29T00:00:00"/>
    <x v="0"/>
    <x v="0"/>
    <n v="1"/>
    <x v="2"/>
    <n v="89000"/>
    <n v="65000"/>
    <n v="89000"/>
    <n v="65000"/>
    <n v="23832"/>
    <n v="167.99999999999997"/>
    <s v="11 mns"/>
    <x v="3"/>
    <n v="10"/>
    <x v="9"/>
  </r>
  <r>
    <d v="2023-10-29T00:00:00"/>
    <x v="1"/>
    <x v="1"/>
    <n v="1"/>
    <x v="0"/>
    <n v="33000"/>
    <n v="18000"/>
    <n v="33000"/>
    <n v="18000"/>
    <n v="14895"/>
    <n v="104.99999999999999"/>
    <s v="58 mns"/>
    <x v="0"/>
    <n v="10"/>
    <x v="9"/>
  </r>
  <r>
    <d v="2023-10-29T00:00:00"/>
    <x v="1"/>
    <x v="1"/>
    <n v="1"/>
    <x v="2"/>
    <n v="89000"/>
    <n v="65000"/>
    <n v="89000"/>
    <n v="65000"/>
    <n v="23832"/>
    <n v="167.99999999999997"/>
    <s v="58 mns"/>
    <x v="1"/>
    <n v="10"/>
    <x v="9"/>
  </r>
  <r>
    <d v="2023-10-29T00:00:00"/>
    <x v="2"/>
    <x v="2"/>
    <n v="1"/>
    <x v="0"/>
    <n v="33000"/>
    <n v="18000"/>
    <n v="33000"/>
    <n v="18000"/>
    <n v="14895"/>
    <n v="104.99999999999999"/>
    <s v="30 mns"/>
    <x v="1"/>
    <n v="10"/>
    <x v="9"/>
  </r>
  <r>
    <d v="2023-10-29T00:00:00"/>
    <x v="2"/>
    <x v="2"/>
    <n v="1"/>
    <x v="1"/>
    <n v="60000"/>
    <n v="31000"/>
    <n v="60000"/>
    <n v="31000"/>
    <n v="28797"/>
    <n v="202.99999999999997"/>
    <s v="30 mns"/>
    <x v="0"/>
    <n v="10"/>
    <x v="9"/>
  </r>
  <r>
    <d v="2023-10-29T00:00:00"/>
    <x v="2"/>
    <x v="2"/>
    <n v="1"/>
    <x v="2"/>
    <n v="89000"/>
    <n v="65000"/>
    <n v="89000"/>
    <n v="65000"/>
    <n v="23832"/>
    <n v="167.99999999999997"/>
    <s v="30 mns"/>
    <x v="0"/>
    <n v="10"/>
    <x v="9"/>
  </r>
  <r>
    <d v="2023-10-29T00:00:00"/>
    <x v="3"/>
    <x v="3"/>
    <n v="1"/>
    <x v="0"/>
    <n v="33000"/>
    <n v="18000"/>
    <n v="33000"/>
    <n v="18000"/>
    <n v="14895"/>
    <n v="104.99999999999999"/>
    <s v="35 mns"/>
    <x v="0"/>
    <n v="10"/>
    <x v="9"/>
  </r>
  <r>
    <d v="2023-10-29T00:00:00"/>
    <x v="3"/>
    <x v="3"/>
    <n v="1"/>
    <x v="1"/>
    <n v="60000"/>
    <n v="31000"/>
    <n v="60000"/>
    <n v="31000"/>
    <n v="28797"/>
    <n v="202.99999999999997"/>
    <s v="35 mns"/>
    <x v="1"/>
    <n v="10"/>
    <x v="9"/>
  </r>
  <r>
    <d v="2023-10-29T00:00:00"/>
    <x v="3"/>
    <x v="3"/>
    <n v="1"/>
    <x v="2"/>
    <n v="89000"/>
    <n v="65000"/>
    <n v="89000"/>
    <n v="65000"/>
    <n v="23832"/>
    <n v="167.99999999999997"/>
    <s v="35 mns"/>
    <x v="1"/>
    <n v="10"/>
    <x v="9"/>
  </r>
  <r>
    <d v="2023-10-30T00:00:00"/>
    <x v="0"/>
    <x v="0"/>
    <n v="1"/>
    <x v="0"/>
    <n v="33000"/>
    <n v="18000"/>
    <n v="33000"/>
    <n v="18000"/>
    <n v="14895"/>
    <n v="104.99999999999999"/>
    <s v="11 mns"/>
    <x v="0"/>
    <n v="10"/>
    <x v="9"/>
  </r>
  <r>
    <d v="2023-10-30T00:00:00"/>
    <x v="0"/>
    <x v="0"/>
    <n v="1"/>
    <x v="1"/>
    <n v="60000"/>
    <n v="31000"/>
    <n v="60000"/>
    <n v="31000"/>
    <n v="28797"/>
    <n v="202.99999999999997"/>
    <s v="11 mns"/>
    <x v="0"/>
    <n v="10"/>
    <x v="9"/>
  </r>
  <r>
    <d v="2023-10-30T00:00:00"/>
    <x v="0"/>
    <x v="0"/>
    <n v="1"/>
    <x v="2"/>
    <n v="89000"/>
    <n v="65000"/>
    <n v="89000"/>
    <n v="65000"/>
    <n v="23832"/>
    <n v="167.99999999999997"/>
    <s v="11 mns"/>
    <x v="1"/>
    <n v="10"/>
    <x v="9"/>
  </r>
  <r>
    <d v="2023-10-30T00:00:00"/>
    <x v="1"/>
    <x v="1"/>
    <n v="1"/>
    <x v="0"/>
    <n v="33000"/>
    <n v="18000"/>
    <n v="33000"/>
    <n v="18000"/>
    <n v="14895"/>
    <n v="104.99999999999999"/>
    <s v="58 mns"/>
    <x v="1"/>
    <n v="10"/>
    <x v="9"/>
  </r>
  <r>
    <d v="2023-10-30T00:00:00"/>
    <x v="1"/>
    <x v="1"/>
    <n v="1"/>
    <x v="2"/>
    <n v="89000"/>
    <n v="65000"/>
    <n v="89000"/>
    <n v="65000"/>
    <n v="23832"/>
    <n v="167.99999999999997"/>
    <s v="58 mns"/>
    <x v="3"/>
    <n v="10"/>
    <x v="9"/>
  </r>
  <r>
    <d v="2023-10-30T00:00:00"/>
    <x v="2"/>
    <x v="2"/>
    <n v="1"/>
    <x v="0"/>
    <n v="33000"/>
    <n v="18000"/>
    <n v="33000"/>
    <n v="18000"/>
    <n v="14895"/>
    <n v="104.99999999999999"/>
    <s v="30 mns"/>
    <x v="3"/>
    <n v="10"/>
    <x v="9"/>
  </r>
  <r>
    <d v="2023-10-30T00:00:00"/>
    <x v="2"/>
    <x v="2"/>
    <n v="1"/>
    <x v="1"/>
    <n v="60000"/>
    <n v="31000"/>
    <n v="60000"/>
    <n v="31000"/>
    <n v="28797"/>
    <n v="202.99999999999997"/>
    <s v="30 mns"/>
    <x v="2"/>
    <n v="10"/>
    <x v="9"/>
  </r>
  <r>
    <d v="2023-10-30T00:00:00"/>
    <x v="2"/>
    <x v="2"/>
    <n v="1"/>
    <x v="2"/>
    <n v="89000"/>
    <n v="65000"/>
    <n v="89000"/>
    <n v="65000"/>
    <n v="23832"/>
    <n v="167.99999999999997"/>
    <s v="30 mns"/>
    <x v="1"/>
    <n v="10"/>
    <x v="9"/>
  </r>
  <r>
    <d v="2023-10-30T00:00:00"/>
    <x v="3"/>
    <x v="3"/>
    <n v="1"/>
    <x v="0"/>
    <n v="33000"/>
    <n v="18000"/>
    <n v="33000"/>
    <n v="18000"/>
    <n v="14895"/>
    <n v="104.99999999999999"/>
    <s v="35 mns"/>
    <x v="3"/>
    <n v="10"/>
    <x v="9"/>
  </r>
  <r>
    <d v="2023-10-30T00:00:00"/>
    <x v="3"/>
    <x v="3"/>
    <n v="1"/>
    <x v="1"/>
    <n v="60000"/>
    <n v="31000"/>
    <n v="60000"/>
    <n v="31000"/>
    <n v="28797"/>
    <n v="202.99999999999997"/>
    <s v="35 mns"/>
    <x v="3"/>
    <n v="10"/>
    <x v="9"/>
  </r>
  <r>
    <d v="2023-10-30T00:00:00"/>
    <x v="3"/>
    <x v="3"/>
    <n v="1"/>
    <x v="2"/>
    <n v="89000"/>
    <n v="65000"/>
    <n v="89000"/>
    <n v="65000"/>
    <n v="23832"/>
    <n v="167.99999999999997"/>
    <s v="35 mns"/>
    <x v="3"/>
    <n v="10"/>
    <x v="9"/>
  </r>
  <r>
    <d v="2023-10-31T00:00:00"/>
    <x v="0"/>
    <x v="0"/>
    <n v="1"/>
    <x v="0"/>
    <n v="33000"/>
    <n v="18000"/>
    <n v="33000"/>
    <n v="18000"/>
    <n v="14895"/>
    <n v="104.99999999999999"/>
    <s v="11 mns"/>
    <x v="3"/>
    <n v="10"/>
    <x v="9"/>
  </r>
  <r>
    <d v="2023-10-31T00:00:00"/>
    <x v="0"/>
    <x v="0"/>
    <n v="1"/>
    <x v="1"/>
    <n v="60000"/>
    <n v="31000"/>
    <n v="60000"/>
    <n v="31000"/>
    <n v="28797"/>
    <n v="202.99999999999997"/>
    <s v="11 mns"/>
    <x v="0"/>
    <n v="10"/>
    <x v="9"/>
  </r>
  <r>
    <d v="2023-10-31T00:00:00"/>
    <x v="0"/>
    <x v="0"/>
    <n v="1"/>
    <x v="2"/>
    <n v="89000"/>
    <n v="65000"/>
    <n v="89000"/>
    <n v="65000"/>
    <n v="23832"/>
    <n v="167.99999999999997"/>
    <s v="11 mns"/>
    <x v="3"/>
    <n v="10"/>
    <x v="9"/>
  </r>
  <r>
    <d v="2023-10-31T00:00:00"/>
    <x v="1"/>
    <x v="1"/>
    <n v="1"/>
    <x v="0"/>
    <n v="33000"/>
    <n v="18000"/>
    <n v="33000"/>
    <n v="18000"/>
    <n v="14895"/>
    <n v="104.99999999999999"/>
    <s v="58 mns"/>
    <x v="3"/>
    <n v="10"/>
    <x v="9"/>
  </r>
  <r>
    <d v="2023-10-31T00:00:00"/>
    <x v="1"/>
    <x v="1"/>
    <n v="1"/>
    <x v="2"/>
    <n v="89000"/>
    <n v="65000"/>
    <n v="89000"/>
    <n v="65000"/>
    <n v="23832"/>
    <n v="167.99999999999997"/>
    <s v="58 mns"/>
    <x v="3"/>
    <n v="10"/>
    <x v="9"/>
  </r>
  <r>
    <d v="2023-10-31T00:00:00"/>
    <x v="2"/>
    <x v="2"/>
    <n v="1"/>
    <x v="0"/>
    <n v="33000"/>
    <n v="18000"/>
    <n v="33000"/>
    <n v="18000"/>
    <n v="14895"/>
    <n v="104.99999999999999"/>
    <s v="30 mns"/>
    <x v="3"/>
    <n v="10"/>
    <x v="9"/>
  </r>
  <r>
    <d v="2023-10-31T00:00:00"/>
    <x v="2"/>
    <x v="2"/>
    <n v="1"/>
    <x v="1"/>
    <n v="60000"/>
    <n v="31000"/>
    <n v="60000"/>
    <n v="31000"/>
    <n v="28797"/>
    <n v="202.99999999999997"/>
    <s v="30 mns"/>
    <x v="0"/>
    <n v="10"/>
    <x v="9"/>
  </r>
  <r>
    <d v="2023-10-31T00:00:00"/>
    <x v="2"/>
    <x v="2"/>
    <n v="1"/>
    <x v="2"/>
    <n v="89000"/>
    <n v="65000"/>
    <n v="89000"/>
    <n v="65000"/>
    <n v="23832"/>
    <n v="167.99999999999997"/>
    <s v="30 mns"/>
    <x v="3"/>
    <n v="10"/>
    <x v="9"/>
  </r>
  <r>
    <d v="2023-10-31T00:00:00"/>
    <x v="3"/>
    <x v="3"/>
    <n v="1"/>
    <x v="0"/>
    <n v="33000"/>
    <n v="18000"/>
    <n v="33000"/>
    <n v="18000"/>
    <n v="14895"/>
    <n v="104.99999999999999"/>
    <s v="35 mns"/>
    <x v="1"/>
    <n v="10"/>
    <x v="9"/>
  </r>
  <r>
    <d v="2023-10-31T00:00:00"/>
    <x v="3"/>
    <x v="3"/>
    <n v="1"/>
    <x v="1"/>
    <n v="60000"/>
    <n v="31000"/>
    <n v="60000"/>
    <n v="31000"/>
    <n v="28797"/>
    <n v="202.99999999999997"/>
    <s v="35 mns"/>
    <x v="2"/>
    <n v="10"/>
    <x v="9"/>
  </r>
  <r>
    <d v="2023-10-31T00:00:00"/>
    <x v="3"/>
    <x v="3"/>
    <n v="1"/>
    <x v="2"/>
    <n v="89000"/>
    <n v="65000"/>
    <n v="89000"/>
    <n v="65000"/>
    <n v="23832"/>
    <n v="167.99999999999997"/>
    <s v="35 mns"/>
    <x v="3"/>
    <n v="10"/>
    <x v="9"/>
  </r>
  <r>
    <d v="2023-11-01T00:00:00"/>
    <x v="0"/>
    <x v="0"/>
    <n v="1"/>
    <x v="0"/>
    <n v="33000"/>
    <n v="18000"/>
    <n v="33000"/>
    <n v="18000"/>
    <n v="14895"/>
    <n v="104.99999999999999"/>
    <s v="11 mns"/>
    <x v="0"/>
    <n v="11"/>
    <x v="10"/>
  </r>
  <r>
    <d v="2023-11-01T00:00:00"/>
    <x v="0"/>
    <x v="0"/>
    <n v="1"/>
    <x v="1"/>
    <n v="60000"/>
    <n v="31000"/>
    <n v="60000"/>
    <n v="31000"/>
    <n v="28797"/>
    <n v="202.99999999999997"/>
    <s v="11 mns"/>
    <x v="3"/>
    <n v="11"/>
    <x v="10"/>
  </r>
  <r>
    <d v="2023-11-01T00:00:00"/>
    <x v="0"/>
    <x v="0"/>
    <n v="1"/>
    <x v="2"/>
    <n v="89000"/>
    <n v="65000"/>
    <n v="89000"/>
    <n v="65000"/>
    <n v="23832"/>
    <n v="167.99999999999997"/>
    <s v="11 mns"/>
    <x v="3"/>
    <n v="11"/>
    <x v="10"/>
  </r>
  <r>
    <d v="2023-11-01T00:00:00"/>
    <x v="1"/>
    <x v="1"/>
    <n v="1"/>
    <x v="0"/>
    <n v="33000"/>
    <n v="18000"/>
    <n v="33000"/>
    <n v="18000"/>
    <n v="14895"/>
    <n v="104.99999999999999"/>
    <s v="58 mns"/>
    <x v="1"/>
    <n v="11"/>
    <x v="10"/>
  </r>
  <r>
    <d v="2023-11-01T00:00:00"/>
    <x v="2"/>
    <x v="2"/>
    <n v="1"/>
    <x v="0"/>
    <n v="33000"/>
    <n v="18000"/>
    <n v="33000"/>
    <n v="18000"/>
    <n v="14895"/>
    <n v="104.99999999999999"/>
    <s v="30 mns"/>
    <x v="3"/>
    <n v="11"/>
    <x v="10"/>
  </r>
  <r>
    <d v="2023-11-01T00:00:00"/>
    <x v="2"/>
    <x v="2"/>
    <n v="1"/>
    <x v="1"/>
    <n v="60000"/>
    <n v="31000"/>
    <n v="60000"/>
    <n v="31000"/>
    <n v="28797"/>
    <n v="202.99999999999997"/>
    <s v="30 mns"/>
    <x v="0"/>
    <n v="11"/>
    <x v="10"/>
  </r>
  <r>
    <d v="2023-11-01T00:00:00"/>
    <x v="2"/>
    <x v="2"/>
    <n v="1"/>
    <x v="2"/>
    <n v="89000"/>
    <n v="65000"/>
    <n v="89000"/>
    <n v="65000"/>
    <n v="23832"/>
    <n v="167.99999999999997"/>
    <s v="30 mns"/>
    <x v="3"/>
    <n v="11"/>
    <x v="10"/>
  </r>
  <r>
    <d v="2023-11-01T00:00:00"/>
    <x v="3"/>
    <x v="3"/>
    <n v="1"/>
    <x v="0"/>
    <n v="33000"/>
    <n v="18000"/>
    <n v="33000"/>
    <n v="18000"/>
    <n v="14895"/>
    <n v="104.99999999999999"/>
    <s v="35 mns"/>
    <x v="0"/>
    <n v="11"/>
    <x v="10"/>
  </r>
  <r>
    <d v="2023-11-01T00:00:00"/>
    <x v="3"/>
    <x v="3"/>
    <n v="1"/>
    <x v="1"/>
    <n v="60000"/>
    <n v="31000"/>
    <n v="60000"/>
    <n v="31000"/>
    <n v="28797"/>
    <n v="202.99999999999997"/>
    <s v="35 mns"/>
    <x v="0"/>
    <n v="11"/>
    <x v="10"/>
  </r>
  <r>
    <d v="2023-11-01T00:00:00"/>
    <x v="3"/>
    <x v="3"/>
    <n v="1"/>
    <x v="2"/>
    <n v="89000"/>
    <n v="65000"/>
    <n v="89000"/>
    <n v="65000"/>
    <n v="23832"/>
    <n v="167.99999999999997"/>
    <s v="35 mns"/>
    <x v="3"/>
    <n v="11"/>
    <x v="10"/>
  </r>
  <r>
    <d v="2023-11-02T00:00:00"/>
    <x v="0"/>
    <x v="0"/>
    <n v="2"/>
    <x v="0"/>
    <n v="33000"/>
    <n v="18000"/>
    <n v="66000"/>
    <n v="36000"/>
    <n v="29790"/>
    <n v="209.99999999999997"/>
    <s v="11 mns"/>
    <x v="1"/>
    <n v="11"/>
    <x v="10"/>
  </r>
  <r>
    <d v="2023-11-02T00:00:00"/>
    <x v="0"/>
    <x v="0"/>
    <n v="2"/>
    <x v="1"/>
    <n v="60000"/>
    <n v="31000"/>
    <n v="120000"/>
    <n v="62000"/>
    <n v="57594"/>
    <n v="405.99999999999994"/>
    <s v="11 mns"/>
    <x v="0"/>
    <n v="11"/>
    <x v="10"/>
  </r>
  <r>
    <d v="2023-11-02T00:00:00"/>
    <x v="0"/>
    <x v="0"/>
    <n v="2"/>
    <x v="2"/>
    <n v="89000"/>
    <n v="65000"/>
    <n v="178000"/>
    <n v="130000"/>
    <n v="47664"/>
    <n v="335.99999999999994"/>
    <s v="11 mns"/>
    <x v="1"/>
    <n v="11"/>
    <x v="10"/>
  </r>
  <r>
    <d v="2023-11-02T00:00:00"/>
    <x v="1"/>
    <x v="1"/>
    <n v="2"/>
    <x v="0"/>
    <n v="33000"/>
    <n v="18000"/>
    <n v="66000"/>
    <n v="36000"/>
    <n v="29790"/>
    <n v="209.99999999999997"/>
    <s v="58 mns"/>
    <x v="1"/>
    <n v="11"/>
    <x v="10"/>
  </r>
  <r>
    <d v="2023-11-02T00:00:00"/>
    <x v="2"/>
    <x v="2"/>
    <n v="2"/>
    <x v="0"/>
    <n v="33000"/>
    <n v="18000"/>
    <n v="66000"/>
    <n v="36000"/>
    <n v="29790"/>
    <n v="209.99999999999997"/>
    <s v="30 mns"/>
    <x v="3"/>
    <n v="11"/>
    <x v="10"/>
  </r>
  <r>
    <d v="2023-11-02T00:00:00"/>
    <x v="2"/>
    <x v="2"/>
    <n v="2"/>
    <x v="1"/>
    <n v="60000"/>
    <n v="31000"/>
    <n v="120000"/>
    <n v="62000"/>
    <n v="57594"/>
    <n v="405.99999999999994"/>
    <s v="30 mns"/>
    <x v="0"/>
    <n v="11"/>
    <x v="10"/>
  </r>
  <r>
    <d v="2023-11-02T00:00:00"/>
    <x v="2"/>
    <x v="2"/>
    <n v="2"/>
    <x v="2"/>
    <n v="89000"/>
    <n v="65000"/>
    <n v="178000"/>
    <n v="130000"/>
    <n v="47664"/>
    <n v="335.99999999999994"/>
    <s v="30 mns"/>
    <x v="2"/>
    <n v="11"/>
    <x v="10"/>
  </r>
  <r>
    <d v="2023-11-02T00:00:00"/>
    <x v="3"/>
    <x v="3"/>
    <n v="2"/>
    <x v="0"/>
    <n v="33000"/>
    <n v="18000"/>
    <n v="66000"/>
    <n v="36000"/>
    <n v="29790"/>
    <n v="209.99999999999997"/>
    <s v="35 mns"/>
    <x v="1"/>
    <n v="11"/>
    <x v="10"/>
  </r>
  <r>
    <d v="2023-11-02T00:00:00"/>
    <x v="3"/>
    <x v="3"/>
    <n v="2"/>
    <x v="1"/>
    <n v="60000"/>
    <n v="31000"/>
    <n v="120000"/>
    <n v="62000"/>
    <n v="57594"/>
    <n v="405.99999999999994"/>
    <s v="35 mns"/>
    <x v="3"/>
    <n v="11"/>
    <x v="10"/>
  </r>
  <r>
    <d v="2023-11-02T00:00:00"/>
    <x v="3"/>
    <x v="3"/>
    <n v="2"/>
    <x v="2"/>
    <n v="89000"/>
    <n v="65000"/>
    <n v="178000"/>
    <n v="130000"/>
    <n v="47664"/>
    <n v="335.99999999999994"/>
    <s v="35 mns"/>
    <x v="1"/>
    <n v="11"/>
    <x v="10"/>
  </r>
  <r>
    <d v="2023-11-03T00:00:00"/>
    <x v="0"/>
    <x v="0"/>
    <n v="2"/>
    <x v="0"/>
    <n v="33000"/>
    <n v="18000"/>
    <n v="66000"/>
    <n v="36000"/>
    <n v="29790"/>
    <n v="209.99999999999997"/>
    <s v="11 mns"/>
    <x v="1"/>
    <n v="11"/>
    <x v="10"/>
  </r>
  <r>
    <d v="2023-11-03T00:00:00"/>
    <x v="0"/>
    <x v="0"/>
    <n v="2"/>
    <x v="1"/>
    <n v="60000"/>
    <n v="31000"/>
    <n v="120000"/>
    <n v="62000"/>
    <n v="57594"/>
    <n v="405.99999999999994"/>
    <s v="11 mns"/>
    <x v="3"/>
    <n v="11"/>
    <x v="10"/>
  </r>
  <r>
    <d v="2023-11-03T00:00:00"/>
    <x v="0"/>
    <x v="0"/>
    <n v="2"/>
    <x v="2"/>
    <n v="89000"/>
    <n v="65000"/>
    <n v="178000"/>
    <n v="130000"/>
    <n v="47664"/>
    <n v="335.99999999999994"/>
    <s v="11 mns"/>
    <x v="3"/>
    <n v="11"/>
    <x v="10"/>
  </r>
  <r>
    <d v="2023-11-03T00:00:00"/>
    <x v="1"/>
    <x v="1"/>
    <n v="2"/>
    <x v="0"/>
    <n v="33000"/>
    <n v="18000"/>
    <n v="66000"/>
    <n v="36000"/>
    <n v="29790"/>
    <n v="209.99999999999997"/>
    <s v="58 mns"/>
    <x v="2"/>
    <n v="11"/>
    <x v="10"/>
  </r>
  <r>
    <d v="2023-11-03T00:00:00"/>
    <x v="2"/>
    <x v="2"/>
    <n v="2"/>
    <x v="0"/>
    <n v="33000"/>
    <n v="18000"/>
    <n v="66000"/>
    <n v="36000"/>
    <n v="29790"/>
    <n v="209.99999999999997"/>
    <s v="30 mns"/>
    <x v="1"/>
    <n v="11"/>
    <x v="10"/>
  </r>
  <r>
    <d v="2023-11-03T00:00:00"/>
    <x v="2"/>
    <x v="2"/>
    <n v="2"/>
    <x v="1"/>
    <n v="60000"/>
    <n v="31000"/>
    <n v="120000"/>
    <n v="62000"/>
    <n v="57594"/>
    <n v="405.99999999999994"/>
    <s v="30 mns"/>
    <x v="1"/>
    <n v="11"/>
    <x v="10"/>
  </r>
  <r>
    <d v="2023-11-03T00:00:00"/>
    <x v="2"/>
    <x v="2"/>
    <n v="2"/>
    <x v="2"/>
    <n v="89000"/>
    <n v="65000"/>
    <n v="178000"/>
    <n v="130000"/>
    <n v="47664"/>
    <n v="335.99999999999994"/>
    <s v="30 mns"/>
    <x v="0"/>
    <n v="11"/>
    <x v="10"/>
  </r>
  <r>
    <d v="2023-11-03T00:00:00"/>
    <x v="3"/>
    <x v="3"/>
    <n v="2"/>
    <x v="0"/>
    <n v="33000"/>
    <n v="18000"/>
    <n v="66000"/>
    <n v="36000"/>
    <n v="29790"/>
    <n v="209.99999999999997"/>
    <s v="35 mns"/>
    <x v="3"/>
    <n v="11"/>
    <x v="10"/>
  </r>
  <r>
    <d v="2023-11-03T00:00:00"/>
    <x v="3"/>
    <x v="3"/>
    <n v="2"/>
    <x v="1"/>
    <n v="60000"/>
    <n v="31000"/>
    <n v="120000"/>
    <n v="62000"/>
    <n v="57594"/>
    <n v="405.99999999999994"/>
    <s v="35 mns"/>
    <x v="0"/>
    <n v="11"/>
    <x v="10"/>
  </r>
  <r>
    <d v="2023-11-03T00:00:00"/>
    <x v="3"/>
    <x v="3"/>
    <n v="2"/>
    <x v="2"/>
    <n v="89000"/>
    <n v="65000"/>
    <n v="178000"/>
    <n v="130000"/>
    <n v="47664"/>
    <n v="335.99999999999994"/>
    <s v="35 mns"/>
    <x v="1"/>
    <n v="11"/>
    <x v="10"/>
  </r>
  <r>
    <d v="2023-11-04T00:00:00"/>
    <x v="0"/>
    <x v="0"/>
    <n v="1"/>
    <x v="0"/>
    <n v="33000"/>
    <n v="18000"/>
    <n v="33000"/>
    <n v="18000"/>
    <n v="14895"/>
    <n v="104.99999999999999"/>
    <s v="11 mns"/>
    <x v="1"/>
    <n v="11"/>
    <x v="10"/>
  </r>
  <r>
    <d v="2023-11-04T00:00:00"/>
    <x v="0"/>
    <x v="0"/>
    <n v="1"/>
    <x v="1"/>
    <n v="60000"/>
    <n v="31000"/>
    <n v="60000"/>
    <n v="31000"/>
    <n v="28797"/>
    <n v="202.99999999999997"/>
    <s v="11 mns"/>
    <x v="3"/>
    <n v="11"/>
    <x v="10"/>
  </r>
  <r>
    <d v="2023-11-04T00:00:00"/>
    <x v="0"/>
    <x v="0"/>
    <n v="1"/>
    <x v="2"/>
    <n v="89000"/>
    <n v="65000"/>
    <n v="89000"/>
    <n v="65000"/>
    <n v="23832"/>
    <n v="167.99999999999997"/>
    <s v="11 mns"/>
    <x v="0"/>
    <n v="11"/>
    <x v="10"/>
  </r>
  <r>
    <d v="2023-11-04T00:00:00"/>
    <x v="1"/>
    <x v="1"/>
    <n v="1"/>
    <x v="0"/>
    <n v="33000"/>
    <n v="18000"/>
    <n v="33000"/>
    <n v="18000"/>
    <n v="14895"/>
    <n v="104.99999999999999"/>
    <s v="58 mns"/>
    <x v="2"/>
    <n v="11"/>
    <x v="10"/>
  </r>
  <r>
    <d v="2023-11-04T00:00:00"/>
    <x v="2"/>
    <x v="2"/>
    <n v="1"/>
    <x v="0"/>
    <n v="33000"/>
    <n v="18000"/>
    <n v="33000"/>
    <n v="18000"/>
    <n v="14895"/>
    <n v="104.99999999999999"/>
    <s v="30 mns"/>
    <x v="3"/>
    <n v="11"/>
    <x v="10"/>
  </r>
  <r>
    <d v="2023-11-04T00:00:00"/>
    <x v="2"/>
    <x v="2"/>
    <n v="1"/>
    <x v="1"/>
    <n v="60000"/>
    <n v="31000"/>
    <n v="60000"/>
    <n v="31000"/>
    <n v="28797"/>
    <n v="202.99999999999997"/>
    <s v="30 mns"/>
    <x v="3"/>
    <n v="11"/>
    <x v="10"/>
  </r>
  <r>
    <d v="2023-11-04T00:00:00"/>
    <x v="2"/>
    <x v="2"/>
    <n v="1"/>
    <x v="2"/>
    <n v="89000"/>
    <n v="65000"/>
    <n v="89000"/>
    <n v="65000"/>
    <n v="23832"/>
    <n v="167.99999999999997"/>
    <s v="30 mns"/>
    <x v="2"/>
    <n v="11"/>
    <x v="10"/>
  </r>
  <r>
    <d v="2023-11-04T00:00:00"/>
    <x v="3"/>
    <x v="3"/>
    <n v="1"/>
    <x v="0"/>
    <n v="33000"/>
    <n v="18000"/>
    <n v="33000"/>
    <n v="18000"/>
    <n v="14895"/>
    <n v="104.99999999999999"/>
    <s v="35 mns"/>
    <x v="1"/>
    <n v="11"/>
    <x v="10"/>
  </r>
  <r>
    <d v="2023-11-04T00:00:00"/>
    <x v="3"/>
    <x v="3"/>
    <n v="1"/>
    <x v="1"/>
    <n v="60000"/>
    <n v="31000"/>
    <n v="60000"/>
    <n v="31000"/>
    <n v="28797"/>
    <n v="202.99999999999997"/>
    <s v="35 mns"/>
    <x v="1"/>
    <n v="11"/>
    <x v="10"/>
  </r>
  <r>
    <d v="2023-11-04T00:00:00"/>
    <x v="3"/>
    <x v="3"/>
    <n v="1"/>
    <x v="2"/>
    <n v="89000"/>
    <n v="65000"/>
    <n v="89000"/>
    <n v="65000"/>
    <n v="23832"/>
    <n v="167.99999999999997"/>
    <s v="35 mns"/>
    <x v="0"/>
    <n v="11"/>
    <x v="10"/>
  </r>
  <r>
    <d v="2023-11-05T00:00:00"/>
    <x v="0"/>
    <x v="0"/>
    <n v="2"/>
    <x v="0"/>
    <n v="33000"/>
    <n v="18000"/>
    <n v="66000"/>
    <n v="36000"/>
    <n v="29790"/>
    <n v="209.99999999999997"/>
    <s v="11 mns"/>
    <x v="3"/>
    <n v="11"/>
    <x v="10"/>
  </r>
  <r>
    <d v="2023-11-05T00:00:00"/>
    <x v="0"/>
    <x v="0"/>
    <n v="2"/>
    <x v="1"/>
    <n v="60000"/>
    <n v="31000"/>
    <n v="120000"/>
    <n v="62000"/>
    <n v="57594"/>
    <n v="405.99999999999994"/>
    <s v="11 mns"/>
    <x v="2"/>
    <n v="11"/>
    <x v="10"/>
  </r>
  <r>
    <d v="2023-11-05T00:00:00"/>
    <x v="0"/>
    <x v="0"/>
    <n v="2"/>
    <x v="2"/>
    <n v="89000"/>
    <n v="65000"/>
    <n v="178000"/>
    <n v="130000"/>
    <n v="47664"/>
    <n v="335.99999999999994"/>
    <s v="11 mns"/>
    <x v="0"/>
    <n v="11"/>
    <x v="10"/>
  </r>
  <r>
    <d v="2023-11-05T00:00:00"/>
    <x v="2"/>
    <x v="2"/>
    <n v="2"/>
    <x v="0"/>
    <n v="33000"/>
    <n v="18000"/>
    <n v="66000"/>
    <n v="36000"/>
    <n v="29790"/>
    <n v="209.99999999999997"/>
    <s v="30 mns"/>
    <x v="3"/>
    <n v="11"/>
    <x v="10"/>
  </r>
  <r>
    <d v="2023-11-05T00:00:00"/>
    <x v="2"/>
    <x v="2"/>
    <n v="2"/>
    <x v="1"/>
    <n v="60000"/>
    <n v="31000"/>
    <n v="120000"/>
    <n v="62000"/>
    <n v="57594"/>
    <n v="405.99999999999994"/>
    <s v="30 mns"/>
    <x v="3"/>
    <n v="11"/>
    <x v="10"/>
  </r>
  <r>
    <d v="2023-11-05T00:00:00"/>
    <x v="2"/>
    <x v="2"/>
    <n v="2"/>
    <x v="2"/>
    <n v="89000"/>
    <n v="65000"/>
    <n v="178000"/>
    <n v="130000"/>
    <n v="47664"/>
    <n v="335.99999999999994"/>
    <s v="30 mns"/>
    <x v="0"/>
    <n v="11"/>
    <x v="10"/>
  </r>
  <r>
    <d v="2023-11-05T00:00:00"/>
    <x v="3"/>
    <x v="3"/>
    <n v="2"/>
    <x v="0"/>
    <n v="33000"/>
    <n v="18000"/>
    <n v="66000"/>
    <n v="36000"/>
    <n v="29790"/>
    <n v="209.99999999999997"/>
    <s v="35 mns"/>
    <x v="3"/>
    <n v="11"/>
    <x v="10"/>
  </r>
  <r>
    <d v="2023-11-05T00:00:00"/>
    <x v="3"/>
    <x v="3"/>
    <n v="2"/>
    <x v="1"/>
    <n v="60000"/>
    <n v="31000"/>
    <n v="120000"/>
    <n v="62000"/>
    <n v="57594"/>
    <n v="405.99999999999994"/>
    <s v="35 mns"/>
    <x v="0"/>
    <n v="11"/>
    <x v="10"/>
  </r>
  <r>
    <d v="2023-11-05T00:00:00"/>
    <x v="3"/>
    <x v="3"/>
    <n v="2"/>
    <x v="2"/>
    <n v="89000"/>
    <n v="65000"/>
    <n v="178000"/>
    <n v="130000"/>
    <n v="47664"/>
    <n v="335.99999999999994"/>
    <s v="35 mns"/>
    <x v="3"/>
    <n v="11"/>
    <x v="10"/>
  </r>
  <r>
    <d v="2023-11-06T00:00:00"/>
    <x v="0"/>
    <x v="0"/>
    <n v="1"/>
    <x v="0"/>
    <n v="33000"/>
    <n v="18000"/>
    <n v="33000"/>
    <n v="18000"/>
    <n v="14895"/>
    <n v="104.99999999999999"/>
    <s v="11 mns"/>
    <x v="3"/>
    <n v="11"/>
    <x v="10"/>
  </r>
  <r>
    <d v="2023-11-06T00:00:00"/>
    <x v="0"/>
    <x v="0"/>
    <n v="1"/>
    <x v="1"/>
    <n v="60000"/>
    <n v="31000"/>
    <n v="60000"/>
    <n v="31000"/>
    <n v="28797"/>
    <n v="202.99999999999997"/>
    <s v="11 mns"/>
    <x v="3"/>
    <n v="11"/>
    <x v="10"/>
  </r>
  <r>
    <d v="2023-11-06T00:00:00"/>
    <x v="0"/>
    <x v="0"/>
    <n v="1"/>
    <x v="2"/>
    <n v="89000"/>
    <n v="65000"/>
    <n v="89000"/>
    <n v="65000"/>
    <n v="23832"/>
    <n v="167.99999999999997"/>
    <s v="11 mns"/>
    <x v="0"/>
    <n v="11"/>
    <x v="10"/>
  </r>
  <r>
    <d v="2023-11-06T00:00:00"/>
    <x v="2"/>
    <x v="2"/>
    <n v="1"/>
    <x v="0"/>
    <n v="33000"/>
    <n v="18000"/>
    <n v="33000"/>
    <n v="18000"/>
    <n v="14895"/>
    <n v="104.99999999999999"/>
    <s v="30 mns"/>
    <x v="2"/>
    <n v="11"/>
    <x v="10"/>
  </r>
  <r>
    <d v="2023-11-06T00:00:00"/>
    <x v="2"/>
    <x v="2"/>
    <n v="1"/>
    <x v="1"/>
    <n v="60000"/>
    <n v="31000"/>
    <n v="60000"/>
    <n v="31000"/>
    <n v="28797"/>
    <n v="202.99999999999997"/>
    <s v="30 mns"/>
    <x v="3"/>
    <n v="11"/>
    <x v="10"/>
  </r>
  <r>
    <d v="2023-11-06T00:00:00"/>
    <x v="2"/>
    <x v="2"/>
    <n v="1"/>
    <x v="2"/>
    <n v="89000"/>
    <n v="65000"/>
    <n v="89000"/>
    <n v="65000"/>
    <n v="23832"/>
    <n v="167.99999999999997"/>
    <s v="30 mns"/>
    <x v="2"/>
    <n v="11"/>
    <x v="10"/>
  </r>
  <r>
    <d v="2023-11-06T00:00:00"/>
    <x v="3"/>
    <x v="3"/>
    <n v="1"/>
    <x v="0"/>
    <n v="33000"/>
    <n v="18000"/>
    <n v="33000"/>
    <n v="18000"/>
    <n v="14895"/>
    <n v="104.99999999999999"/>
    <s v="35 mns"/>
    <x v="2"/>
    <n v="11"/>
    <x v="10"/>
  </r>
  <r>
    <d v="2023-11-06T00:00:00"/>
    <x v="3"/>
    <x v="3"/>
    <n v="1"/>
    <x v="1"/>
    <n v="60000"/>
    <n v="31000"/>
    <n v="60000"/>
    <n v="31000"/>
    <n v="28797"/>
    <n v="202.99999999999997"/>
    <s v="35 mns"/>
    <x v="3"/>
    <n v="11"/>
    <x v="10"/>
  </r>
  <r>
    <d v="2023-11-06T00:00:00"/>
    <x v="3"/>
    <x v="3"/>
    <n v="1"/>
    <x v="2"/>
    <n v="89000"/>
    <n v="65000"/>
    <n v="89000"/>
    <n v="65000"/>
    <n v="23832"/>
    <n v="167.99999999999997"/>
    <s v="35 mns"/>
    <x v="0"/>
    <n v="11"/>
    <x v="10"/>
  </r>
  <r>
    <d v="2023-11-07T00:00:00"/>
    <x v="0"/>
    <x v="0"/>
    <n v="1"/>
    <x v="0"/>
    <n v="33000"/>
    <n v="18000"/>
    <n v="33000"/>
    <n v="18000"/>
    <n v="14895"/>
    <n v="104.99999999999999"/>
    <s v="11 mns"/>
    <x v="3"/>
    <n v="11"/>
    <x v="10"/>
  </r>
  <r>
    <d v="2023-11-07T00:00:00"/>
    <x v="0"/>
    <x v="0"/>
    <n v="1"/>
    <x v="1"/>
    <n v="60000"/>
    <n v="31000"/>
    <n v="60000"/>
    <n v="31000"/>
    <n v="28797"/>
    <n v="202.99999999999997"/>
    <s v="11 mns"/>
    <x v="0"/>
    <n v="11"/>
    <x v="10"/>
  </r>
  <r>
    <d v="2023-11-07T00:00:00"/>
    <x v="0"/>
    <x v="0"/>
    <n v="1"/>
    <x v="2"/>
    <n v="89000"/>
    <n v="65000"/>
    <n v="89000"/>
    <n v="65000"/>
    <n v="23832"/>
    <n v="167.99999999999997"/>
    <s v="11 mns"/>
    <x v="3"/>
    <n v="11"/>
    <x v="10"/>
  </r>
  <r>
    <d v="2023-11-07T00:00:00"/>
    <x v="2"/>
    <x v="2"/>
    <n v="1"/>
    <x v="0"/>
    <n v="33000"/>
    <n v="18000"/>
    <n v="33000"/>
    <n v="18000"/>
    <n v="14895"/>
    <n v="104.99999999999999"/>
    <s v="30 mns"/>
    <x v="0"/>
    <n v="11"/>
    <x v="10"/>
  </r>
  <r>
    <d v="2023-11-07T00:00:00"/>
    <x v="2"/>
    <x v="2"/>
    <n v="1"/>
    <x v="1"/>
    <n v="60000"/>
    <n v="31000"/>
    <n v="60000"/>
    <n v="31000"/>
    <n v="28797"/>
    <n v="202.99999999999997"/>
    <s v="30 mns"/>
    <x v="0"/>
    <n v="11"/>
    <x v="10"/>
  </r>
  <r>
    <d v="2023-11-07T00:00:00"/>
    <x v="2"/>
    <x v="2"/>
    <n v="1"/>
    <x v="2"/>
    <n v="89000"/>
    <n v="65000"/>
    <n v="89000"/>
    <n v="65000"/>
    <n v="23832"/>
    <n v="167.99999999999997"/>
    <s v="30 mns"/>
    <x v="0"/>
    <n v="11"/>
    <x v="10"/>
  </r>
  <r>
    <d v="2023-11-07T00:00:00"/>
    <x v="3"/>
    <x v="3"/>
    <n v="1"/>
    <x v="0"/>
    <n v="33000"/>
    <n v="18000"/>
    <n v="33000"/>
    <n v="18000"/>
    <n v="14895"/>
    <n v="104.99999999999999"/>
    <s v="35 mns"/>
    <x v="3"/>
    <n v="11"/>
    <x v="10"/>
  </r>
  <r>
    <d v="2023-11-07T00:00:00"/>
    <x v="3"/>
    <x v="3"/>
    <n v="1"/>
    <x v="1"/>
    <n v="60000"/>
    <n v="31000"/>
    <n v="60000"/>
    <n v="31000"/>
    <n v="28797"/>
    <n v="202.99999999999997"/>
    <s v="35 mns"/>
    <x v="2"/>
    <n v="11"/>
    <x v="10"/>
  </r>
  <r>
    <d v="2023-11-07T00:00:00"/>
    <x v="3"/>
    <x v="3"/>
    <n v="1"/>
    <x v="2"/>
    <n v="89000"/>
    <n v="65000"/>
    <n v="89000"/>
    <n v="65000"/>
    <n v="23832"/>
    <n v="167.99999999999997"/>
    <s v="35 mns"/>
    <x v="1"/>
    <n v="11"/>
    <x v="10"/>
  </r>
  <r>
    <d v="2023-11-08T00:00:00"/>
    <x v="0"/>
    <x v="0"/>
    <n v="1"/>
    <x v="0"/>
    <n v="33000"/>
    <n v="18000"/>
    <n v="33000"/>
    <n v="18000"/>
    <n v="14895"/>
    <n v="104.99999999999999"/>
    <s v="11 mns"/>
    <x v="1"/>
    <n v="11"/>
    <x v="10"/>
  </r>
  <r>
    <d v="2023-11-08T00:00:00"/>
    <x v="0"/>
    <x v="0"/>
    <n v="1"/>
    <x v="1"/>
    <n v="60000"/>
    <n v="31000"/>
    <n v="60000"/>
    <n v="31000"/>
    <n v="28797"/>
    <n v="202.99999999999997"/>
    <s v="11 mns"/>
    <x v="1"/>
    <n v="11"/>
    <x v="10"/>
  </r>
  <r>
    <d v="2023-11-08T00:00:00"/>
    <x v="0"/>
    <x v="0"/>
    <n v="1"/>
    <x v="2"/>
    <n v="89000"/>
    <n v="65000"/>
    <n v="89000"/>
    <n v="65000"/>
    <n v="23832"/>
    <n v="167.99999999999997"/>
    <s v="11 mns"/>
    <x v="2"/>
    <n v="11"/>
    <x v="10"/>
  </r>
  <r>
    <d v="2023-11-08T00:00:00"/>
    <x v="2"/>
    <x v="2"/>
    <n v="1"/>
    <x v="1"/>
    <n v="60000"/>
    <n v="31000"/>
    <n v="60000"/>
    <n v="31000"/>
    <n v="28797"/>
    <n v="202.99999999999997"/>
    <s v="30 mns"/>
    <x v="3"/>
    <n v="11"/>
    <x v="10"/>
  </r>
  <r>
    <d v="2023-11-08T00:00:00"/>
    <x v="2"/>
    <x v="2"/>
    <n v="1"/>
    <x v="2"/>
    <n v="89000"/>
    <n v="65000"/>
    <n v="89000"/>
    <n v="65000"/>
    <n v="23832"/>
    <n v="167.99999999999997"/>
    <s v="30 mns"/>
    <x v="1"/>
    <n v="11"/>
    <x v="10"/>
  </r>
  <r>
    <d v="2023-11-08T00:00:00"/>
    <x v="3"/>
    <x v="3"/>
    <n v="1"/>
    <x v="0"/>
    <n v="33000"/>
    <n v="18000"/>
    <n v="33000"/>
    <n v="18000"/>
    <n v="14895"/>
    <n v="104.99999999999999"/>
    <s v="35 mns"/>
    <x v="1"/>
    <n v="11"/>
    <x v="10"/>
  </r>
  <r>
    <d v="2023-11-08T00:00:00"/>
    <x v="3"/>
    <x v="3"/>
    <n v="1"/>
    <x v="1"/>
    <n v="60000"/>
    <n v="31000"/>
    <n v="60000"/>
    <n v="31000"/>
    <n v="28797"/>
    <n v="202.99999999999997"/>
    <s v="35 mns"/>
    <x v="1"/>
    <n v="11"/>
    <x v="10"/>
  </r>
  <r>
    <d v="2023-11-08T00:00:00"/>
    <x v="3"/>
    <x v="3"/>
    <n v="1"/>
    <x v="2"/>
    <n v="89000"/>
    <n v="65000"/>
    <n v="89000"/>
    <n v="65000"/>
    <n v="23832"/>
    <n v="167.99999999999997"/>
    <s v="35 mns"/>
    <x v="1"/>
    <n v="11"/>
    <x v="10"/>
  </r>
  <r>
    <d v="2023-11-09T00:00:00"/>
    <x v="0"/>
    <x v="0"/>
    <n v="1"/>
    <x v="0"/>
    <n v="33000"/>
    <n v="18000"/>
    <n v="33000"/>
    <n v="18000"/>
    <n v="14895"/>
    <n v="104.99999999999999"/>
    <s v="11 mns"/>
    <x v="0"/>
    <n v="11"/>
    <x v="10"/>
  </r>
  <r>
    <d v="2023-11-09T00:00:00"/>
    <x v="0"/>
    <x v="0"/>
    <n v="1"/>
    <x v="1"/>
    <n v="60000"/>
    <n v="31000"/>
    <n v="60000"/>
    <n v="31000"/>
    <n v="28797"/>
    <n v="202.99999999999997"/>
    <s v="11 mns"/>
    <x v="1"/>
    <n v="11"/>
    <x v="10"/>
  </r>
  <r>
    <d v="2023-11-09T00:00:00"/>
    <x v="0"/>
    <x v="0"/>
    <n v="1"/>
    <x v="2"/>
    <n v="89000"/>
    <n v="65000"/>
    <n v="89000"/>
    <n v="65000"/>
    <n v="23832"/>
    <n v="167.99999999999997"/>
    <s v="11 mns"/>
    <x v="1"/>
    <n v="11"/>
    <x v="10"/>
  </r>
  <r>
    <d v="2023-11-09T00:00:00"/>
    <x v="2"/>
    <x v="2"/>
    <n v="1"/>
    <x v="1"/>
    <n v="60000"/>
    <n v="31000"/>
    <n v="60000"/>
    <n v="31000"/>
    <n v="28797"/>
    <n v="202.99999999999997"/>
    <s v="30 mns"/>
    <x v="1"/>
    <n v="11"/>
    <x v="10"/>
  </r>
  <r>
    <d v="2023-11-09T00:00:00"/>
    <x v="2"/>
    <x v="2"/>
    <n v="1"/>
    <x v="2"/>
    <n v="89000"/>
    <n v="65000"/>
    <n v="89000"/>
    <n v="65000"/>
    <n v="23832"/>
    <n v="167.99999999999997"/>
    <s v="30 mns"/>
    <x v="3"/>
    <n v="11"/>
    <x v="10"/>
  </r>
  <r>
    <d v="2023-11-09T00:00:00"/>
    <x v="3"/>
    <x v="3"/>
    <n v="1"/>
    <x v="0"/>
    <n v="33000"/>
    <n v="18000"/>
    <n v="33000"/>
    <n v="18000"/>
    <n v="14895"/>
    <n v="104.99999999999999"/>
    <s v="35 mns"/>
    <x v="2"/>
    <n v="11"/>
    <x v="10"/>
  </r>
  <r>
    <d v="2023-11-09T00:00:00"/>
    <x v="3"/>
    <x v="3"/>
    <n v="1"/>
    <x v="1"/>
    <n v="60000"/>
    <n v="31000"/>
    <n v="60000"/>
    <n v="31000"/>
    <n v="28797"/>
    <n v="202.99999999999997"/>
    <s v="35 mns"/>
    <x v="3"/>
    <n v="11"/>
    <x v="10"/>
  </r>
  <r>
    <d v="2023-11-09T00:00:00"/>
    <x v="3"/>
    <x v="3"/>
    <n v="1"/>
    <x v="2"/>
    <n v="89000"/>
    <n v="65000"/>
    <n v="89000"/>
    <n v="65000"/>
    <n v="23832"/>
    <n v="167.99999999999997"/>
    <s v="35 mns"/>
    <x v="0"/>
    <n v="11"/>
    <x v="10"/>
  </r>
  <r>
    <d v="2023-11-10T00:00:00"/>
    <x v="0"/>
    <x v="0"/>
    <n v="1"/>
    <x v="0"/>
    <n v="33000"/>
    <n v="18000"/>
    <n v="33000"/>
    <n v="18000"/>
    <n v="14895"/>
    <n v="104.99999999999999"/>
    <s v="11 mns"/>
    <x v="2"/>
    <n v="11"/>
    <x v="10"/>
  </r>
  <r>
    <d v="2023-11-10T00:00:00"/>
    <x v="0"/>
    <x v="0"/>
    <n v="1"/>
    <x v="1"/>
    <n v="60000"/>
    <n v="31000"/>
    <n v="60000"/>
    <n v="31000"/>
    <n v="28797"/>
    <n v="202.99999999999997"/>
    <s v="11 mns"/>
    <x v="1"/>
    <n v="11"/>
    <x v="10"/>
  </r>
  <r>
    <d v="2023-11-10T00:00:00"/>
    <x v="0"/>
    <x v="0"/>
    <n v="1"/>
    <x v="2"/>
    <n v="89000"/>
    <n v="65000"/>
    <n v="89000"/>
    <n v="65000"/>
    <n v="23832"/>
    <n v="167.99999999999997"/>
    <s v="11 mns"/>
    <x v="3"/>
    <n v="11"/>
    <x v="10"/>
  </r>
  <r>
    <d v="2023-11-10T00:00:00"/>
    <x v="2"/>
    <x v="2"/>
    <n v="1"/>
    <x v="0"/>
    <n v="33000"/>
    <n v="18000"/>
    <n v="33000"/>
    <n v="18000"/>
    <n v="14895"/>
    <n v="104.99999999999999"/>
    <s v="30 mns"/>
    <x v="3"/>
    <n v="11"/>
    <x v="10"/>
  </r>
  <r>
    <d v="2023-11-10T00:00:00"/>
    <x v="2"/>
    <x v="2"/>
    <n v="1"/>
    <x v="1"/>
    <n v="60000"/>
    <n v="31000"/>
    <n v="60000"/>
    <n v="31000"/>
    <n v="28797"/>
    <n v="202.99999999999997"/>
    <s v="30 mns"/>
    <x v="0"/>
    <n v="11"/>
    <x v="10"/>
  </r>
  <r>
    <d v="2023-11-10T00:00:00"/>
    <x v="2"/>
    <x v="2"/>
    <n v="1"/>
    <x v="2"/>
    <n v="89000"/>
    <n v="65000"/>
    <n v="89000"/>
    <n v="65000"/>
    <n v="23832"/>
    <n v="167.99999999999997"/>
    <s v="30 mns"/>
    <x v="3"/>
    <n v="11"/>
    <x v="10"/>
  </r>
  <r>
    <d v="2023-11-10T00:00:00"/>
    <x v="3"/>
    <x v="3"/>
    <n v="1"/>
    <x v="0"/>
    <n v="33000"/>
    <n v="18000"/>
    <n v="33000"/>
    <n v="18000"/>
    <n v="14895"/>
    <n v="104.99999999999999"/>
    <s v="35 mns"/>
    <x v="3"/>
    <n v="11"/>
    <x v="10"/>
  </r>
  <r>
    <d v="2023-11-10T00:00:00"/>
    <x v="3"/>
    <x v="3"/>
    <n v="1"/>
    <x v="1"/>
    <n v="60000"/>
    <n v="31000"/>
    <n v="60000"/>
    <n v="31000"/>
    <n v="28797"/>
    <n v="202.99999999999997"/>
    <s v="35 mns"/>
    <x v="0"/>
    <n v="11"/>
    <x v="10"/>
  </r>
  <r>
    <d v="2023-11-10T00:00:00"/>
    <x v="3"/>
    <x v="3"/>
    <n v="1"/>
    <x v="2"/>
    <n v="89000"/>
    <n v="65000"/>
    <n v="89000"/>
    <n v="65000"/>
    <n v="23832"/>
    <n v="167.99999999999997"/>
    <s v="35 mns"/>
    <x v="3"/>
    <n v="11"/>
    <x v="10"/>
  </r>
  <r>
    <d v="2023-11-11T00:00:00"/>
    <x v="0"/>
    <x v="0"/>
    <n v="1"/>
    <x v="0"/>
    <n v="33000"/>
    <n v="18000"/>
    <n v="33000"/>
    <n v="18000"/>
    <n v="14895"/>
    <n v="104.99999999999999"/>
    <s v="11 mns"/>
    <x v="1"/>
    <n v="11"/>
    <x v="10"/>
  </r>
  <r>
    <d v="2023-11-11T00:00:00"/>
    <x v="0"/>
    <x v="0"/>
    <n v="1"/>
    <x v="1"/>
    <n v="60000"/>
    <n v="31000"/>
    <n v="60000"/>
    <n v="31000"/>
    <n v="28797"/>
    <n v="202.99999999999997"/>
    <s v="11 mns"/>
    <x v="3"/>
    <n v="11"/>
    <x v="10"/>
  </r>
  <r>
    <d v="2023-11-11T00:00:00"/>
    <x v="0"/>
    <x v="0"/>
    <n v="1"/>
    <x v="2"/>
    <n v="89000"/>
    <n v="65000"/>
    <n v="89000"/>
    <n v="65000"/>
    <n v="23832"/>
    <n v="167.99999999999997"/>
    <s v="11 mns"/>
    <x v="1"/>
    <n v="11"/>
    <x v="10"/>
  </r>
  <r>
    <d v="2023-11-11T00:00:00"/>
    <x v="2"/>
    <x v="2"/>
    <n v="1"/>
    <x v="0"/>
    <n v="33000"/>
    <n v="18000"/>
    <n v="33000"/>
    <n v="18000"/>
    <n v="14895"/>
    <n v="104.99999999999999"/>
    <s v="30 mns"/>
    <x v="1"/>
    <n v="11"/>
    <x v="10"/>
  </r>
  <r>
    <d v="2023-11-11T00:00:00"/>
    <x v="2"/>
    <x v="2"/>
    <n v="1"/>
    <x v="1"/>
    <n v="60000"/>
    <n v="31000"/>
    <n v="60000"/>
    <n v="31000"/>
    <n v="28797"/>
    <n v="202.99999999999997"/>
    <s v="30 mns"/>
    <x v="2"/>
    <n v="11"/>
    <x v="10"/>
  </r>
  <r>
    <d v="2023-11-11T00:00:00"/>
    <x v="2"/>
    <x v="2"/>
    <n v="1"/>
    <x v="2"/>
    <n v="89000"/>
    <n v="65000"/>
    <n v="89000"/>
    <n v="65000"/>
    <n v="23832"/>
    <n v="167.99999999999997"/>
    <s v="30 mns"/>
    <x v="1"/>
    <n v="11"/>
    <x v="10"/>
  </r>
  <r>
    <d v="2023-11-11T00:00:00"/>
    <x v="3"/>
    <x v="3"/>
    <n v="1"/>
    <x v="0"/>
    <n v="33000"/>
    <n v="18000"/>
    <n v="33000"/>
    <n v="18000"/>
    <n v="14895"/>
    <n v="104.99999999999999"/>
    <s v="35 mns"/>
    <x v="1"/>
    <n v="11"/>
    <x v="10"/>
  </r>
  <r>
    <d v="2023-11-11T00:00:00"/>
    <x v="3"/>
    <x v="3"/>
    <n v="1"/>
    <x v="1"/>
    <n v="60000"/>
    <n v="31000"/>
    <n v="60000"/>
    <n v="31000"/>
    <n v="28797"/>
    <n v="202.99999999999997"/>
    <s v="35 mns"/>
    <x v="1"/>
    <n v="11"/>
    <x v="10"/>
  </r>
  <r>
    <d v="2023-11-11T00:00:00"/>
    <x v="3"/>
    <x v="3"/>
    <n v="1"/>
    <x v="2"/>
    <n v="89000"/>
    <n v="65000"/>
    <n v="89000"/>
    <n v="65000"/>
    <n v="23832"/>
    <n v="167.99999999999997"/>
    <s v="35 mns"/>
    <x v="3"/>
    <n v="11"/>
    <x v="10"/>
  </r>
  <r>
    <d v="2023-11-12T00:00:00"/>
    <x v="0"/>
    <x v="0"/>
    <n v="1"/>
    <x v="0"/>
    <n v="33000"/>
    <n v="18000"/>
    <n v="33000"/>
    <n v="18000"/>
    <n v="14895"/>
    <n v="104.99999999999999"/>
    <s v="11 mns"/>
    <x v="1"/>
    <n v="11"/>
    <x v="10"/>
  </r>
  <r>
    <d v="2023-11-12T00:00:00"/>
    <x v="0"/>
    <x v="0"/>
    <n v="1"/>
    <x v="1"/>
    <n v="60000"/>
    <n v="31000"/>
    <n v="60000"/>
    <n v="31000"/>
    <n v="28797"/>
    <n v="202.99999999999997"/>
    <s v="11 mns"/>
    <x v="3"/>
    <n v="11"/>
    <x v="10"/>
  </r>
  <r>
    <d v="2023-11-12T00:00:00"/>
    <x v="0"/>
    <x v="0"/>
    <n v="1"/>
    <x v="2"/>
    <n v="89000"/>
    <n v="65000"/>
    <n v="89000"/>
    <n v="65000"/>
    <n v="23832"/>
    <n v="167.99999999999997"/>
    <s v="11 mns"/>
    <x v="0"/>
    <n v="11"/>
    <x v="10"/>
  </r>
  <r>
    <d v="2023-11-12T00:00:00"/>
    <x v="2"/>
    <x v="2"/>
    <n v="1"/>
    <x v="0"/>
    <n v="33000"/>
    <n v="18000"/>
    <n v="33000"/>
    <n v="18000"/>
    <n v="14895"/>
    <n v="104.99999999999999"/>
    <s v="30 mns"/>
    <x v="3"/>
    <n v="11"/>
    <x v="10"/>
  </r>
  <r>
    <d v="2023-11-12T00:00:00"/>
    <x v="2"/>
    <x v="2"/>
    <n v="1"/>
    <x v="1"/>
    <n v="60000"/>
    <n v="31000"/>
    <n v="60000"/>
    <n v="31000"/>
    <n v="28797"/>
    <n v="202.99999999999997"/>
    <s v="30 mns"/>
    <x v="0"/>
    <n v="11"/>
    <x v="10"/>
  </r>
  <r>
    <d v="2023-11-12T00:00:00"/>
    <x v="2"/>
    <x v="2"/>
    <n v="1"/>
    <x v="2"/>
    <n v="89000"/>
    <n v="65000"/>
    <n v="89000"/>
    <n v="65000"/>
    <n v="23832"/>
    <n v="167.99999999999997"/>
    <s v="30 mns"/>
    <x v="0"/>
    <n v="11"/>
    <x v="10"/>
  </r>
  <r>
    <d v="2023-11-12T00:00:00"/>
    <x v="3"/>
    <x v="3"/>
    <n v="1"/>
    <x v="0"/>
    <n v="33000"/>
    <n v="18000"/>
    <n v="33000"/>
    <n v="18000"/>
    <n v="14895"/>
    <n v="104.99999999999999"/>
    <s v="35 mns"/>
    <x v="2"/>
    <n v="11"/>
    <x v="10"/>
  </r>
  <r>
    <d v="2023-11-12T00:00:00"/>
    <x v="3"/>
    <x v="3"/>
    <n v="1"/>
    <x v="1"/>
    <n v="60000"/>
    <n v="31000"/>
    <n v="60000"/>
    <n v="31000"/>
    <n v="28797"/>
    <n v="202.99999999999997"/>
    <s v="35 mns"/>
    <x v="0"/>
    <n v="11"/>
    <x v="10"/>
  </r>
  <r>
    <d v="2023-11-12T00:00:00"/>
    <x v="3"/>
    <x v="3"/>
    <n v="1"/>
    <x v="2"/>
    <n v="89000"/>
    <n v="65000"/>
    <n v="89000"/>
    <n v="65000"/>
    <n v="23832"/>
    <n v="167.99999999999997"/>
    <s v="35 mns"/>
    <x v="1"/>
    <n v="11"/>
    <x v="10"/>
  </r>
  <r>
    <d v="2023-11-13T00:00:00"/>
    <x v="0"/>
    <x v="0"/>
    <n v="2"/>
    <x v="0"/>
    <n v="33000"/>
    <n v="18000"/>
    <n v="66000"/>
    <n v="36000"/>
    <n v="29790"/>
    <n v="209.99999999999997"/>
    <s v="11 mns"/>
    <x v="1"/>
    <n v="11"/>
    <x v="10"/>
  </r>
  <r>
    <d v="2023-11-13T00:00:00"/>
    <x v="0"/>
    <x v="0"/>
    <n v="2"/>
    <x v="1"/>
    <n v="60000"/>
    <n v="31000"/>
    <n v="120000"/>
    <n v="62000"/>
    <n v="57594"/>
    <n v="405.99999999999994"/>
    <s v="11 mns"/>
    <x v="2"/>
    <n v="11"/>
    <x v="10"/>
  </r>
  <r>
    <d v="2023-11-13T00:00:00"/>
    <x v="0"/>
    <x v="0"/>
    <n v="2"/>
    <x v="2"/>
    <n v="89000"/>
    <n v="65000"/>
    <n v="178000"/>
    <n v="130000"/>
    <n v="47664"/>
    <n v="335.99999999999994"/>
    <s v="11 mns"/>
    <x v="1"/>
    <n v="11"/>
    <x v="10"/>
  </r>
  <r>
    <d v="2023-11-13T00:00:00"/>
    <x v="2"/>
    <x v="2"/>
    <n v="2"/>
    <x v="1"/>
    <n v="60000"/>
    <n v="31000"/>
    <n v="120000"/>
    <n v="62000"/>
    <n v="57594"/>
    <n v="405.99999999999994"/>
    <s v="30 mns"/>
    <x v="1"/>
    <n v="11"/>
    <x v="10"/>
  </r>
  <r>
    <d v="2023-11-13T00:00:00"/>
    <x v="2"/>
    <x v="2"/>
    <n v="2"/>
    <x v="2"/>
    <n v="89000"/>
    <n v="65000"/>
    <n v="178000"/>
    <n v="130000"/>
    <n v="47664"/>
    <n v="335.99999999999994"/>
    <s v="30 mns"/>
    <x v="2"/>
    <n v="11"/>
    <x v="10"/>
  </r>
  <r>
    <d v="2023-11-13T00:00:00"/>
    <x v="3"/>
    <x v="3"/>
    <n v="2"/>
    <x v="0"/>
    <n v="33000"/>
    <n v="18000"/>
    <n v="66000"/>
    <n v="36000"/>
    <n v="29790"/>
    <n v="209.99999999999997"/>
    <s v="35 mns"/>
    <x v="3"/>
    <n v="11"/>
    <x v="10"/>
  </r>
  <r>
    <d v="2023-11-13T00:00:00"/>
    <x v="3"/>
    <x v="3"/>
    <n v="2"/>
    <x v="1"/>
    <n v="60000"/>
    <n v="31000"/>
    <n v="120000"/>
    <n v="62000"/>
    <n v="57594"/>
    <n v="405.99999999999994"/>
    <s v="35 mns"/>
    <x v="3"/>
    <n v="11"/>
    <x v="10"/>
  </r>
  <r>
    <d v="2023-11-13T00:00:00"/>
    <x v="3"/>
    <x v="3"/>
    <n v="2"/>
    <x v="2"/>
    <n v="89000"/>
    <n v="65000"/>
    <n v="178000"/>
    <n v="130000"/>
    <n v="47664"/>
    <n v="335.99999999999994"/>
    <s v="35 mns"/>
    <x v="1"/>
    <n v="11"/>
    <x v="10"/>
  </r>
  <r>
    <d v="2023-11-14T00:00:00"/>
    <x v="0"/>
    <x v="0"/>
    <n v="2"/>
    <x v="0"/>
    <n v="33000"/>
    <n v="18000"/>
    <n v="66000"/>
    <n v="36000"/>
    <n v="29790"/>
    <n v="209.99999999999997"/>
    <s v="11 mns"/>
    <x v="3"/>
    <n v="11"/>
    <x v="10"/>
  </r>
  <r>
    <d v="2023-11-14T00:00:00"/>
    <x v="0"/>
    <x v="0"/>
    <n v="2"/>
    <x v="1"/>
    <n v="60000"/>
    <n v="31000"/>
    <n v="120000"/>
    <n v="62000"/>
    <n v="57594"/>
    <n v="405.99999999999994"/>
    <s v="11 mns"/>
    <x v="3"/>
    <n v="11"/>
    <x v="10"/>
  </r>
  <r>
    <d v="2023-11-14T00:00:00"/>
    <x v="0"/>
    <x v="0"/>
    <n v="2"/>
    <x v="2"/>
    <n v="89000"/>
    <n v="65000"/>
    <n v="178000"/>
    <n v="130000"/>
    <n v="47664"/>
    <n v="335.99999999999994"/>
    <s v="11 mns"/>
    <x v="1"/>
    <n v="11"/>
    <x v="10"/>
  </r>
  <r>
    <d v="2023-11-14T00:00:00"/>
    <x v="2"/>
    <x v="2"/>
    <n v="2"/>
    <x v="0"/>
    <n v="33000"/>
    <n v="18000"/>
    <n v="66000"/>
    <n v="36000"/>
    <n v="29790"/>
    <n v="209.99999999999997"/>
    <s v="30 mns"/>
    <x v="3"/>
    <n v="11"/>
    <x v="10"/>
  </r>
  <r>
    <d v="2023-11-14T00:00:00"/>
    <x v="2"/>
    <x v="2"/>
    <n v="2"/>
    <x v="1"/>
    <n v="60000"/>
    <n v="31000"/>
    <n v="120000"/>
    <n v="62000"/>
    <n v="57594"/>
    <n v="405.99999999999994"/>
    <s v="30 mns"/>
    <x v="0"/>
    <n v="11"/>
    <x v="10"/>
  </r>
  <r>
    <d v="2023-11-14T00:00:00"/>
    <x v="2"/>
    <x v="2"/>
    <n v="2"/>
    <x v="2"/>
    <n v="89000"/>
    <n v="65000"/>
    <n v="178000"/>
    <n v="130000"/>
    <n v="47664"/>
    <n v="335.99999999999994"/>
    <s v="30 mns"/>
    <x v="3"/>
    <n v="11"/>
    <x v="10"/>
  </r>
  <r>
    <d v="2023-11-14T00:00:00"/>
    <x v="3"/>
    <x v="3"/>
    <n v="2"/>
    <x v="0"/>
    <n v="33000"/>
    <n v="18000"/>
    <n v="66000"/>
    <n v="36000"/>
    <n v="29790"/>
    <n v="209.99999999999997"/>
    <s v="35 mns"/>
    <x v="3"/>
    <n v="11"/>
    <x v="10"/>
  </r>
  <r>
    <d v="2023-11-14T00:00:00"/>
    <x v="3"/>
    <x v="3"/>
    <n v="2"/>
    <x v="1"/>
    <n v="60000"/>
    <n v="31000"/>
    <n v="120000"/>
    <n v="62000"/>
    <n v="57594"/>
    <n v="405.99999999999994"/>
    <s v="35 mns"/>
    <x v="1"/>
    <n v="11"/>
    <x v="10"/>
  </r>
  <r>
    <d v="2023-11-14T00:00:00"/>
    <x v="3"/>
    <x v="3"/>
    <n v="2"/>
    <x v="2"/>
    <n v="89000"/>
    <n v="65000"/>
    <n v="178000"/>
    <n v="130000"/>
    <n v="47664"/>
    <n v="335.99999999999994"/>
    <s v="35 mns"/>
    <x v="3"/>
    <n v="11"/>
    <x v="10"/>
  </r>
  <r>
    <d v="2023-11-15T00:00:00"/>
    <x v="0"/>
    <x v="0"/>
    <n v="1"/>
    <x v="0"/>
    <n v="33000"/>
    <n v="18000"/>
    <n v="33000"/>
    <n v="18000"/>
    <n v="14895"/>
    <n v="104.99999999999999"/>
    <s v="11 mns"/>
    <x v="1"/>
    <n v="11"/>
    <x v="10"/>
  </r>
  <r>
    <d v="2023-11-15T00:00:00"/>
    <x v="0"/>
    <x v="0"/>
    <n v="1"/>
    <x v="1"/>
    <n v="60000"/>
    <n v="31000"/>
    <n v="60000"/>
    <n v="31000"/>
    <n v="28797"/>
    <n v="202.99999999999997"/>
    <s v="11 mns"/>
    <x v="2"/>
    <n v="11"/>
    <x v="10"/>
  </r>
  <r>
    <d v="2023-11-15T00:00:00"/>
    <x v="0"/>
    <x v="0"/>
    <n v="1"/>
    <x v="2"/>
    <n v="89000"/>
    <n v="65000"/>
    <n v="89000"/>
    <n v="65000"/>
    <n v="23832"/>
    <n v="167.99999999999997"/>
    <s v="11 mns"/>
    <x v="0"/>
    <n v="11"/>
    <x v="10"/>
  </r>
  <r>
    <d v="2023-11-15T00:00:00"/>
    <x v="2"/>
    <x v="2"/>
    <n v="1"/>
    <x v="0"/>
    <n v="33000"/>
    <n v="18000"/>
    <n v="33000"/>
    <n v="18000"/>
    <n v="14895"/>
    <n v="104.99999999999999"/>
    <s v="30 mns"/>
    <x v="1"/>
    <n v="11"/>
    <x v="10"/>
  </r>
  <r>
    <d v="2023-11-15T00:00:00"/>
    <x v="2"/>
    <x v="2"/>
    <n v="1"/>
    <x v="1"/>
    <n v="60000"/>
    <n v="31000"/>
    <n v="60000"/>
    <n v="31000"/>
    <n v="28797"/>
    <n v="202.99999999999997"/>
    <s v="30 mns"/>
    <x v="1"/>
    <n v="11"/>
    <x v="10"/>
  </r>
  <r>
    <d v="2023-11-15T00:00:00"/>
    <x v="2"/>
    <x v="2"/>
    <n v="1"/>
    <x v="2"/>
    <n v="89000"/>
    <n v="65000"/>
    <n v="89000"/>
    <n v="65000"/>
    <n v="23832"/>
    <n v="167.99999999999997"/>
    <s v="30 mns"/>
    <x v="0"/>
    <n v="11"/>
    <x v="10"/>
  </r>
  <r>
    <d v="2023-11-15T00:00:00"/>
    <x v="3"/>
    <x v="3"/>
    <n v="1"/>
    <x v="0"/>
    <n v="33000"/>
    <n v="18000"/>
    <n v="33000"/>
    <n v="18000"/>
    <n v="14895"/>
    <n v="104.99999999999999"/>
    <s v="35 mns"/>
    <x v="0"/>
    <n v="11"/>
    <x v="10"/>
  </r>
  <r>
    <d v="2023-11-15T00:00:00"/>
    <x v="3"/>
    <x v="3"/>
    <n v="1"/>
    <x v="1"/>
    <n v="60000"/>
    <n v="31000"/>
    <n v="60000"/>
    <n v="31000"/>
    <n v="28797"/>
    <n v="202.99999999999997"/>
    <s v="35 mns"/>
    <x v="2"/>
    <n v="11"/>
    <x v="10"/>
  </r>
  <r>
    <d v="2023-11-15T00:00:00"/>
    <x v="3"/>
    <x v="3"/>
    <n v="1"/>
    <x v="2"/>
    <n v="89000"/>
    <n v="65000"/>
    <n v="89000"/>
    <n v="65000"/>
    <n v="23832"/>
    <n v="167.99999999999997"/>
    <s v="35 mns"/>
    <x v="2"/>
    <n v="11"/>
    <x v="10"/>
  </r>
  <r>
    <d v="2023-11-16T00:00:00"/>
    <x v="0"/>
    <x v="0"/>
    <n v="1"/>
    <x v="0"/>
    <n v="33000"/>
    <n v="18000"/>
    <n v="33000"/>
    <n v="18000"/>
    <n v="14895"/>
    <n v="104.99999999999999"/>
    <s v="11 mns"/>
    <x v="0"/>
    <n v="11"/>
    <x v="10"/>
  </r>
  <r>
    <d v="2023-11-16T00:00:00"/>
    <x v="0"/>
    <x v="0"/>
    <n v="1"/>
    <x v="1"/>
    <n v="60000"/>
    <n v="31000"/>
    <n v="60000"/>
    <n v="31000"/>
    <n v="28797"/>
    <n v="202.99999999999997"/>
    <s v="11 mns"/>
    <x v="1"/>
    <n v="11"/>
    <x v="10"/>
  </r>
  <r>
    <d v="2023-11-16T00:00:00"/>
    <x v="0"/>
    <x v="0"/>
    <n v="1"/>
    <x v="2"/>
    <n v="89000"/>
    <n v="65000"/>
    <n v="89000"/>
    <n v="65000"/>
    <n v="23832"/>
    <n v="167.99999999999997"/>
    <s v="11 mns"/>
    <x v="3"/>
    <n v="11"/>
    <x v="10"/>
  </r>
  <r>
    <d v="2023-11-16T00:00:00"/>
    <x v="2"/>
    <x v="2"/>
    <n v="1"/>
    <x v="0"/>
    <n v="33000"/>
    <n v="18000"/>
    <n v="33000"/>
    <n v="18000"/>
    <n v="14895"/>
    <n v="104.99999999999999"/>
    <s v="30 mns"/>
    <x v="3"/>
    <n v="11"/>
    <x v="10"/>
  </r>
  <r>
    <d v="2023-11-16T00:00:00"/>
    <x v="2"/>
    <x v="2"/>
    <n v="1"/>
    <x v="1"/>
    <n v="60000"/>
    <n v="31000"/>
    <n v="60000"/>
    <n v="31000"/>
    <n v="28797"/>
    <n v="202.99999999999997"/>
    <s v="30 mns"/>
    <x v="3"/>
    <n v="11"/>
    <x v="10"/>
  </r>
  <r>
    <d v="2023-11-16T00:00:00"/>
    <x v="2"/>
    <x v="2"/>
    <n v="1"/>
    <x v="2"/>
    <n v="89000"/>
    <n v="65000"/>
    <n v="89000"/>
    <n v="65000"/>
    <n v="23832"/>
    <n v="167.99999999999997"/>
    <s v="30 mns"/>
    <x v="3"/>
    <n v="11"/>
    <x v="10"/>
  </r>
  <r>
    <d v="2023-11-16T00:00:00"/>
    <x v="3"/>
    <x v="3"/>
    <n v="1"/>
    <x v="0"/>
    <n v="33000"/>
    <n v="18000"/>
    <n v="33000"/>
    <n v="18000"/>
    <n v="14895"/>
    <n v="104.99999999999999"/>
    <s v="35 mns"/>
    <x v="3"/>
    <n v="11"/>
    <x v="10"/>
  </r>
  <r>
    <d v="2023-11-16T00:00:00"/>
    <x v="3"/>
    <x v="3"/>
    <n v="1"/>
    <x v="1"/>
    <n v="60000"/>
    <n v="31000"/>
    <n v="60000"/>
    <n v="31000"/>
    <n v="28797"/>
    <n v="202.99999999999997"/>
    <s v="35 mns"/>
    <x v="1"/>
    <n v="11"/>
    <x v="10"/>
  </r>
  <r>
    <d v="2023-11-16T00:00:00"/>
    <x v="3"/>
    <x v="3"/>
    <n v="1"/>
    <x v="2"/>
    <n v="89000"/>
    <n v="65000"/>
    <n v="89000"/>
    <n v="65000"/>
    <n v="23832"/>
    <n v="167.99999999999997"/>
    <s v="35 mns"/>
    <x v="2"/>
    <n v="11"/>
    <x v="10"/>
  </r>
  <r>
    <d v="2023-11-17T00:00:00"/>
    <x v="0"/>
    <x v="0"/>
    <n v="1"/>
    <x v="0"/>
    <n v="33000"/>
    <n v="18000"/>
    <n v="33000"/>
    <n v="18000"/>
    <n v="14895"/>
    <n v="104.99999999999999"/>
    <s v="11 mns"/>
    <x v="0"/>
    <n v="11"/>
    <x v="10"/>
  </r>
  <r>
    <d v="2023-11-17T00:00:00"/>
    <x v="0"/>
    <x v="0"/>
    <n v="1"/>
    <x v="1"/>
    <n v="60000"/>
    <n v="31000"/>
    <n v="60000"/>
    <n v="31000"/>
    <n v="28797"/>
    <n v="202.99999999999997"/>
    <s v="11 mns"/>
    <x v="1"/>
    <n v="11"/>
    <x v="10"/>
  </r>
  <r>
    <d v="2023-11-17T00:00:00"/>
    <x v="0"/>
    <x v="0"/>
    <n v="1"/>
    <x v="2"/>
    <n v="89000"/>
    <n v="65000"/>
    <n v="89000"/>
    <n v="65000"/>
    <n v="23832"/>
    <n v="167.99999999999997"/>
    <s v="11 mns"/>
    <x v="0"/>
    <n v="11"/>
    <x v="10"/>
  </r>
  <r>
    <d v="2023-11-17T00:00:00"/>
    <x v="2"/>
    <x v="2"/>
    <n v="1"/>
    <x v="0"/>
    <n v="33000"/>
    <n v="18000"/>
    <n v="33000"/>
    <n v="18000"/>
    <n v="14895"/>
    <n v="104.99999999999999"/>
    <s v="30 mns"/>
    <x v="3"/>
    <n v="11"/>
    <x v="10"/>
  </r>
  <r>
    <d v="2023-11-17T00:00:00"/>
    <x v="2"/>
    <x v="2"/>
    <n v="1"/>
    <x v="1"/>
    <n v="60000"/>
    <n v="31000"/>
    <n v="60000"/>
    <n v="31000"/>
    <n v="28797"/>
    <n v="202.99999999999997"/>
    <s v="30 mns"/>
    <x v="0"/>
    <n v="11"/>
    <x v="10"/>
  </r>
  <r>
    <d v="2023-11-17T00:00:00"/>
    <x v="2"/>
    <x v="2"/>
    <n v="1"/>
    <x v="2"/>
    <n v="89000"/>
    <n v="65000"/>
    <n v="89000"/>
    <n v="65000"/>
    <n v="23832"/>
    <n v="167.99999999999997"/>
    <s v="30 mns"/>
    <x v="3"/>
    <n v="11"/>
    <x v="10"/>
  </r>
  <r>
    <d v="2023-11-17T00:00:00"/>
    <x v="3"/>
    <x v="3"/>
    <n v="1"/>
    <x v="0"/>
    <n v="33000"/>
    <n v="18000"/>
    <n v="33000"/>
    <n v="18000"/>
    <n v="14895"/>
    <n v="104.99999999999999"/>
    <s v="35 mns"/>
    <x v="2"/>
    <n v="11"/>
    <x v="10"/>
  </r>
  <r>
    <d v="2023-11-17T00:00:00"/>
    <x v="3"/>
    <x v="3"/>
    <n v="1"/>
    <x v="1"/>
    <n v="60000"/>
    <n v="31000"/>
    <n v="60000"/>
    <n v="31000"/>
    <n v="28797"/>
    <n v="202.99999999999997"/>
    <s v="35 mns"/>
    <x v="0"/>
    <n v="11"/>
    <x v="10"/>
  </r>
  <r>
    <d v="2023-11-17T00:00:00"/>
    <x v="3"/>
    <x v="3"/>
    <n v="1"/>
    <x v="2"/>
    <n v="89000"/>
    <n v="65000"/>
    <n v="89000"/>
    <n v="65000"/>
    <n v="23832"/>
    <n v="167.99999999999997"/>
    <s v="35 mns"/>
    <x v="3"/>
    <n v="11"/>
    <x v="10"/>
  </r>
  <r>
    <d v="2023-11-18T00:00:00"/>
    <x v="0"/>
    <x v="0"/>
    <n v="1"/>
    <x v="0"/>
    <n v="33000"/>
    <n v="18000"/>
    <n v="33000"/>
    <n v="18000"/>
    <n v="14895"/>
    <n v="104.99999999999999"/>
    <s v="11 mns"/>
    <x v="0"/>
    <n v="11"/>
    <x v="10"/>
  </r>
  <r>
    <d v="2023-11-18T00:00:00"/>
    <x v="0"/>
    <x v="0"/>
    <n v="1"/>
    <x v="1"/>
    <n v="60000"/>
    <n v="31000"/>
    <n v="60000"/>
    <n v="31000"/>
    <n v="28797"/>
    <n v="202.99999999999997"/>
    <s v="11 mns"/>
    <x v="1"/>
    <n v="11"/>
    <x v="10"/>
  </r>
  <r>
    <d v="2023-11-18T00:00:00"/>
    <x v="0"/>
    <x v="0"/>
    <n v="1"/>
    <x v="2"/>
    <n v="89000"/>
    <n v="65000"/>
    <n v="89000"/>
    <n v="65000"/>
    <n v="23832"/>
    <n v="167.99999999999997"/>
    <s v="11 mns"/>
    <x v="3"/>
    <n v="11"/>
    <x v="10"/>
  </r>
  <r>
    <d v="2023-11-18T00:00:00"/>
    <x v="2"/>
    <x v="2"/>
    <n v="1"/>
    <x v="0"/>
    <n v="33000"/>
    <n v="18000"/>
    <n v="33000"/>
    <n v="18000"/>
    <n v="14895"/>
    <n v="104.99999999999999"/>
    <s v="30 mns"/>
    <x v="0"/>
    <n v="11"/>
    <x v="10"/>
  </r>
  <r>
    <d v="2023-11-18T00:00:00"/>
    <x v="2"/>
    <x v="2"/>
    <n v="1"/>
    <x v="1"/>
    <n v="60000"/>
    <n v="31000"/>
    <n v="60000"/>
    <n v="31000"/>
    <n v="28797"/>
    <n v="202.99999999999997"/>
    <s v="30 mns"/>
    <x v="1"/>
    <n v="11"/>
    <x v="10"/>
  </r>
  <r>
    <d v="2023-11-18T00:00:00"/>
    <x v="2"/>
    <x v="2"/>
    <n v="1"/>
    <x v="2"/>
    <n v="89000"/>
    <n v="65000"/>
    <n v="89000"/>
    <n v="65000"/>
    <n v="23832"/>
    <n v="167.99999999999997"/>
    <s v="30 mns"/>
    <x v="0"/>
    <n v="11"/>
    <x v="10"/>
  </r>
  <r>
    <d v="2023-11-18T00:00:00"/>
    <x v="3"/>
    <x v="3"/>
    <n v="1"/>
    <x v="0"/>
    <n v="33000"/>
    <n v="18000"/>
    <n v="33000"/>
    <n v="18000"/>
    <n v="14895"/>
    <n v="104.99999999999999"/>
    <s v="35 mns"/>
    <x v="3"/>
    <n v="11"/>
    <x v="10"/>
  </r>
  <r>
    <d v="2023-11-18T00:00:00"/>
    <x v="3"/>
    <x v="3"/>
    <n v="1"/>
    <x v="1"/>
    <n v="60000"/>
    <n v="31000"/>
    <n v="60000"/>
    <n v="31000"/>
    <n v="28797"/>
    <n v="202.99999999999997"/>
    <s v="35 mns"/>
    <x v="0"/>
    <n v="11"/>
    <x v="10"/>
  </r>
  <r>
    <d v="2023-11-18T00:00:00"/>
    <x v="3"/>
    <x v="3"/>
    <n v="1"/>
    <x v="2"/>
    <n v="89000"/>
    <n v="65000"/>
    <n v="89000"/>
    <n v="65000"/>
    <n v="23832"/>
    <n v="167.99999999999997"/>
    <s v="35 mns"/>
    <x v="3"/>
    <n v="11"/>
    <x v="10"/>
  </r>
  <r>
    <d v="2023-11-19T00:00:00"/>
    <x v="0"/>
    <x v="0"/>
    <n v="1"/>
    <x v="0"/>
    <n v="33000"/>
    <n v="18000"/>
    <n v="33000"/>
    <n v="18000"/>
    <n v="14895"/>
    <n v="104.99999999999999"/>
    <s v="11 mns"/>
    <x v="1"/>
    <n v="11"/>
    <x v="10"/>
  </r>
  <r>
    <d v="2023-11-19T00:00:00"/>
    <x v="0"/>
    <x v="0"/>
    <n v="1"/>
    <x v="1"/>
    <n v="60000"/>
    <n v="31000"/>
    <n v="60000"/>
    <n v="31000"/>
    <n v="28797"/>
    <n v="202.99999999999997"/>
    <s v="11 mns"/>
    <x v="0"/>
    <n v="11"/>
    <x v="10"/>
  </r>
  <r>
    <d v="2023-11-19T00:00:00"/>
    <x v="0"/>
    <x v="0"/>
    <n v="1"/>
    <x v="2"/>
    <n v="89000"/>
    <n v="65000"/>
    <n v="89000"/>
    <n v="65000"/>
    <n v="23832"/>
    <n v="167.99999999999997"/>
    <s v="11 mns"/>
    <x v="1"/>
    <n v="11"/>
    <x v="10"/>
  </r>
  <r>
    <d v="2023-11-19T00:00:00"/>
    <x v="2"/>
    <x v="2"/>
    <n v="1"/>
    <x v="0"/>
    <n v="33000"/>
    <n v="18000"/>
    <n v="33000"/>
    <n v="18000"/>
    <n v="14895"/>
    <n v="104.99999999999999"/>
    <s v="30 mns"/>
    <x v="3"/>
    <n v="11"/>
    <x v="10"/>
  </r>
  <r>
    <d v="2023-11-19T00:00:00"/>
    <x v="2"/>
    <x v="2"/>
    <n v="1"/>
    <x v="1"/>
    <n v="60000"/>
    <n v="31000"/>
    <n v="60000"/>
    <n v="31000"/>
    <n v="28797"/>
    <n v="202.99999999999997"/>
    <s v="30 mns"/>
    <x v="3"/>
    <n v="11"/>
    <x v="10"/>
  </r>
  <r>
    <d v="2023-11-19T00:00:00"/>
    <x v="2"/>
    <x v="2"/>
    <n v="1"/>
    <x v="2"/>
    <n v="89000"/>
    <n v="65000"/>
    <n v="89000"/>
    <n v="65000"/>
    <n v="23832"/>
    <n v="167.99999999999997"/>
    <s v="30 mns"/>
    <x v="2"/>
    <n v="11"/>
    <x v="10"/>
  </r>
  <r>
    <d v="2023-11-19T00:00:00"/>
    <x v="3"/>
    <x v="3"/>
    <n v="1"/>
    <x v="0"/>
    <n v="33000"/>
    <n v="18000"/>
    <n v="33000"/>
    <n v="18000"/>
    <n v="14895"/>
    <n v="104.99999999999999"/>
    <s v="35 mns"/>
    <x v="2"/>
    <n v="11"/>
    <x v="10"/>
  </r>
  <r>
    <d v="2023-11-19T00:00:00"/>
    <x v="3"/>
    <x v="3"/>
    <n v="1"/>
    <x v="1"/>
    <n v="60000"/>
    <n v="31000"/>
    <n v="60000"/>
    <n v="31000"/>
    <n v="28797"/>
    <n v="202.99999999999997"/>
    <s v="35 mns"/>
    <x v="3"/>
    <n v="11"/>
    <x v="10"/>
  </r>
  <r>
    <d v="2023-11-19T00:00:00"/>
    <x v="3"/>
    <x v="3"/>
    <n v="1"/>
    <x v="2"/>
    <n v="89000"/>
    <n v="65000"/>
    <n v="89000"/>
    <n v="65000"/>
    <n v="23832"/>
    <n v="167.99999999999997"/>
    <s v="35 mns"/>
    <x v="0"/>
    <n v="11"/>
    <x v="10"/>
  </r>
  <r>
    <d v="2023-11-20T00:00:00"/>
    <x v="0"/>
    <x v="0"/>
    <n v="2"/>
    <x v="0"/>
    <n v="33000"/>
    <n v="18000"/>
    <n v="66000"/>
    <n v="36000"/>
    <n v="29790"/>
    <n v="209.99999999999997"/>
    <s v="11 mns"/>
    <x v="3"/>
    <n v="11"/>
    <x v="10"/>
  </r>
  <r>
    <d v="2023-11-20T00:00:00"/>
    <x v="0"/>
    <x v="0"/>
    <n v="2"/>
    <x v="1"/>
    <n v="60000"/>
    <n v="31000"/>
    <n v="120000"/>
    <n v="62000"/>
    <n v="57594"/>
    <n v="405.99999999999994"/>
    <s v="11 mns"/>
    <x v="0"/>
    <n v="11"/>
    <x v="10"/>
  </r>
  <r>
    <d v="2023-11-20T00:00:00"/>
    <x v="0"/>
    <x v="0"/>
    <n v="2"/>
    <x v="2"/>
    <n v="89000"/>
    <n v="65000"/>
    <n v="178000"/>
    <n v="130000"/>
    <n v="47664"/>
    <n v="335.99999999999994"/>
    <s v="11 mns"/>
    <x v="0"/>
    <n v="11"/>
    <x v="10"/>
  </r>
  <r>
    <d v="2023-11-20T00:00:00"/>
    <x v="2"/>
    <x v="2"/>
    <n v="2"/>
    <x v="0"/>
    <n v="33000"/>
    <n v="18000"/>
    <n v="66000"/>
    <n v="36000"/>
    <n v="29790"/>
    <n v="209.99999999999997"/>
    <s v="30 mns"/>
    <x v="3"/>
    <n v="11"/>
    <x v="10"/>
  </r>
  <r>
    <d v="2023-11-20T00:00:00"/>
    <x v="2"/>
    <x v="2"/>
    <n v="2"/>
    <x v="1"/>
    <n v="60000"/>
    <n v="31000"/>
    <n v="120000"/>
    <n v="62000"/>
    <n v="57594"/>
    <n v="405.99999999999994"/>
    <s v="30 mns"/>
    <x v="1"/>
    <n v="11"/>
    <x v="10"/>
  </r>
  <r>
    <d v="2023-11-20T00:00:00"/>
    <x v="2"/>
    <x v="2"/>
    <n v="2"/>
    <x v="2"/>
    <n v="89000"/>
    <n v="65000"/>
    <n v="178000"/>
    <n v="130000"/>
    <n v="47664"/>
    <n v="335.99999999999994"/>
    <s v="30 mns"/>
    <x v="2"/>
    <n v="11"/>
    <x v="10"/>
  </r>
  <r>
    <d v="2023-11-20T00:00:00"/>
    <x v="3"/>
    <x v="3"/>
    <n v="2"/>
    <x v="0"/>
    <n v="33000"/>
    <n v="18000"/>
    <n v="66000"/>
    <n v="36000"/>
    <n v="29790"/>
    <n v="209.99999999999997"/>
    <s v="35 mns"/>
    <x v="3"/>
    <n v="11"/>
    <x v="10"/>
  </r>
  <r>
    <d v="2023-11-20T00:00:00"/>
    <x v="3"/>
    <x v="3"/>
    <n v="2"/>
    <x v="1"/>
    <n v="60000"/>
    <n v="31000"/>
    <n v="120000"/>
    <n v="62000"/>
    <n v="57594"/>
    <n v="405.99999999999994"/>
    <s v="35 mns"/>
    <x v="0"/>
    <n v="11"/>
    <x v="10"/>
  </r>
  <r>
    <d v="2023-11-20T00:00:00"/>
    <x v="3"/>
    <x v="3"/>
    <n v="2"/>
    <x v="2"/>
    <n v="89000"/>
    <n v="65000"/>
    <n v="178000"/>
    <n v="130000"/>
    <n v="47664"/>
    <n v="335.99999999999994"/>
    <s v="35 mns"/>
    <x v="1"/>
    <n v="11"/>
    <x v="10"/>
  </r>
  <r>
    <d v="2023-11-21T00:00:00"/>
    <x v="0"/>
    <x v="0"/>
    <n v="1"/>
    <x v="0"/>
    <n v="33000"/>
    <n v="18000"/>
    <n v="33000"/>
    <n v="18000"/>
    <n v="14895"/>
    <n v="104.99999999999999"/>
    <s v="11 mns"/>
    <x v="1"/>
    <n v="11"/>
    <x v="10"/>
  </r>
  <r>
    <d v="2023-11-21T00:00:00"/>
    <x v="0"/>
    <x v="0"/>
    <n v="1"/>
    <x v="1"/>
    <n v="60000"/>
    <n v="31000"/>
    <n v="60000"/>
    <n v="31000"/>
    <n v="28797"/>
    <n v="202.99999999999997"/>
    <s v="11 mns"/>
    <x v="0"/>
    <n v="11"/>
    <x v="10"/>
  </r>
  <r>
    <d v="2023-11-21T00:00:00"/>
    <x v="0"/>
    <x v="0"/>
    <n v="1"/>
    <x v="2"/>
    <n v="89000"/>
    <n v="65000"/>
    <n v="89000"/>
    <n v="65000"/>
    <n v="23832"/>
    <n v="167.99999999999997"/>
    <s v="11 mns"/>
    <x v="3"/>
    <n v="11"/>
    <x v="10"/>
  </r>
  <r>
    <d v="2023-11-21T00:00:00"/>
    <x v="2"/>
    <x v="2"/>
    <n v="1"/>
    <x v="0"/>
    <n v="33000"/>
    <n v="18000"/>
    <n v="33000"/>
    <n v="18000"/>
    <n v="14895"/>
    <n v="104.99999999999999"/>
    <s v="30 mns"/>
    <x v="1"/>
    <n v="11"/>
    <x v="10"/>
  </r>
  <r>
    <d v="2023-11-21T00:00:00"/>
    <x v="2"/>
    <x v="2"/>
    <n v="1"/>
    <x v="1"/>
    <n v="60000"/>
    <n v="31000"/>
    <n v="60000"/>
    <n v="31000"/>
    <n v="28797"/>
    <n v="202.99999999999997"/>
    <s v="30 mns"/>
    <x v="3"/>
    <n v="11"/>
    <x v="10"/>
  </r>
  <r>
    <d v="2023-11-21T00:00:00"/>
    <x v="2"/>
    <x v="2"/>
    <n v="1"/>
    <x v="2"/>
    <n v="89000"/>
    <n v="65000"/>
    <n v="89000"/>
    <n v="65000"/>
    <n v="23832"/>
    <n v="167.99999999999997"/>
    <s v="30 mns"/>
    <x v="3"/>
    <n v="11"/>
    <x v="10"/>
  </r>
  <r>
    <d v="2023-11-21T00:00:00"/>
    <x v="3"/>
    <x v="3"/>
    <n v="1"/>
    <x v="0"/>
    <n v="33000"/>
    <n v="18000"/>
    <n v="33000"/>
    <n v="18000"/>
    <n v="14895"/>
    <n v="104.99999999999999"/>
    <s v="35 mns"/>
    <x v="3"/>
    <n v="11"/>
    <x v="10"/>
  </r>
  <r>
    <d v="2023-11-21T00:00:00"/>
    <x v="3"/>
    <x v="3"/>
    <n v="1"/>
    <x v="1"/>
    <n v="60000"/>
    <n v="31000"/>
    <n v="60000"/>
    <n v="31000"/>
    <n v="28797"/>
    <n v="202.99999999999997"/>
    <s v="35 mns"/>
    <x v="3"/>
    <n v="11"/>
    <x v="10"/>
  </r>
  <r>
    <d v="2023-11-21T00:00:00"/>
    <x v="3"/>
    <x v="3"/>
    <n v="1"/>
    <x v="2"/>
    <n v="89000"/>
    <n v="65000"/>
    <n v="89000"/>
    <n v="65000"/>
    <n v="23832"/>
    <n v="167.99999999999997"/>
    <s v="35 mns"/>
    <x v="3"/>
    <n v="11"/>
    <x v="10"/>
  </r>
  <r>
    <d v="2023-11-22T00:00:00"/>
    <x v="0"/>
    <x v="0"/>
    <n v="1"/>
    <x v="0"/>
    <n v="33000"/>
    <n v="18000"/>
    <n v="33000"/>
    <n v="18000"/>
    <n v="14895"/>
    <n v="104.99999999999999"/>
    <s v="11 mns"/>
    <x v="1"/>
    <n v="11"/>
    <x v="10"/>
  </r>
  <r>
    <d v="2023-11-22T00:00:00"/>
    <x v="0"/>
    <x v="0"/>
    <n v="1"/>
    <x v="1"/>
    <n v="60000"/>
    <n v="31000"/>
    <n v="60000"/>
    <n v="31000"/>
    <n v="28797"/>
    <n v="202.99999999999997"/>
    <s v="11 mns"/>
    <x v="1"/>
    <n v="11"/>
    <x v="10"/>
  </r>
  <r>
    <d v="2023-11-22T00:00:00"/>
    <x v="0"/>
    <x v="0"/>
    <n v="1"/>
    <x v="2"/>
    <n v="89000"/>
    <n v="65000"/>
    <n v="89000"/>
    <n v="65000"/>
    <n v="23832"/>
    <n v="167.99999999999997"/>
    <s v="11 mns"/>
    <x v="3"/>
    <n v="11"/>
    <x v="10"/>
  </r>
  <r>
    <d v="2023-11-22T00:00:00"/>
    <x v="2"/>
    <x v="2"/>
    <n v="1"/>
    <x v="0"/>
    <n v="33000"/>
    <n v="18000"/>
    <n v="33000"/>
    <n v="18000"/>
    <n v="14895"/>
    <n v="104.99999999999999"/>
    <s v="30 mns"/>
    <x v="0"/>
    <n v="11"/>
    <x v="10"/>
  </r>
  <r>
    <d v="2023-11-22T00:00:00"/>
    <x v="2"/>
    <x v="2"/>
    <n v="1"/>
    <x v="1"/>
    <n v="60000"/>
    <n v="31000"/>
    <n v="60000"/>
    <n v="31000"/>
    <n v="28797"/>
    <n v="202.99999999999997"/>
    <s v="30 mns"/>
    <x v="3"/>
    <n v="11"/>
    <x v="10"/>
  </r>
  <r>
    <d v="2023-11-22T00:00:00"/>
    <x v="2"/>
    <x v="2"/>
    <n v="1"/>
    <x v="2"/>
    <n v="89000"/>
    <n v="65000"/>
    <n v="89000"/>
    <n v="65000"/>
    <n v="23832"/>
    <n v="167.99999999999997"/>
    <s v="30 mns"/>
    <x v="3"/>
    <n v="11"/>
    <x v="10"/>
  </r>
  <r>
    <d v="2023-11-22T00:00:00"/>
    <x v="3"/>
    <x v="3"/>
    <n v="1"/>
    <x v="0"/>
    <n v="33000"/>
    <n v="18000"/>
    <n v="33000"/>
    <n v="18000"/>
    <n v="14895"/>
    <n v="104.99999999999999"/>
    <s v="35 mns"/>
    <x v="0"/>
    <n v="11"/>
    <x v="10"/>
  </r>
  <r>
    <d v="2023-11-22T00:00:00"/>
    <x v="3"/>
    <x v="3"/>
    <n v="1"/>
    <x v="1"/>
    <n v="60000"/>
    <n v="31000"/>
    <n v="60000"/>
    <n v="31000"/>
    <n v="28797"/>
    <n v="202.99999999999997"/>
    <s v="35 mns"/>
    <x v="3"/>
    <n v="11"/>
    <x v="10"/>
  </r>
  <r>
    <d v="2023-11-22T00:00:00"/>
    <x v="3"/>
    <x v="3"/>
    <n v="1"/>
    <x v="2"/>
    <n v="89000"/>
    <n v="65000"/>
    <n v="89000"/>
    <n v="65000"/>
    <n v="23832"/>
    <n v="167.99999999999997"/>
    <s v="35 mns"/>
    <x v="3"/>
    <n v="11"/>
    <x v="10"/>
  </r>
  <r>
    <d v="2023-11-23T00:00:00"/>
    <x v="0"/>
    <x v="0"/>
    <n v="1"/>
    <x v="0"/>
    <n v="33000"/>
    <n v="18000"/>
    <n v="33000"/>
    <n v="18000"/>
    <n v="14895"/>
    <n v="104.99999999999999"/>
    <s v="11 mns"/>
    <x v="3"/>
    <n v="11"/>
    <x v="10"/>
  </r>
  <r>
    <d v="2023-11-23T00:00:00"/>
    <x v="0"/>
    <x v="0"/>
    <n v="1"/>
    <x v="1"/>
    <n v="60000"/>
    <n v="31000"/>
    <n v="60000"/>
    <n v="31000"/>
    <n v="28797"/>
    <n v="202.99999999999997"/>
    <s v="11 mns"/>
    <x v="1"/>
    <n v="11"/>
    <x v="10"/>
  </r>
  <r>
    <d v="2023-11-23T00:00:00"/>
    <x v="0"/>
    <x v="0"/>
    <n v="1"/>
    <x v="2"/>
    <n v="89000"/>
    <n v="65000"/>
    <n v="89000"/>
    <n v="65000"/>
    <n v="23832"/>
    <n v="167.99999999999997"/>
    <s v="11 mns"/>
    <x v="0"/>
    <n v="11"/>
    <x v="10"/>
  </r>
  <r>
    <d v="2023-11-23T00:00:00"/>
    <x v="2"/>
    <x v="2"/>
    <n v="1"/>
    <x v="1"/>
    <n v="60000"/>
    <n v="31000"/>
    <n v="60000"/>
    <n v="31000"/>
    <n v="28797"/>
    <n v="202.99999999999997"/>
    <s v="30 mns"/>
    <x v="1"/>
    <n v="11"/>
    <x v="10"/>
  </r>
  <r>
    <d v="2023-11-23T00:00:00"/>
    <x v="2"/>
    <x v="2"/>
    <n v="1"/>
    <x v="2"/>
    <n v="89000"/>
    <n v="65000"/>
    <n v="89000"/>
    <n v="65000"/>
    <n v="23832"/>
    <n v="167.99999999999997"/>
    <s v="30 mns"/>
    <x v="3"/>
    <n v="11"/>
    <x v="10"/>
  </r>
  <r>
    <d v="2023-11-23T00:00:00"/>
    <x v="3"/>
    <x v="3"/>
    <n v="1"/>
    <x v="0"/>
    <n v="33000"/>
    <n v="18000"/>
    <n v="33000"/>
    <n v="18000"/>
    <n v="14895"/>
    <n v="104.99999999999999"/>
    <s v="35 mns"/>
    <x v="1"/>
    <n v="11"/>
    <x v="10"/>
  </r>
  <r>
    <d v="2023-11-23T00:00:00"/>
    <x v="3"/>
    <x v="3"/>
    <n v="1"/>
    <x v="1"/>
    <n v="60000"/>
    <n v="31000"/>
    <n v="60000"/>
    <n v="31000"/>
    <n v="28797"/>
    <n v="202.99999999999997"/>
    <s v="35 mns"/>
    <x v="0"/>
    <n v="11"/>
    <x v="10"/>
  </r>
  <r>
    <d v="2023-11-23T00:00:00"/>
    <x v="3"/>
    <x v="3"/>
    <n v="1"/>
    <x v="2"/>
    <n v="89000"/>
    <n v="65000"/>
    <n v="89000"/>
    <n v="65000"/>
    <n v="23832"/>
    <n v="167.99999999999997"/>
    <s v="35 mns"/>
    <x v="3"/>
    <n v="11"/>
    <x v="10"/>
  </r>
  <r>
    <d v="2023-11-24T00:00:00"/>
    <x v="0"/>
    <x v="0"/>
    <n v="1"/>
    <x v="0"/>
    <n v="33000"/>
    <n v="18000"/>
    <n v="33000"/>
    <n v="18000"/>
    <n v="14895"/>
    <n v="104.99999999999999"/>
    <s v="11 mns"/>
    <x v="0"/>
    <n v="11"/>
    <x v="10"/>
  </r>
  <r>
    <d v="2023-11-24T00:00:00"/>
    <x v="0"/>
    <x v="0"/>
    <n v="1"/>
    <x v="1"/>
    <n v="60000"/>
    <n v="31000"/>
    <n v="60000"/>
    <n v="31000"/>
    <n v="28797"/>
    <n v="202.99999999999997"/>
    <s v="11 mns"/>
    <x v="3"/>
    <n v="11"/>
    <x v="10"/>
  </r>
  <r>
    <d v="2023-11-24T00:00:00"/>
    <x v="0"/>
    <x v="0"/>
    <n v="1"/>
    <x v="2"/>
    <n v="89000"/>
    <n v="65000"/>
    <n v="89000"/>
    <n v="65000"/>
    <n v="23832"/>
    <n v="167.99999999999997"/>
    <s v="11 mns"/>
    <x v="0"/>
    <n v="11"/>
    <x v="10"/>
  </r>
  <r>
    <d v="2023-11-24T00:00:00"/>
    <x v="1"/>
    <x v="1"/>
    <n v="1"/>
    <x v="2"/>
    <n v="89000"/>
    <n v="65000"/>
    <n v="89000"/>
    <n v="65000"/>
    <n v="23832"/>
    <n v="167.99999999999997"/>
    <s v="58 mns"/>
    <x v="1"/>
    <n v="11"/>
    <x v="10"/>
  </r>
  <r>
    <d v="2023-11-24T00:00:00"/>
    <x v="2"/>
    <x v="2"/>
    <n v="1"/>
    <x v="0"/>
    <n v="33000"/>
    <n v="18000"/>
    <n v="33000"/>
    <n v="18000"/>
    <n v="14895"/>
    <n v="104.99999999999999"/>
    <s v="30 mns"/>
    <x v="0"/>
    <n v="11"/>
    <x v="10"/>
  </r>
  <r>
    <d v="2023-11-24T00:00:00"/>
    <x v="2"/>
    <x v="2"/>
    <n v="1"/>
    <x v="1"/>
    <n v="60000"/>
    <n v="31000"/>
    <n v="60000"/>
    <n v="31000"/>
    <n v="28797"/>
    <n v="202.99999999999997"/>
    <s v="30 mns"/>
    <x v="0"/>
    <n v="11"/>
    <x v="10"/>
  </r>
  <r>
    <d v="2023-11-24T00:00:00"/>
    <x v="2"/>
    <x v="2"/>
    <n v="1"/>
    <x v="2"/>
    <n v="89000"/>
    <n v="65000"/>
    <n v="89000"/>
    <n v="65000"/>
    <n v="23832"/>
    <n v="167.99999999999997"/>
    <s v="30 mns"/>
    <x v="0"/>
    <n v="11"/>
    <x v="10"/>
  </r>
  <r>
    <d v="2023-11-24T00:00:00"/>
    <x v="3"/>
    <x v="3"/>
    <n v="1"/>
    <x v="0"/>
    <n v="33000"/>
    <n v="18000"/>
    <n v="33000"/>
    <n v="18000"/>
    <n v="14895"/>
    <n v="104.99999999999999"/>
    <s v="35 mns"/>
    <x v="2"/>
    <n v="11"/>
    <x v="10"/>
  </r>
  <r>
    <d v="2023-11-24T00:00:00"/>
    <x v="3"/>
    <x v="3"/>
    <n v="1"/>
    <x v="1"/>
    <n v="60000"/>
    <n v="31000"/>
    <n v="60000"/>
    <n v="31000"/>
    <n v="28797"/>
    <n v="202.99999999999997"/>
    <s v="35 mns"/>
    <x v="0"/>
    <n v="11"/>
    <x v="10"/>
  </r>
  <r>
    <d v="2023-11-24T00:00:00"/>
    <x v="3"/>
    <x v="3"/>
    <n v="1"/>
    <x v="2"/>
    <n v="89000"/>
    <n v="65000"/>
    <n v="89000"/>
    <n v="65000"/>
    <n v="23832"/>
    <n v="167.99999999999997"/>
    <s v="35 mns"/>
    <x v="3"/>
    <n v="11"/>
    <x v="10"/>
  </r>
  <r>
    <d v="2023-11-25T00:00:00"/>
    <x v="0"/>
    <x v="0"/>
    <n v="2"/>
    <x v="0"/>
    <n v="33000"/>
    <n v="18000"/>
    <n v="66000"/>
    <n v="36000"/>
    <n v="29790"/>
    <n v="209.99999999999997"/>
    <s v="11 mns"/>
    <x v="3"/>
    <n v="11"/>
    <x v="10"/>
  </r>
  <r>
    <d v="2023-11-25T00:00:00"/>
    <x v="0"/>
    <x v="0"/>
    <n v="2"/>
    <x v="1"/>
    <n v="60000"/>
    <n v="31000"/>
    <n v="120000"/>
    <n v="62000"/>
    <n v="57594"/>
    <n v="405.99999999999994"/>
    <s v="11 mns"/>
    <x v="0"/>
    <n v="11"/>
    <x v="10"/>
  </r>
  <r>
    <d v="2023-11-25T00:00:00"/>
    <x v="0"/>
    <x v="0"/>
    <n v="2"/>
    <x v="2"/>
    <n v="89000"/>
    <n v="65000"/>
    <n v="178000"/>
    <n v="130000"/>
    <n v="47664"/>
    <n v="335.99999999999994"/>
    <s v="11 mns"/>
    <x v="1"/>
    <n v="11"/>
    <x v="10"/>
  </r>
  <r>
    <d v="2023-11-25T00:00:00"/>
    <x v="1"/>
    <x v="1"/>
    <n v="2"/>
    <x v="2"/>
    <n v="89000"/>
    <n v="65000"/>
    <n v="178000"/>
    <n v="130000"/>
    <n v="47664"/>
    <n v="335.99999999999994"/>
    <s v="58 mns"/>
    <x v="3"/>
    <n v="11"/>
    <x v="10"/>
  </r>
  <r>
    <d v="2023-11-25T00:00:00"/>
    <x v="2"/>
    <x v="2"/>
    <n v="2"/>
    <x v="0"/>
    <n v="33000"/>
    <n v="18000"/>
    <n v="66000"/>
    <n v="36000"/>
    <n v="29790"/>
    <n v="209.99999999999997"/>
    <s v="30 mns"/>
    <x v="1"/>
    <n v="11"/>
    <x v="10"/>
  </r>
  <r>
    <d v="2023-11-25T00:00:00"/>
    <x v="2"/>
    <x v="2"/>
    <n v="2"/>
    <x v="1"/>
    <n v="60000"/>
    <n v="31000"/>
    <n v="120000"/>
    <n v="62000"/>
    <n v="57594"/>
    <n v="405.99999999999994"/>
    <s v="30 mns"/>
    <x v="0"/>
    <n v="11"/>
    <x v="10"/>
  </r>
  <r>
    <d v="2023-11-25T00:00:00"/>
    <x v="2"/>
    <x v="2"/>
    <n v="2"/>
    <x v="2"/>
    <n v="89000"/>
    <n v="65000"/>
    <n v="178000"/>
    <n v="130000"/>
    <n v="47664"/>
    <n v="335.99999999999994"/>
    <s v="30 mns"/>
    <x v="0"/>
    <n v="11"/>
    <x v="10"/>
  </r>
  <r>
    <d v="2023-11-25T00:00:00"/>
    <x v="3"/>
    <x v="3"/>
    <n v="2"/>
    <x v="0"/>
    <n v="33000"/>
    <n v="18000"/>
    <n v="66000"/>
    <n v="36000"/>
    <n v="29790"/>
    <n v="209.99999999999997"/>
    <s v="35 mns"/>
    <x v="1"/>
    <n v="11"/>
    <x v="10"/>
  </r>
  <r>
    <d v="2023-11-25T00:00:00"/>
    <x v="3"/>
    <x v="3"/>
    <n v="2"/>
    <x v="1"/>
    <n v="60000"/>
    <n v="31000"/>
    <n v="120000"/>
    <n v="62000"/>
    <n v="57594"/>
    <n v="405.99999999999994"/>
    <s v="35 mns"/>
    <x v="3"/>
    <n v="11"/>
    <x v="10"/>
  </r>
  <r>
    <d v="2023-11-25T00:00:00"/>
    <x v="3"/>
    <x v="3"/>
    <n v="2"/>
    <x v="2"/>
    <n v="89000"/>
    <n v="65000"/>
    <n v="178000"/>
    <n v="130000"/>
    <n v="47664"/>
    <n v="335.99999999999994"/>
    <s v="35 mns"/>
    <x v="0"/>
    <n v="11"/>
    <x v="10"/>
  </r>
  <r>
    <d v="2023-11-26T00:00:00"/>
    <x v="0"/>
    <x v="0"/>
    <n v="1"/>
    <x v="0"/>
    <n v="33000"/>
    <n v="18000"/>
    <n v="33000"/>
    <n v="18000"/>
    <n v="14895"/>
    <n v="104.99999999999999"/>
    <s v="11 mns"/>
    <x v="1"/>
    <n v="11"/>
    <x v="10"/>
  </r>
  <r>
    <d v="2023-11-26T00:00:00"/>
    <x v="0"/>
    <x v="0"/>
    <n v="1"/>
    <x v="1"/>
    <n v="60000"/>
    <n v="31000"/>
    <n v="60000"/>
    <n v="31000"/>
    <n v="28797"/>
    <n v="202.99999999999997"/>
    <s v="11 mns"/>
    <x v="0"/>
    <n v="11"/>
    <x v="10"/>
  </r>
  <r>
    <d v="2023-11-26T00:00:00"/>
    <x v="0"/>
    <x v="0"/>
    <n v="1"/>
    <x v="2"/>
    <n v="89000"/>
    <n v="65000"/>
    <n v="89000"/>
    <n v="65000"/>
    <n v="23832"/>
    <n v="167.99999999999997"/>
    <s v="11 mns"/>
    <x v="0"/>
    <n v="11"/>
    <x v="10"/>
  </r>
  <r>
    <d v="2023-11-26T00:00:00"/>
    <x v="1"/>
    <x v="1"/>
    <n v="1"/>
    <x v="2"/>
    <n v="89000"/>
    <n v="65000"/>
    <n v="89000"/>
    <n v="65000"/>
    <n v="23832"/>
    <n v="167.99999999999997"/>
    <s v="58 mns"/>
    <x v="0"/>
    <n v="11"/>
    <x v="10"/>
  </r>
  <r>
    <d v="2023-11-26T00:00:00"/>
    <x v="2"/>
    <x v="2"/>
    <n v="1"/>
    <x v="0"/>
    <n v="33000"/>
    <n v="18000"/>
    <n v="33000"/>
    <n v="18000"/>
    <n v="14895"/>
    <n v="104.99999999999999"/>
    <s v="30 mns"/>
    <x v="0"/>
    <n v="11"/>
    <x v="10"/>
  </r>
  <r>
    <d v="2023-11-26T00:00:00"/>
    <x v="2"/>
    <x v="2"/>
    <n v="1"/>
    <x v="1"/>
    <n v="60000"/>
    <n v="31000"/>
    <n v="60000"/>
    <n v="31000"/>
    <n v="28797"/>
    <n v="202.99999999999997"/>
    <s v="30 mns"/>
    <x v="3"/>
    <n v="11"/>
    <x v="10"/>
  </r>
  <r>
    <d v="2023-11-26T00:00:00"/>
    <x v="2"/>
    <x v="2"/>
    <n v="1"/>
    <x v="2"/>
    <n v="89000"/>
    <n v="65000"/>
    <n v="89000"/>
    <n v="65000"/>
    <n v="23832"/>
    <n v="167.99999999999997"/>
    <s v="30 mns"/>
    <x v="0"/>
    <n v="11"/>
    <x v="10"/>
  </r>
  <r>
    <d v="2023-11-26T00:00:00"/>
    <x v="3"/>
    <x v="3"/>
    <n v="1"/>
    <x v="0"/>
    <n v="33000"/>
    <n v="18000"/>
    <n v="33000"/>
    <n v="18000"/>
    <n v="14895"/>
    <n v="104.99999999999999"/>
    <s v="35 mns"/>
    <x v="1"/>
    <n v="11"/>
    <x v="10"/>
  </r>
  <r>
    <d v="2023-11-26T00:00:00"/>
    <x v="3"/>
    <x v="3"/>
    <n v="1"/>
    <x v="1"/>
    <n v="60000"/>
    <n v="31000"/>
    <n v="60000"/>
    <n v="31000"/>
    <n v="28797"/>
    <n v="202.99999999999997"/>
    <s v="35 mns"/>
    <x v="1"/>
    <n v="11"/>
    <x v="10"/>
  </r>
  <r>
    <d v="2023-11-26T00:00:00"/>
    <x v="3"/>
    <x v="3"/>
    <n v="1"/>
    <x v="2"/>
    <n v="89000"/>
    <n v="65000"/>
    <n v="89000"/>
    <n v="65000"/>
    <n v="23832"/>
    <n v="167.99999999999997"/>
    <s v="35 mns"/>
    <x v="1"/>
    <n v="11"/>
    <x v="10"/>
  </r>
  <r>
    <d v="2023-11-27T00:00:00"/>
    <x v="0"/>
    <x v="0"/>
    <n v="1"/>
    <x v="0"/>
    <n v="33000"/>
    <n v="18000"/>
    <n v="33000"/>
    <n v="18000"/>
    <n v="14895"/>
    <n v="104.99999999999999"/>
    <s v="11 mns"/>
    <x v="3"/>
    <n v="11"/>
    <x v="10"/>
  </r>
  <r>
    <d v="2023-11-27T00:00:00"/>
    <x v="0"/>
    <x v="0"/>
    <n v="1"/>
    <x v="1"/>
    <n v="60000"/>
    <n v="31000"/>
    <n v="60000"/>
    <n v="31000"/>
    <n v="28797"/>
    <n v="202.99999999999997"/>
    <s v="11 mns"/>
    <x v="1"/>
    <n v="11"/>
    <x v="10"/>
  </r>
  <r>
    <d v="2023-11-27T00:00:00"/>
    <x v="0"/>
    <x v="0"/>
    <n v="1"/>
    <x v="2"/>
    <n v="89000"/>
    <n v="65000"/>
    <n v="89000"/>
    <n v="65000"/>
    <n v="23832"/>
    <n v="167.99999999999997"/>
    <s v="11 mns"/>
    <x v="3"/>
    <n v="11"/>
    <x v="10"/>
  </r>
  <r>
    <d v="2023-11-27T00:00:00"/>
    <x v="1"/>
    <x v="1"/>
    <n v="1"/>
    <x v="2"/>
    <n v="89000"/>
    <n v="65000"/>
    <n v="89000"/>
    <n v="65000"/>
    <n v="23832"/>
    <n v="167.99999999999997"/>
    <s v="58 mns"/>
    <x v="0"/>
    <n v="11"/>
    <x v="10"/>
  </r>
  <r>
    <d v="2023-11-27T00:00:00"/>
    <x v="2"/>
    <x v="2"/>
    <n v="1"/>
    <x v="0"/>
    <n v="33000"/>
    <n v="18000"/>
    <n v="33000"/>
    <n v="18000"/>
    <n v="14895"/>
    <n v="104.99999999999999"/>
    <s v="30 mns"/>
    <x v="2"/>
    <n v="11"/>
    <x v="10"/>
  </r>
  <r>
    <d v="2023-11-27T00:00:00"/>
    <x v="2"/>
    <x v="2"/>
    <n v="1"/>
    <x v="1"/>
    <n v="60000"/>
    <n v="31000"/>
    <n v="60000"/>
    <n v="31000"/>
    <n v="28797"/>
    <n v="202.99999999999997"/>
    <s v="30 mns"/>
    <x v="2"/>
    <n v="11"/>
    <x v="10"/>
  </r>
  <r>
    <d v="2023-11-27T00:00:00"/>
    <x v="2"/>
    <x v="2"/>
    <n v="1"/>
    <x v="2"/>
    <n v="89000"/>
    <n v="65000"/>
    <n v="89000"/>
    <n v="65000"/>
    <n v="23832"/>
    <n v="167.99999999999997"/>
    <s v="30 mns"/>
    <x v="0"/>
    <n v="11"/>
    <x v="10"/>
  </r>
  <r>
    <d v="2023-11-27T00:00:00"/>
    <x v="3"/>
    <x v="3"/>
    <n v="1"/>
    <x v="0"/>
    <n v="33000"/>
    <n v="18000"/>
    <n v="33000"/>
    <n v="18000"/>
    <n v="14895"/>
    <n v="104.99999999999999"/>
    <s v="35 mns"/>
    <x v="3"/>
    <n v="11"/>
    <x v="10"/>
  </r>
  <r>
    <d v="2023-11-27T00:00:00"/>
    <x v="3"/>
    <x v="3"/>
    <n v="1"/>
    <x v="1"/>
    <n v="60000"/>
    <n v="31000"/>
    <n v="60000"/>
    <n v="31000"/>
    <n v="28797"/>
    <n v="202.99999999999997"/>
    <s v="35 mns"/>
    <x v="3"/>
    <n v="11"/>
    <x v="10"/>
  </r>
  <r>
    <d v="2023-11-27T00:00:00"/>
    <x v="3"/>
    <x v="3"/>
    <n v="1"/>
    <x v="2"/>
    <n v="89000"/>
    <n v="65000"/>
    <n v="89000"/>
    <n v="65000"/>
    <n v="23832"/>
    <n v="167.99999999999997"/>
    <s v="35 mns"/>
    <x v="1"/>
    <n v="11"/>
    <x v="10"/>
  </r>
  <r>
    <d v="2023-11-28T00:00:00"/>
    <x v="0"/>
    <x v="0"/>
    <n v="2"/>
    <x v="0"/>
    <n v="33000"/>
    <n v="18000"/>
    <n v="66000"/>
    <n v="36000"/>
    <n v="29790"/>
    <n v="209.99999999999997"/>
    <s v="11 mns"/>
    <x v="3"/>
    <n v="11"/>
    <x v="10"/>
  </r>
  <r>
    <d v="2023-11-28T00:00:00"/>
    <x v="0"/>
    <x v="0"/>
    <n v="2"/>
    <x v="1"/>
    <n v="60000"/>
    <n v="31000"/>
    <n v="120000"/>
    <n v="62000"/>
    <n v="57594"/>
    <n v="405.99999999999994"/>
    <s v="11 mns"/>
    <x v="3"/>
    <n v="11"/>
    <x v="10"/>
  </r>
  <r>
    <d v="2023-11-28T00:00:00"/>
    <x v="0"/>
    <x v="0"/>
    <n v="2"/>
    <x v="2"/>
    <n v="89000"/>
    <n v="65000"/>
    <n v="178000"/>
    <n v="130000"/>
    <n v="47664"/>
    <n v="335.99999999999994"/>
    <s v="11 mns"/>
    <x v="3"/>
    <n v="11"/>
    <x v="10"/>
  </r>
  <r>
    <d v="2023-11-28T00:00:00"/>
    <x v="1"/>
    <x v="1"/>
    <n v="2"/>
    <x v="2"/>
    <n v="89000"/>
    <n v="65000"/>
    <n v="178000"/>
    <n v="130000"/>
    <n v="47664"/>
    <n v="335.99999999999994"/>
    <s v="58 mns"/>
    <x v="0"/>
    <n v="11"/>
    <x v="10"/>
  </r>
  <r>
    <d v="2023-11-28T00:00:00"/>
    <x v="2"/>
    <x v="2"/>
    <n v="2"/>
    <x v="0"/>
    <n v="33000"/>
    <n v="18000"/>
    <n v="66000"/>
    <n v="36000"/>
    <n v="29790"/>
    <n v="209.99999999999997"/>
    <s v="30 mns"/>
    <x v="3"/>
    <n v="11"/>
    <x v="10"/>
  </r>
  <r>
    <d v="2023-11-28T00:00:00"/>
    <x v="2"/>
    <x v="2"/>
    <n v="2"/>
    <x v="1"/>
    <n v="60000"/>
    <n v="31000"/>
    <n v="120000"/>
    <n v="62000"/>
    <n v="57594"/>
    <n v="405.99999999999994"/>
    <s v="30 mns"/>
    <x v="0"/>
    <n v="11"/>
    <x v="10"/>
  </r>
  <r>
    <d v="2023-11-28T00:00:00"/>
    <x v="2"/>
    <x v="2"/>
    <n v="2"/>
    <x v="2"/>
    <n v="89000"/>
    <n v="65000"/>
    <n v="178000"/>
    <n v="130000"/>
    <n v="47664"/>
    <n v="335.99999999999994"/>
    <s v="30 mns"/>
    <x v="3"/>
    <n v="11"/>
    <x v="10"/>
  </r>
  <r>
    <d v="2023-11-28T00:00:00"/>
    <x v="3"/>
    <x v="3"/>
    <n v="2"/>
    <x v="0"/>
    <n v="33000"/>
    <n v="18000"/>
    <n v="66000"/>
    <n v="36000"/>
    <n v="29790"/>
    <n v="209.99999999999997"/>
    <s v="35 mns"/>
    <x v="1"/>
    <n v="11"/>
    <x v="10"/>
  </r>
  <r>
    <d v="2023-11-28T00:00:00"/>
    <x v="3"/>
    <x v="3"/>
    <n v="2"/>
    <x v="1"/>
    <n v="60000"/>
    <n v="31000"/>
    <n v="120000"/>
    <n v="62000"/>
    <n v="57594"/>
    <n v="405.99999999999994"/>
    <s v="35 mns"/>
    <x v="3"/>
    <n v="11"/>
    <x v="10"/>
  </r>
  <r>
    <d v="2023-11-28T00:00:00"/>
    <x v="3"/>
    <x v="3"/>
    <n v="2"/>
    <x v="2"/>
    <n v="89000"/>
    <n v="65000"/>
    <n v="178000"/>
    <n v="130000"/>
    <n v="47664"/>
    <n v="335.99999999999994"/>
    <s v="35 mns"/>
    <x v="1"/>
    <n v="11"/>
    <x v="10"/>
  </r>
  <r>
    <d v="2023-11-29T00:00:00"/>
    <x v="0"/>
    <x v="0"/>
    <n v="2"/>
    <x v="0"/>
    <n v="33000"/>
    <n v="18000"/>
    <n v="66000"/>
    <n v="36000"/>
    <n v="29790"/>
    <n v="209.99999999999997"/>
    <s v="11 mns"/>
    <x v="3"/>
    <n v="11"/>
    <x v="10"/>
  </r>
  <r>
    <d v="2023-11-29T00:00:00"/>
    <x v="0"/>
    <x v="0"/>
    <n v="2"/>
    <x v="1"/>
    <n v="60000"/>
    <n v="31000"/>
    <n v="120000"/>
    <n v="62000"/>
    <n v="57594"/>
    <n v="405.99999999999994"/>
    <s v="11 mns"/>
    <x v="3"/>
    <n v="11"/>
    <x v="10"/>
  </r>
  <r>
    <d v="2023-11-29T00:00:00"/>
    <x v="0"/>
    <x v="0"/>
    <n v="2"/>
    <x v="2"/>
    <n v="89000"/>
    <n v="65000"/>
    <n v="178000"/>
    <n v="130000"/>
    <n v="47664"/>
    <n v="335.99999999999994"/>
    <s v="11 mns"/>
    <x v="0"/>
    <n v="11"/>
    <x v="10"/>
  </r>
  <r>
    <d v="2023-11-29T00:00:00"/>
    <x v="1"/>
    <x v="1"/>
    <n v="2"/>
    <x v="2"/>
    <n v="89000"/>
    <n v="65000"/>
    <n v="178000"/>
    <n v="130000"/>
    <n v="47664"/>
    <n v="335.99999999999994"/>
    <s v="58 mns"/>
    <x v="0"/>
    <n v="11"/>
    <x v="10"/>
  </r>
  <r>
    <d v="2023-11-29T00:00:00"/>
    <x v="2"/>
    <x v="2"/>
    <n v="2"/>
    <x v="0"/>
    <n v="33000"/>
    <n v="18000"/>
    <n v="66000"/>
    <n v="36000"/>
    <n v="29790"/>
    <n v="209.99999999999997"/>
    <s v="30 mns"/>
    <x v="3"/>
    <n v="11"/>
    <x v="10"/>
  </r>
  <r>
    <d v="2023-11-29T00:00:00"/>
    <x v="2"/>
    <x v="2"/>
    <n v="2"/>
    <x v="1"/>
    <n v="60000"/>
    <n v="31000"/>
    <n v="120000"/>
    <n v="62000"/>
    <n v="57594"/>
    <n v="405.99999999999994"/>
    <s v="30 mns"/>
    <x v="1"/>
    <n v="11"/>
    <x v="10"/>
  </r>
  <r>
    <d v="2023-11-29T00:00:00"/>
    <x v="2"/>
    <x v="2"/>
    <n v="2"/>
    <x v="2"/>
    <n v="89000"/>
    <n v="65000"/>
    <n v="178000"/>
    <n v="130000"/>
    <n v="47664"/>
    <n v="335.99999999999994"/>
    <s v="30 mns"/>
    <x v="3"/>
    <n v="11"/>
    <x v="10"/>
  </r>
  <r>
    <d v="2023-11-29T00:00:00"/>
    <x v="3"/>
    <x v="3"/>
    <n v="2"/>
    <x v="0"/>
    <n v="33000"/>
    <n v="18000"/>
    <n v="66000"/>
    <n v="36000"/>
    <n v="29790"/>
    <n v="209.99999999999997"/>
    <s v="35 mns"/>
    <x v="3"/>
    <n v="11"/>
    <x v="10"/>
  </r>
  <r>
    <d v="2023-11-29T00:00:00"/>
    <x v="3"/>
    <x v="3"/>
    <n v="2"/>
    <x v="1"/>
    <n v="60000"/>
    <n v="31000"/>
    <n v="120000"/>
    <n v="62000"/>
    <n v="57594"/>
    <n v="405.99999999999994"/>
    <s v="35 mns"/>
    <x v="3"/>
    <n v="11"/>
    <x v="10"/>
  </r>
  <r>
    <d v="2023-11-29T00:00:00"/>
    <x v="3"/>
    <x v="3"/>
    <n v="2"/>
    <x v="2"/>
    <n v="89000"/>
    <n v="65000"/>
    <n v="178000"/>
    <n v="130000"/>
    <n v="47664"/>
    <n v="335.99999999999994"/>
    <s v="35 mns"/>
    <x v="0"/>
    <n v="11"/>
    <x v="10"/>
  </r>
  <r>
    <d v="2023-11-30T00:00:00"/>
    <x v="0"/>
    <x v="0"/>
    <n v="1"/>
    <x v="0"/>
    <n v="33000"/>
    <n v="18000"/>
    <n v="33000"/>
    <n v="18000"/>
    <n v="14895"/>
    <n v="104.99999999999999"/>
    <s v="11 mns"/>
    <x v="3"/>
    <n v="11"/>
    <x v="10"/>
  </r>
  <r>
    <d v="2023-11-30T00:00:00"/>
    <x v="0"/>
    <x v="0"/>
    <n v="1"/>
    <x v="1"/>
    <n v="60000"/>
    <n v="31000"/>
    <n v="60000"/>
    <n v="31000"/>
    <n v="28797"/>
    <n v="202.99999999999997"/>
    <s v="11 mns"/>
    <x v="2"/>
    <n v="11"/>
    <x v="10"/>
  </r>
  <r>
    <d v="2023-11-30T00:00:00"/>
    <x v="0"/>
    <x v="0"/>
    <n v="1"/>
    <x v="2"/>
    <n v="89000"/>
    <n v="65000"/>
    <n v="89000"/>
    <n v="65000"/>
    <n v="23832"/>
    <n v="167.99999999999997"/>
    <s v="11 mns"/>
    <x v="1"/>
    <n v="11"/>
    <x v="10"/>
  </r>
  <r>
    <d v="2023-11-30T00:00:00"/>
    <x v="1"/>
    <x v="1"/>
    <n v="1"/>
    <x v="2"/>
    <n v="89000"/>
    <n v="65000"/>
    <n v="89000"/>
    <n v="65000"/>
    <n v="23832"/>
    <n v="167.99999999999997"/>
    <s v="58 mns"/>
    <x v="2"/>
    <n v="11"/>
    <x v="10"/>
  </r>
  <r>
    <d v="2023-11-30T00:00:00"/>
    <x v="2"/>
    <x v="2"/>
    <n v="1"/>
    <x v="0"/>
    <n v="33000"/>
    <n v="18000"/>
    <n v="33000"/>
    <n v="18000"/>
    <n v="14895"/>
    <n v="104.99999999999999"/>
    <s v="30 mns"/>
    <x v="1"/>
    <n v="11"/>
    <x v="10"/>
  </r>
  <r>
    <d v="2023-11-30T00:00:00"/>
    <x v="2"/>
    <x v="2"/>
    <n v="1"/>
    <x v="1"/>
    <n v="60000"/>
    <n v="31000"/>
    <n v="60000"/>
    <n v="31000"/>
    <n v="28797"/>
    <n v="202.99999999999997"/>
    <s v="30 mns"/>
    <x v="3"/>
    <n v="11"/>
    <x v="10"/>
  </r>
  <r>
    <d v="2023-11-30T00:00:00"/>
    <x v="2"/>
    <x v="2"/>
    <n v="1"/>
    <x v="2"/>
    <n v="89000"/>
    <n v="65000"/>
    <n v="89000"/>
    <n v="65000"/>
    <n v="23832"/>
    <n v="167.99999999999997"/>
    <s v="30 mns"/>
    <x v="1"/>
    <n v="11"/>
    <x v="10"/>
  </r>
  <r>
    <d v="2023-11-30T00:00:00"/>
    <x v="3"/>
    <x v="3"/>
    <n v="1"/>
    <x v="0"/>
    <n v="33000"/>
    <n v="18000"/>
    <n v="33000"/>
    <n v="18000"/>
    <n v="14895"/>
    <n v="104.99999999999999"/>
    <s v="35 mns"/>
    <x v="3"/>
    <n v="11"/>
    <x v="10"/>
  </r>
  <r>
    <d v="2023-11-30T00:00:00"/>
    <x v="3"/>
    <x v="3"/>
    <n v="1"/>
    <x v="1"/>
    <n v="60000"/>
    <n v="31000"/>
    <n v="60000"/>
    <n v="31000"/>
    <n v="28797"/>
    <n v="202.99999999999997"/>
    <s v="35 mns"/>
    <x v="1"/>
    <n v="11"/>
    <x v="10"/>
  </r>
  <r>
    <d v="2023-11-30T00:00:00"/>
    <x v="3"/>
    <x v="3"/>
    <n v="1"/>
    <x v="2"/>
    <n v="89000"/>
    <n v="65000"/>
    <n v="89000"/>
    <n v="65000"/>
    <n v="23832"/>
    <n v="167.99999999999997"/>
    <s v="35 mns"/>
    <x v="0"/>
    <n v="11"/>
    <x v="10"/>
  </r>
  <r>
    <d v="2023-12-01T00:00:00"/>
    <x v="0"/>
    <x v="0"/>
    <n v="1"/>
    <x v="0"/>
    <n v="33000"/>
    <n v="18000"/>
    <n v="33000"/>
    <n v="18000"/>
    <n v="14895"/>
    <n v="104.99999999999999"/>
    <s v="11 mns"/>
    <x v="0"/>
    <n v="12"/>
    <x v="11"/>
  </r>
  <r>
    <d v="2023-12-01T00:00:00"/>
    <x v="0"/>
    <x v="0"/>
    <n v="1"/>
    <x v="1"/>
    <n v="60000"/>
    <n v="31000"/>
    <n v="60000"/>
    <n v="31000"/>
    <n v="28797"/>
    <n v="202.99999999999997"/>
    <s v="11 mns"/>
    <x v="3"/>
    <n v="12"/>
    <x v="11"/>
  </r>
  <r>
    <d v="2023-12-01T00:00:00"/>
    <x v="0"/>
    <x v="0"/>
    <n v="1"/>
    <x v="2"/>
    <n v="89000"/>
    <n v="65000"/>
    <n v="89000"/>
    <n v="65000"/>
    <n v="23832"/>
    <n v="167.99999999999997"/>
    <s v="11 mns"/>
    <x v="0"/>
    <n v="12"/>
    <x v="11"/>
  </r>
  <r>
    <d v="2023-12-01T00:00:00"/>
    <x v="1"/>
    <x v="1"/>
    <n v="1"/>
    <x v="0"/>
    <n v="33000"/>
    <n v="18000"/>
    <n v="33000"/>
    <n v="18000"/>
    <n v="14895"/>
    <n v="104.99999999999999"/>
    <s v="58 mns"/>
    <x v="1"/>
    <n v="12"/>
    <x v="11"/>
  </r>
  <r>
    <d v="2023-12-01T00:00:00"/>
    <x v="1"/>
    <x v="1"/>
    <n v="1"/>
    <x v="2"/>
    <n v="89000"/>
    <n v="65000"/>
    <n v="89000"/>
    <n v="65000"/>
    <n v="23832"/>
    <n v="167.99999999999997"/>
    <s v="58 mns"/>
    <x v="1"/>
    <n v="12"/>
    <x v="11"/>
  </r>
  <r>
    <d v="2023-12-01T00:00:00"/>
    <x v="2"/>
    <x v="2"/>
    <n v="1"/>
    <x v="0"/>
    <n v="33000"/>
    <n v="18000"/>
    <n v="33000"/>
    <n v="18000"/>
    <n v="14895"/>
    <n v="104.99999999999999"/>
    <s v="30 mns"/>
    <x v="3"/>
    <n v="12"/>
    <x v="11"/>
  </r>
  <r>
    <d v="2023-12-01T00:00:00"/>
    <x v="2"/>
    <x v="2"/>
    <n v="1"/>
    <x v="1"/>
    <n v="60000"/>
    <n v="31000"/>
    <n v="60000"/>
    <n v="31000"/>
    <n v="28797"/>
    <n v="202.99999999999997"/>
    <s v="30 mns"/>
    <x v="3"/>
    <n v="12"/>
    <x v="11"/>
  </r>
  <r>
    <d v="2023-12-01T00:00:00"/>
    <x v="2"/>
    <x v="2"/>
    <n v="1"/>
    <x v="2"/>
    <n v="89000"/>
    <n v="65000"/>
    <n v="89000"/>
    <n v="65000"/>
    <n v="23832"/>
    <n v="167.99999999999997"/>
    <s v="30 mns"/>
    <x v="3"/>
    <n v="12"/>
    <x v="11"/>
  </r>
  <r>
    <d v="2023-12-01T00:00:00"/>
    <x v="3"/>
    <x v="3"/>
    <n v="1"/>
    <x v="0"/>
    <n v="33000"/>
    <n v="18000"/>
    <n v="33000"/>
    <n v="18000"/>
    <n v="14895"/>
    <n v="104.99999999999999"/>
    <s v="35 mns"/>
    <x v="1"/>
    <n v="12"/>
    <x v="11"/>
  </r>
  <r>
    <d v="2023-12-01T00:00:00"/>
    <x v="3"/>
    <x v="3"/>
    <n v="1"/>
    <x v="1"/>
    <n v="60000"/>
    <n v="31000"/>
    <n v="60000"/>
    <n v="31000"/>
    <n v="28797"/>
    <n v="202.99999999999997"/>
    <s v="35 mns"/>
    <x v="3"/>
    <n v="12"/>
    <x v="11"/>
  </r>
  <r>
    <d v="2023-12-01T00:00:00"/>
    <x v="3"/>
    <x v="3"/>
    <n v="1"/>
    <x v="2"/>
    <n v="89000"/>
    <n v="65000"/>
    <n v="89000"/>
    <n v="65000"/>
    <n v="23832"/>
    <n v="167.99999999999997"/>
    <s v="35 mns"/>
    <x v="1"/>
    <n v="12"/>
    <x v="11"/>
  </r>
  <r>
    <d v="2023-12-02T00:00:00"/>
    <x v="0"/>
    <x v="0"/>
    <n v="2"/>
    <x v="0"/>
    <n v="33000"/>
    <n v="18000"/>
    <n v="66000"/>
    <n v="36000"/>
    <n v="29790"/>
    <n v="209.99999999999997"/>
    <s v="11 mns"/>
    <x v="1"/>
    <n v="12"/>
    <x v="11"/>
  </r>
  <r>
    <d v="2023-12-02T00:00:00"/>
    <x v="0"/>
    <x v="0"/>
    <n v="2"/>
    <x v="1"/>
    <n v="60000"/>
    <n v="31000"/>
    <n v="120000"/>
    <n v="62000"/>
    <n v="57594"/>
    <n v="405.99999999999994"/>
    <s v="11 mns"/>
    <x v="1"/>
    <n v="12"/>
    <x v="11"/>
  </r>
  <r>
    <d v="2023-12-02T00:00:00"/>
    <x v="0"/>
    <x v="0"/>
    <n v="2"/>
    <x v="2"/>
    <n v="89000"/>
    <n v="65000"/>
    <n v="178000"/>
    <n v="130000"/>
    <n v="47664"/>
    <n v="335.99999999999994"/>
    <s v="11 mns"/>
    <x v="0"/>
    <n v="12"/>
    <x v="11"/>
  </r>
  <r>
    <d v="2023-12-02T00:00:00"/>
    <x v="1"/>
    <x v="1"/>
    <n v="2"/>
    <x v="0"/>
    <n v="33000"/>
    <n v="18000"/>
    <n v="66000"/>
    <n v="36000"/>
    <n v="29790"/>
    <n v="209.99999999999997"/>
    <s v="58 mns"/>
    <x v="1"/>
    <n v="12"/>
    <x v="11"/>
  </r>
  <r>
    <d v="2023-12-02T00:00:00"/>
    <x v="1"/>
    <x v="1"/>
    <n v="2"/>
    <x v="2"/>
    <n v="89000"/>
    <n v="65000"/>
    <n v="178000"/>
    <n v="130000"/>
    <n v="47664"/>
    <n v="335.99999999999994"/>
    <s v="58 mns"/>
    <x v="3"/>
    <n v="12"/>
    <x v="11"/>
  </r>
  <r>
    <d v="2023-12-02T00:00:00"/>
    <x v="2"/>
    <x v="2"/>
    <n v="2"/>
    <x v="0"/>
    <n v="33000"/>
    <n v="18000"/>
    <n v="66000"/>
    <n v="36000"/>
    <n v="29790"/>
    <n v="209.99999999999997"/>
    <s v="30 mns"/>
    <x v="3"/>
    <n v="12"/>
    <x v="11"/>
  </r>
  <r>
    <d v="2023-12-02T00:00:00"/>
    <x v="2"/>
    <x v="2"/>
    <n v="2"/>
    <x v="1"/>
    <n v="60000"/>
    <n v="31000"/>
    <n v="120000"/>
    <n v="62000"/>
    <n v="57594"/>
    <n v="405.99999999999994"/>
    <s v="30 mns"/>
    <x v="3"/>
    <n v="12"/>
    <x v="11"/>
  </r>
  <r>
    <d v="2023-12-02T00:00:00"/>
    <x v="2"/>
    <x v="2"/>
    <n v="2"/>
    <x v="2"/>
    <n v="89000"/>
    <n v="65000"/>
    <n v="178000"/>
    <n v="130000"/>
    <n v="47664"/>
    <n v="335.99999999999994"/>
    <s v="30 mns"/>
    <x v="0"/>
    <n v="12"/>
    <x v="11"/>
  </r>
  <r>
    <d v="2023-12-02T00:00:00"/>
    <x v="3"/>
    <x v="3"/>
    <n v="2"/>
    <x v="0"/>
    <n v="33000"/>
    <n v="18000"/>
    <n v="66000"/>
    <n v="36000"/>
    <n v="29790"/>
    <n v="209.99999999999997"/>
    <s v="35 mns"/>
    <x v="3"/>
    <n v="12"/>
    <x v="11"/>
  </r>
  <r>
    <d v="2023-12-02T00:00:00"/>
    <x v="3"/>
    <x v="3"/>
    <n v="2"/>
    <x v="1"/>
    <n v="60000"/>
    <n v="31000"/>
    <n v="120000"/>
    <n v="62000"/>
    <n v="57594"/>
    <n v="405.99999999999994"/>
    <s v="35 mns"/>
    <x v="1"/>
    <n v="12"/>
    <x v="11"/>
  </r>
  <r>
    <d v="2023-12-02T00:00:00"/>
    <x v="3"/>
    <x v="3"/>
    <n v="2"/>
    <x v="2"/>
    <n v="89000"/>
    <n v="65000"/>
    <n v="178000"/>
    <n v="130000"/>
    <n v="47664"/>
    <n v="335.99999999999994"/>
    <s v="35 mns"/>
    <x v="3"/>
    <n v="12"/>
    <x v="11"/>
  </r>
  <r>
    <d v="2023-12-03T00:00:00"/>
    <x v="0"/>
    <x v="0"/>
    <n v="1"/>
    <x v="0"/>
    <n v="33000"/>
    <n v="18000"/>
    <n v="33000"/>
    <n v="18000"/>
    <n v="14895"/>
    <n v="104.99999999999999"/>
    <s v="11 mns"/>
    <x v="3"/>
    <n v="12"/>
    <x v="11"/>
  </r>
  <r>
    <d v="2023-12-03T00:00:00"/>
    <x v="0"/>
    <x v="0"/>
    <n v="1"/>
    <x v="1"/>
    <n v="60000"/>
    <n v="31000"/>
    <n v="60000"/>
    <n v="31000"/>
    <n v="28797"/>
    <n v="202.99999999999997"/>
    <s v="11 mns"/>
    <x v="0"/>
    <n v="12"/>
    <x v="11"/>
  </r>
  <r>
    <d v="2023-12-03T00:00:00"/>
    <x v="0"/>
    <x v="0"/>
    <n v="1"/>
    <x v="2"/>
    <n v="89000"/>
    <n v="65000"/>
    <n v="89000"/>
    <n v="65000"/>
    <n v="23832"/>
    <n v="167.99999999999997"/>
    <s v="11 mns"/>
    <x v="3"/>
    <n v="12"/>
    <x v="11"/>
  </r>
  <r>
    <d v="2023-12-03T00:00:00"/>
    <x v="1"/>
    <x v="1"/>
    <n v="1"/>
    <x v="0"/>
    <n v="33000"/>
    <n v="18000"/>
    <n v="33000"/>
    <n v="18000"/>
    <n v="14895"/>
    <n v="104.99999999999999"/>
    <s v="58 mns"/>
    <x v="3"/>
    <n v="12"/>
    <x v="11"/>
  </r>
  <r>
    <d v="2023-12-03T00:00:00"/>
    <x v="1"/>
    <x v="1"/>
    <n v="1"/>
    <x v="2"/>
    <n v="89000"/>
    <n v="65000"/>
    <n v="89000"/>
    <n v="65000"/>
    <n v="23832"/>
    <n v="167.99999999999997"/>
    <s v="58 mns"/>
    <x v="3"/>
    <n v="12"/>
    <x v="11"/>
  </r>
  <r>
    <d v="2023-12-03T00:00:00"/>
    <x v="2"/>
    <x v="2"/>
    <n v="1"/>
    <x v="0"/>
    <n v="33000"/>
    <n v="18000"/>
    <n v="33000"/>
    <n v="18000"/>
    <n v="14895"/>
    <n v="104.99999999999999"/>
    <s v="30 mns"/>
    <x v="1"/>
    <n v="12"/>
    <x v="11"/>
  </r>
  <r>
    <d v="2023-12-03T00:00:00"/>
    <x v="2"/>
    <x v="2"/>
    <n v="1"/>
    <x v="1"/>
    <n v="60000"/>
    <n v="31000"/>
    <n v="60000"/>
    <n v="31000"/>
    <n v="28797"/>
    <n v="202.99999999999997"/>
    <s v="30 mns"/>
    <x v="1"/>
    <n v="12"/>
    <x v="11"/>
  </r>
  <r>
    <d v="2023-12-03T00:00:00"/>
    <x v="2"/>
    <x v="2"/>
    <n v="1"/>
    <x v="2"/>
    <n v="89000"/>
    <n v="65000"/>
    <n v="89000"/>
    <n v="65000"/>
    <n v="23832"/>
    <n v="167.99999999999997"/>
    <s v="30 mns"/>
    <x v="3"/>
    <n v="12"/>
    <x v="11"/>
  </r>
  <r>
    <d v="2023-12-03T00:00:00"/>
    <x v="3"/>
    <x v="3"/>
    <n v="1"/>
    <x v="0"/>
    <n v="33000"/>
    <n v="18000"/>
    <n v="33000"/>
    <n v="18000"/>
    <n v="14895"/>
    <n v="104.99999999999999"/>
    <s v="35 mns"/>
    <x v="1"/>
    <n v="12"/>
    <x v="11"/>
  </r>
  <r>
    <d v="2023-12-03T00:00:00"/>
    <x v="3"/>
    <x v="3"/>
    <n v="1"/>
    <x v="1"/>
    <n v="60000"/>
    <n v="31000"/>
    <n v="60000"/>
    <n v="31000"/>
    <n v="28797"/>
    <n v="202.99999999999997"/>
    <s v="35 mns"/>
    <x v="3"/>
    <n v="12"/>
    <x v="11"/>
  </r>
  <r>
    <d v="2023-12-03T00:00:00"/>
    <x v="3"/>
    <x v="3"/>
    <n v="1"/>
    <x v="2"/>
    <n v="89000"/>
    <n v="65000"/>
    <n v="89000"/>
    <n v="65000"/>
    <n v="23832"/>
    <n v="167.99999999999997"/>
    <s v="35 mns"/>
    <x v="1"/>
    <n v="12"/>
    <x v="11"/>
  </r>
  <r>
    <d v="2023-12-04T00:00:00"/>
    <x v="0"/>
    <x v="0"/>
    <n v="2"/>
    <x v="0"/>
    <n v="33000"/>
    <n v="18000"/>
    <n v="66000"/>
    <n v="36000"/>
    <n v="29790"/>
    <n v="209.99999999999997"/>
    <s v="11 mns"/>
    <x v="1"/>
    <n v="12"/>
    <x v="11"/>
  </r>
  <r>
    <d v="2023-12-04T00:00:00"/>
    <x v="0"/>
    <x v="0"/>
    <n v="2"/>
    <x v="1"/>
    <n v="60000"/>
    <n v="31000"/>
    <n v="120000"/>
    <n v="62000"/>
    <n v="57594"/>
    <n v="405.99999999999994"/>
    <s v="11 mns"/>
    <x v="3"/>
    <n v="12"/>
    <x v="11"/>
  </r>
  <r>
    <d v="2023-12-04T00:00:00"/>
    <x v="0"/>
    <x v="0"/>
    <n v="2"/>
    <x v="2"/>
    <n v="89000"/>
    <n v="65000"/>
    <n v="178000"/>
    <n v="130000"/>
    <n v="47664"/>
    <n v="335.99999999999994"/>
    <s v="11 mns"/>
    <x v="0"/>
    <n v="12"/>
    <x v="11"/>
  </r>
  <r>
    <d v="2023-12-04T00:00:00"/>
    <x v="1"/>
    <x v="1"/>
    <n v="2"/>
    <x v="0"/>
    <n v="33000"/>
    <n v="18000"/>
    <n v="66000"/>
    <n v="36000"/>
    <n v="29790"/>
    <n v="209.99999999999997"/>
    <s v="58 mns"/>
    <x v="2"/>
    <n v="12"/>
    <x v="11"/>
  </r>
  <r>
    <d v="2023-12-04T00:00:00"/>
    <x v="2"/>
    <x v="2"/>
    <n v="2"/>
    <x v="0"/>
    <n v="33000"/>
    <n v="18000"/>
    <n v="66000"/>
    <n v="36000"/>
    <n v="29790"/>
    <n v="209.99999999999997"/>
    <s v="30 mns"/>
    <x v="0"/>
    <n v="12"/>
    <x v="11"/>
  </r>
  <r>
    <d v="2023-12-04T00:00:00"/>
    <x v="2"/>
    <x v="2"/>
    <n v="2"/>
    <x v="1"/>
    <n v="60000"/>
    <n v="31000"/>
    <n v="120000"/>
    <n v="62000"/>
    <n v="57594"/>
    <n v="405.99999999999994"/>
    <s v="30 mns"/>
    <x v="1"/>
    <n v="12"/>
    <x v="11"/>
  </r>
  <r>
    <d v="2023-12-04T00:00:00"/>
    <x v="2"/>
    <x v="2"/>
    <n v="2"/>
    <x v="2"/>
    <n v="89000"/>
    <n v="65000"/>
    <n v="178000"/>
    <n v="130000"/>
    <n v="47664"/>
    <n v="335.99999999999994"/>
    <s v="30 mns"/>
    <x v="0"/>
    <n v="12"/>
    <x v="11"/>
  </r>
  <r>
    <d v="2023-12-04T00:00:00"/>
    <x v="3"/>
    <x v="3"/>
    <n v="2"/>
    <x v="0"/>
    <n v="33000"/>
    <n v="18000"/>
    <n v="66000"/>
    <n v="36000"/>
    <n v="29790"/>
    <n v="209.99999999999997"/>
    <s v="35 mns"/>
    <x v="0"/>
    <n v="12"/>
    <x v="11"/>
  </r>
  <r>
    <d v="2023-12-04T00:00:00"/>
    <x v="3"/>
    <x v="3"/>
    <n v="2"/>
    <x v="1"/>
    <n v="60000"/>
    <n v="31000"/>
    <n v="120000"/>
    <n v="62000"/>
    <n v="57594"/>
    <n v="405.99999999999994"/>
    <s v="35 mns"/>
    <x v="0"/>
    <n v="12"/>
    <x v="11"/>
  </r>
  <r>
    <d v="2023-12-04T00:00:00"/>
    <x v="3"/>
    <x v="3"/>
    <n v="2"/>
    <x v="2"/>
    <n v="89000"/>
    <n v="65000"/>
    <n v="178000"/>
    <n v="130000"/>
    <n v="47664"/>
    <n v="335.99999999999994"/>
    <s v="35 mns"/>
    <x v="0"/>
    <n v="12"/>
    <x v="11"/>
  </r>
  <r>
    <d v="2023-12-05T00:00:00"/>
    <x v="0"/>
    <x v="0"/>
    <n v="2"/>
    <x v="0"/>
    <n v="33000"/>
    <n v="18000"/>
    <n v="66000"/>
    <n v="36000"/>
    <n v="29790"/>
    <n v="209.99999999999997"/>
    <s v="11 mns"/>
    <x v="3"/>
    <n v="12"/>
    <x v="11"/>
  </r>
  <r>
    <d v="2023-12-05T00:00:00"/>
    <x v="0"/>
    <x v="0"/>
    <n v="2"/>
    <x v="1"/>
    <n v="60000"/>
    <n v="31000"/>
    <n v="120000"/>
    <n v="62000"/>
    <n v="57594"/>
    <n v="405.99999999999994"/>
    <s v="11 mns"/>
    <x v="1"/>
    <n v="12"/>
    <x v="11"/>
  </r>
  <r>
    <d v="2023-12-05T00:00:00"/>
    <x v="0"/>
    <x v="0"/>
    <n v="2"/>
    <x v="2"/>
    <n v="89000"/>
    <n v="65000"/>
    <n v="178000"/>
    <n v="130000"/>
    <n v="47664"/>
    <n v="335.99999999999994"/>
    <s v="11 mns"/>
    <x v="1"/>
    <n v="12"/>
    <x v="11"/>
  </r>
  <r>
    <d v="2023-12-05T00:00:00"/>
    <x v="1"/>
    <x v="1"/>
    <n v="2"/>
    <x v="0"/>
    <n v="33000"/>
    <n v="18000"/>
    <n v="66000"/>
    <n v="36000"/>
    <n v="29790"/>
    <n v="209.99999999999997"/>
    <s v="58 mns"/>
    <x v="1"/>
    <n v="12"/>
    <x v="11"/>
  </r>
  <r>
    <d v="2023-12-05T00:00:00"/>
    <x v="2"/>
    <x v="2"/>
    <n v="2"/>
    <x v="1"/>
    <n v="60000"/>
    <n v="31000"/>
    <n v="120000"/>
    <n v="62000"/>
    <n v="57594"/>
    <n v="405.99999999999994"/>
    <s v="30 mns"/>
    <x v="0"/>
    <n v="12"/>
    <x v="11"/>
  </r>
  <r>
    <d v="2023-12-05T00:00:00"/>
    <x v="2"/>
    <x v="2"/>
    <n v="2"/>
    <x v="2"/>
    <n v="89000"/>
    <n v="65000"/>
    <n v="178000"/>
    <n v="130000"/>
    <n v="47664"/>
    <n v="335.99999999999994"/>
    <s v="30 mns"/>
    <x v="2"/>
    <n v="12"/>
    <x v="11"/>
  </r>
  <r>
    <d v="2023-12-05T00:00:00"/>
    <x v="3"/>
    <x v="3"/>
    <n v="2"/>
    <x v="0"/>
    <n v="33000"/>
    <n v="18000"/>
    <n v="66000"/>
    <n v="36000"/>
    <n v="29790"/>
    <n v="209.99999999999997"/>
    <s v="35 mns"/>
    <x v="2"/>
    <n v="12"/>
    <x v="11"/>
  </r>
  <r>
    <d v="2023-12-05T00:00:00"/>
    <x v="3"/>
    <x v="3"/>
    <n v="2"/>
    <x v="1"/>
    <n v="60000"/>
    <n v="31000"/>
    <n v="120000"/>
    <n v="62000"/>
    <n v="57594"/>
    <n v="405.99999999999994"/>
    <s v="35 mns"/>
    <x v="1"/>
    <n v="12"/>
    <x v="11"/>
  </r>
  <r>
    <d v="2023-12-05T00:00:00"/>
    <x v="3"/>
    <x v="3"/>
    <n v="2"/>
    <x v="2"/>
    <n v="89000"/>
    <n v="65000"/>
    <n v="178000"/>
    <n v="130000"/>
    <n v="47664"/>
    <n v="335.99999999999994"/>
    <s v="35 mns"/>
    <x v="1"/>
    <n v="12"/>
    <x v="11"/>
  </r>
  <r>
    <d v="2023-12-06T00:00:00"/>
    <x v="0"/>
    <x v="0"/>
    <n v="1"/>
    <x v="0"/>
    <n v="33000"/>
    <n v="18000"/>
    <n v="33000"/>
    <n v="18000"/>
    <n v="14895"/>
    <n v="104.99999999999999"/>
    <s v="11 mns"/>
    <x v="3"/>
    <n v="12"/>
    <x v="11"/>
  </r>
  <r>
    <d v="2023-12-06T00:00:00"/>
    <x v="0"/>
    <x v="0"/>
    <n v="1"/>
    <x v="1"/>
    <n v="60000"/>
    <n v="31000"/>
    <n v="60000"/>
    <n v="31000"/>
    <n v="28797"/>
    <n v="202.99999999999997"/>
    <s v="11 mns"/>
    <x v="1"/>
    <n v="12"/>
    <x v="11"/>
  </r>
  <r>
    <d v="2023-12-06T00:00:00"/>
    <x v="0"/>
    <x v="0"/>
    <n v="1"/>
    <x v="2"/>
    <n v="89000"/>
    <n v="65000"/>
    <n v="89000"/>
    <n v="65000"/>
    <n v="23832"/>
    <n v="167.99999999999997"/>
    <s v="11 mns"/>
    <x v="3"/>
    <n v="12"/>
    <x v="11"/>
  </r>
  <r>
    <d v="2023-12-06T00:00:00"/>
    <x v="2"/>
    <x v="2"/>
    <n v="1"/>
    <x v="1"/>
    <n v="60000"/>
    <n v="31000"/>
    <n v="60000"/>
    <n v="31000"/>
    <n v="28797"/>
    <n v="202.99999999999997"/>
    <s v="30 mns"/>
    <x v="1"/>
    <n v="12"/>
    <x v="11"/>
  </r>
  <r>
    <d v="2023-12-06T00:00:00"/>
    <x v="2"/>
    <x v="2"/>
    <n v="1"/>
    <x v="2"/>
    <n v="89000"/>
    <n v="65000"/>
    <n v="89000"/>
    <n v="65000"/>
    <n v="23832"/>
    <n v="167.99999999999997"/>
    <s v="30 mns"/>
    <x v="3"/>
    <n v="12"/>
    <x v="11"/>
  </r>
  <r>
    <d v="2023-12-06T00:00:00"/>
    <x v="3"/>
    <x v="3"/>
    <n v="1"/>
    <x v="0"/>
    <n v="33000"/>
    <n v="18000"/>
    <n v="33000"/>
    <n v="18000"/>
    <n v="14895"/>
    <n v="104.99999999999999"/>
    <s v="35 mns"/>
    <x v="0"/>
    <n v="12"/>
    <x v="11"/>
  </r>
  <r>
    <d v="2023-12-06T00:00:00"/>
    <x v="3"/>
    <x v="3"/>
    <n v="1"/>
    <x v="1"/>
    <n v="60000"/>
    <n v="31000"/>
    <n v="60000"/>
    <n v="31000"/>
    <n v="28797"/>
    <n v="202.99999999999997"/>
    <s v="35 mns"/>
    <x v="3"/>
    <n v="12"/>
    <x v="11"/>
  </r>
  <r>
    <d v="2023-12-06T00:00:00"/>
    <x v="3"/>
    <x v="3"/>
    <n v="1"/>
    <x v="2"/>
    <n v="89000"/>
    <n v="65000"/>
    <n v="89000"/>
    <n v="65000"/>
    <n v="23832"/>
    <n v="167.99999999999997"/>
    <s v="35 mns"/>
    <x v="1"/>
    <n v="12"/>
    <x v="11"/>
  </r>
  <r>
    <d v="2023-12-07T00:00:00"/>
    <x v="0"/>
    <x v="0"/>
    <n v="1"/>
    <x v="0"/>
    <n v="33000"/>
    <n v="18000"/>
    <n v="33000"/>
    <n v="18000"/>
    <n v="14895"/>
    <n v="104.99999999999999"/>
    <s v="11 mns"/>
    <x v="3"/>
    <n v="12"/>
    <x v="11"/>
  </r>
  <r>
    <d v="2023-12-07T00:00:00"/>
    <x v="0"/>
    <x v="0"/>
    <n v="1"/>
    <x v="1"/>
    <n v="60000"/>
    <n v="31000"/>
    <n v="60000"/>
    <n v="31000"/>
    <n v="28797"/>
    <n v="202.99999999999997"/>
    <s v="11 mns"/>
    <x v="3"/>
    <n v="12"/>
    <x v="11"/>
  </r>
  <r>
    <d v="2023-12-07T00:00:00"/>
    <x v="0"/>
    <x v="0"/>
    <n v="1"/>
    <x v="2"/>
    <n v="89000"/>
    <n v="65000"/>
    <n v="89000"/>
    <n v="65000"/>
    <n v="23832"/>
    <n v="167.99999999999997"/>
    <s v="11 mns"/>
    <x v="0"/>
    <n v="12"/>
    <x v="11"/>
  </r>
  <r>
    <d v="2023-12-07T00:00:00"/>
    <x v="2"/>
    <x v="2"/>
    <n v="1"/>
    <x v="1"/>
    <n v="60000"/>
    <n v="31000"/>
    <n v="60000"/>
    <n v="31000"/>
    <n v="28797"/>
    <n v="202.99999999999997"/>
    <s v="30 mns"/>
    <x v="0"/>
    <n v="12"/>
    <x v="11"/>
  </r>
  <r>
    <d v="2023-12-07T00:00:00"/>
    <x v="2"/>
    <x v="2"/>
    <n v="1"/>
    <x v="2"/>
    <n v="89000"/>
    <n v="65000"/>
    <n v="89000"/>
    <n v="65000"/>
    <n v="23832"/>
    <n v="167.99999999999997"/>
    <s v="30 mns"/>
    <x v="0"/>
    <n v="12"/>
    <x v="11"/>
  </r>
  <r>
    <d v="2023-12-07T00:00:00"/>
    <x v="3"/>
    <x v="3"/>
    <n v="1"/>
    <x v="0"/>
    <n v="33000"/>
    <n v="18000"/>
    <n v="33000"/>
    <n v="18000"/>
    <n v="14895"/>
    <n v="104.99999999999999"/>
    <s v="35 mns"/>
    <x v="3"/>
    <n v="12"/>
    <x v="11"/>
  </r>
  <r>
    <d v="2023-12-07T00:00:00"/>
    <x v="3"/>
    <x v="3"/>
    <n v="1"/>
    <x v="1"/>
    <n v="60000"/>
    <n v="31000"/>
    <n v="60000"/>
    <n v="31000"/>
    <n v="28797"/>
    <n v="202.99999999999997"/>
    <s v="35 mns"/>
    <x v="3"/>
    <n v="12"/>
    <x v="11"/>
  </r>
  <r>
    <d v="2023-12-07T00:00:00"/>
    <x v="3"/>
    <x v="3"/>
    <n v="1"/>
    <x v="2"/>
    <n v="89000"/>
    <n v="65000"/>
    <n v="89000"/>
    <n v="65000"/>
    <n v="23832"/>
    <n v="167.99999999999997"/>
    <s v="35 mns"/>
    <x v="3"/>
    <n v="12"/>
    <x v="11"/>
  </r>
  <r>
    <d v="2023-12-08T00:00:00"/>
    <x v="0"/>
    <x v="0"/>
    <n v="1"/>
    <x v="0"/>
    <n v="33000"/>
    <n v="18000"/>
    <n v="33000"/>
    <n v="18000"/>
    <n v="14895"/>
    <n v="104.99999999999999"/>
    <s v="11 mns"/>
    <x v="3"/>
    <n v="12"/>
    <x v="11"/>
  </r>
  <r>
    <d v="2023-12-08T00:00:00"/>
    <x v="0"/>
    <x v="0"/>
    <n v="1"/>
    <x v="1"/>
    <n v="60000"/>
    <n v="31000"/>
    <n v="60000"/>
    <n v="31000"/>
    <n v="28797"/>
    <n v="202.99999999999997"/>
    <s v="11 mns"/>
    <x v="3"/>
    <n v="12"/>
    <x v="11"/>
  </r>
  <r>
    <d v="2023-12-08T00:00:00"/>
    <x v="0"/>
    <x v="0"/>
    <n v="1"/>
    <x v="2"/>
    <n v="89000"/>
    <n v="65000"/>
    <n v="89000"/>
    <n v="65000"/>
    <n v="23832"/>
    <n v="167.99999999999997"/>
    <s v="11 mns"/>
    <x v="0"/>
    <n v="12"/>
    <x v="11"/>
  </r>
  <r>
    <d v="2023-12-08T00:00:00"/>
    <x v="2"/>
    <x v="2"/>
    <n v="1"/>
    <x v="0"/>
    <n v="33000"/>
    <n v="18000"/>
    <n v="33000"/>
    <n v="18000"/>
    <n v="14895"/>
    <n v="104.99999999999999"/>
    <s v="30 mns"/>
    <x v="3"/>
    <n v="12"/>
    <x v="11"/>
  </r>
  <r>
    <d v="2023-12-08T00:00:00"/>
    <x v="2"/>
    <x v="2"/>
    <n v="1"/>
    <x v="1"/>
    <n v="60000"/>
    <n v="31000"/>
    <n v="60000"/>
    <n v="31000"/>
    <n v="28797"/>
    <n v="202.99999999999997"/>
    <s v="30 mns"/>
    <x v="0"/>
    <n v="12"/>
    <x v="11"/>
  </r>
  <r>
    <d v="2023-12-08T00:00:00"/>
    <x v="2"/>
    <x v="2"/>
    <n v="1"/>
    <x v="2"/>
    <n v="89000"/>
    <n v="65000"/>
    <n v="89000"/>
    <n v="65000"/>
    <n v="23832"/>
    <n v="167.99999999999997"/>
    <s v="30 mns"/>
    <x v="3"/>
    <n v="12"/>
    <x v="11"/>
  </r>
  <r>
    <d v="2023-12-08T00:00:00"/>
    <x v="3"/>
    <x v="3"/>
    <n v="1"/>
    <x v="0"/>
    <n v="33000"/>
    <n v="18000"/>
    <n v="33000"/>
    <n v="18000"/>
    <n v="14895"/>
    <n v="104.99999999999999"/>
    <s v="35 mns"/>
    <x v="3"/>
    <n v="12"/>
    <x v="11"/>
  </r>
  <r>
    <d v="2023-12-08T00:00:00"/>
    <x v="3"/>
    <x v="3"/>
    <n v="1"/>
    <x v="1"/>
    <n v="60000"/>
    <n v="31000"/>
    <n v="60000"/>
    <n v="31000"/>
    <n v="28797"/>
    <n v="202.99999999999997"/>
    <s v="35 mns"/>
    <x v="0"/>
    <n v="12"/>
    <x v="11"/>
  </r>
  <r>
    <d v="2023-12-08T00:00:00"/>
    <x v="3"/>
    <x v="3"/>
    <n v="1"/>
    <x v="2"/>
    <n v="89000"/>
    <n v="65000"/>
    <n v="89000"/>
    <n v="65000"/>
    <n v="23832"/>
    <n v="167.99999999999997"/>
    <s v="35 mns"/>
    <x v="3"/>
    <n v="12"/>
    <x v="11"/>
  </r>
  <r>
    <d v="2023-12-09T00:00:00"/>
    <x v="0"/>
    <x v="0"/>
    <n v="2"/>
    <x v="0"/>
    <n v="33000"/>
    <n v="18000"/>
    <n v="66000"/>
    <n v="36000"/>
    <n v="29790"/>
    <n v="209.99999999999997"/>
    <s v="11 mns"/>
    <x v="3"/>
    <n v="12"/>
    <x v="11"/>
  </r>
  <r>
    <d v="2023-12-09T00:00:00"/>
    <x v="0"/>
    <x v="0"/>
    <n v="2"/>
    <x v="1"/>
    <n v="60000"/>
    <n v="31000"/>
    <n v="120000"/>
    <n v="62000"/>
    <n v="57594"/>
    <n v="405.99999999999994"/>
    <s v="11 mns"/>
    <x v="3"/>
    <n v="12"/>
    <x v="11"/>
  </r>
  <r>
    <d v="2023-12-09T00:00:00"/>
    <x v="0"/>
    <x v="0"/>
    <n v="2"/>
    <x v="2"/>
    <n v="89000"/>
    <n v="65000"/>
    <n v="178000"/>
    <n v="130000"/>
    <n v="47664"/>
    <n v="335.99999999999994"/>
    <s v="11 mns"/>
    <x v="0"/>
    <n v="12"/>
    <x v="11"/>
  </r>
  <r>
    <d v="2023-12-09T00:00:00"/>
    <x v="2"/>
    <x v="2"/>
    <n v="2"/>
    <x v="1"/>
    <n v="60000"/>
    <n v="31000"/>
    <n v="120000"/>
    <n v="62000"/>
    <n v="57594"/>
    <n v="405.99999999999994"/>
    <s v="30 mns"/>
    <x v="3"/>
    <n v="12"/>
    <x v="11"/>
  </r>
  <r>
    <d v="2023-12-09T00:00:00"/>
    <x v="2"/>
    <x v="2"/>
    <n v="2"/>
    <x v="2"/>
    <n v="89000"/>
    <n v="65000"/>
    <n v="178000"/>
    <n v="130000"/>
    <n v="47664"/>
    <n v="335.99999999999994"/>
    <s v="30 mns"/>
    <x v="1"/>
    <n v="12"/>
    <x v="11"/>
  </r>
  <r>
    <d v="2023-12-09T00:00:00"/>
    <x v="3"/>
    <x v="3"/>
    <n v="2"/>
    <x v="0"/>
    <n v="33000"/>
    <n v="18000"/>
    <n v="66000"/>
    <n v="36000"/>
    <n v="29790"/>
    <n v="209.99999999999997"/>
    <s v="35 mns"/>
    <x v="2"/>
    <n v="12"/>
    <x v="11"/>
  </r>
  <r>
    <d v="2023-12-09T00:00:00"/>
    <x v="3"/>
    <x v="3"/>
    <n v="2"/>
    <x v="1"/>
    <n v="60000"/>
    <n v="31000"/>
    <n v="120000"/>
    <n v="62000"/>
    <n v="57594"/>
    <n v="405.99999999999994"/>
    <s v="35 mns"/>
    <x v="0"/>
    <n v="12"/>
    <x v="11"/>
  </r>
  <r>
    <d v="2023-12-09T00:00:00"/>
    <x v="3"/>
    <x v="3"/>
    <n v="2"/>
    <x v="2"/>
    <n v="89000"/>
    <n v="65000"/>
    <n v="178000"/>
    <n v="130000"/>
    <n v="47664"/>
    <n v="335.99999999999994"/>
    <s v="35 mns"/>
    <x v="3"/>
    <n v="12"/>
    <x v="11"/>
  </r>
  <r>
    <d v="2023-12-10T00:00:00"/>
    <x v="0"/>
    <x v="0"/>
    <n v="1"/>
    <x v="0"/>
    <n v="33000"/>
    <n v="18000"/>
    <n v="33000"/>
    <n v="18000"/>
    <n v="14895"/>
    <n v="104.99999999999999"/>
    <s v="11 mns"/>
    <x v="0"/>
    <n v="12"/>
    <x v="11"/>
  </r>
  <r>
    <d v="2023-12-10T00:00:00"/>
    <x v="0"/>
    <x v="0"/>
    <n v="1"/>
    <x v="1"/>
    <n v="60000"/>
    <n v="31000"/>
    <n v="60000"/>
    <n v="31000"/>
    <n v="28797"/>
    <n v="202.99999999999997"/>
    <s v="11 mns"/>
    <x v="0"/>
    <n v="12"/>
    <x v="11"/>
  </r>
  <r>
    <d v="2023-12-10T00:00:00"/>
    <x v="0"/>
    <x v="0"/>
    <n v="1"/>
    <x v="2"/>
    <n v="89000"/>
    <n v="65000"/>
    <n v="89000"/>
    <n v="65000"/>
    <n v="23832"/>
    <n v="167.99999999999997"/>
    <s v="11 mns"/>
    <x v="1"/>
    <n v="12"/>
    <x v="11"/>
  </r>
  <r>
    <d v="2023-12-10T00:00:00"/>
    <x v="2"/>
    <x v="2"/>
    <n v="1"/>
    <x v="0"/>
    <n v="33000"/>
    <n v="18000"/>
    <n v="33000"/>
    <n v="18000"/>
    <n v="14895"/>
    <n v="104.99999999999999"/>
    <s v="30 mns"/>
    <x v="3"/>
    <n v="12"/>
    <x v="11"/>
  </r>
  <r>
    <d v="2023-12-10T00:00:00"/>
    <x v="2"/>
    <x v="2"/>
    <n v="1"/>
    <x v="1"/>
    <n v="60000"/>
    <n v="31000"/>
    <n v="60000"/>
    <n v="31000"/>
    <n v="28797"/>
    <n v="202.99999999999997"/>
    <s v="30 mns"/>
    <x v="1"/>
    <n v="12"/>
    <x v="11"/>
  </r>
  <r>
    <d v="2023-12-10T00:00:00"/>
    <x v="2"/>
    <x v="2"/>
    <n v="1"/>
    <x v="2"/>
    <n v="89000"/>
    <n v="65000"/>
    <n v="89000"/>
    <n v="65000"/>
    <n v="23832"/>
    <n v="167.99999999999997"/>
    <s v="30 mns"/>
    <x v="0"/>
    <n v="12"/>
    <x v="11"/>
  </r>
  <r>
    <d v="2023-12-10T00:00:00"/>
    <x v="3"/>
    <x v="3"/>
    <n v="1"/>
    <x v="0"/>
    <n v="33000"/>
    <n v="18000"/>
    <n v="33000"/>
    <n v="18000"/>
    <n v="14895"/>
    <n v="104.99999999999999"/>
    <s v="35 mns"/>
    <x v="1"/>
    <n v="12"/>
    <x v="11"/>
  </r>
  <r>
    <d v="2023-12-10T00:00:00"/>
    <x v="3"/>
    <x v="3"/>
    <n v="1"/>
    <x v="1"/>
    <n v="60000"/>
    <n v="31000"/>
    <n v="60000"/>
    <n v="31000"/>
    <n v="28797"/>
    <n v="202.99999999999997"/>
    <s v="35 mns"/>
    <x v="0"/>
    <n v="12"/>
    <x v="11"/>
  </r>
  <r>
    <d v="2023-12-10T00:00:00"/>
    <x v="3"/>
    <x v="3"/>
    <n v="1"/>
    <x v="2"/>
    <n v="89000"/>
    <n v="65000"/>
    <n v="89000"/>
    <n v="65000"/>
    <n v="23832"/>
    <n v="167.99999999999997"/>
    <s v="35 mns"/>
    <x v="3"/>
    <n v="12"/>
    <x v="11"/>
  </r>
  <r>
    <d v="2023-12-11T00:00:00"/>
    <x v="0"/>
    <x v="0"/>
    <n v="2"/>
    <x v="0"/>
    <n v="33000"/>
    <n v="18000"/>
    <n v="66000"/>
    <n v="36000"/>
    <n v="29790"/>
    <n v="209.99999999999997"/>
    <s v="11 mns"/>
    <x v="0"/>
    <n v="12"/>
    <x v="11"/>
  </r>
  <r>
    <d v="2023-12-11T00:00:00"/>
    <x v="0"/>
    <x v="0"/>
    <n v="2"/>
    <x v="1"/>
    <n v="60000"/>
    <n v="31000"/>
    <n v="120000"/>
    <n v="62000"/>
    <n v="57594"/>
    <n v="405.99999999999994"/>
    <s v="11 mns"/>
    <x v="0"/>
    <n v="12"/>
    <x v="11"/>
  </r>
  <r>
    <d v="2023-12-11T00:00:00"/>
    <x v="0"/>
    <x v="0"/>
    <n v="2"/>
    <x v="2"/>
    <n v="89000"/>
    <n v="65000"/>
    <n v="178000"/>
    <n v="130000"/>
    <n v="47664"/>
    <n v="335.99999999999994"/>
    <s v="11 mns"/>
    <x v="0"/>
    <n v="12"/>
    <x v="11"/>
  </r>
  <r>
    <d v="2023-12-11T00:00:00"/>
    <x v="2"/>
    <x v="2"/>
    <n v="2"/>
    <x v="0"/>
    <n v="33000"/>
    <n v="18000"/>
    <n v="66000"/>
    <n v="36000"/>
    <n v="29790"/>
    <n v="209.99999999999997"/>
    <s v="30 mns"/>
    <x v="1"/>
    <n v="12"/>
    <x v="11"/>
  </r>
  <r>
    <d v="2023-12-11T00:00:00"/>
    <x v="2"/>
    <x v="2"/>
    <n v="2"/>
    <x v="1"/>
    <n v="60000"/>
    <n v="31000"/>
    <n v="120000"/>
    <n v="62000"/>
    <n v="57594"/>
    <n v="405.99999999999994"/>
    <s v="30 mns"/>
    <x v="1"/>
    <n v="12"/>
    <x v="11"/>
  </r>
  <r>
    <d v="2023-12-11T00:00:00"/>
    <x v="2"/>
    <x v="2"/>
    <n v="2"/>
    <x v="2"/>
    <n v="89000"/>
    <n v="65000"/>
    <n v="178000"/>
    <n v="130000"/>
    <n v="47664"/>
    <n v="335.99999999999994"/>
    <s v="30 mns"/>
    <x v="3"/>
    <n v="12"/>
    <x v="11"/>
  </r>
  <r>
    <d v="2023-12-11T00:00:00"/>
    <x v="3"/>
    <x v="3"/>
    <n v="2"/>
    <x v="0"/>
    <n v="33000"/>
    <n v="18000"/>
    <n v="66000"/>
    <n v="36000"/>
    <n v="29790"/>
    <n v="209.99999999999997"/>
    <s v="35 mns"/>
    <x v="0"/>
    <n v="12"/>
    <x v="11"/>
  </r>
  <r>
    <d v="2023-12-11T00:00:00"/>
    <x v="3"/>
    <x v="3"/>
    <n v="2"/>
    <x v="1"/>
    <n v="60000"/>
    <n v="31000"/>
    <n v="120000"/>
    <n v="62000"/>
    <n v="57594"/>
    <n v="405.99999999999994"/>
    <s v="35 mns"/>
    <x v="2"/>
    <n v="12"/>
    <x v="11"/>
  </r>
  <r>
    <d v="2023-12-11T00:00:00"/>
    <x v="3"/>
    <x v="3"/>
    <n v="2"/>
    <x v="2"/>
    <n v="89000"/>
    <n v="65000"/>
    <n v="178000"/>
    <n v="130000"/>
    <n v="47664"/>
    <n v="335.99999999999994"/>
    <s v="35 mns"/>
    <x v="1"/>
    <n v="12"/>
    <x v="11"/>
  </r>
  <r>
    <d v="2023-12-12T00:00:00"/>
    <x v="0"/>
    <x v="0"/>
    <n v="2"/>
    <x v="0"/>
    <n v="33000"/>
    <n v="18000"/>
    <n v="66000"/>
    <n v="36000"/>
    <n v="29790"/>
    <n v="209.99999999999997"/>
    <s v="11 mns"/>
    <x v="0"/>
    <n v="12"/>
    <x v="11"/>
  </r>
  <r>
    <d v="2023-12-12T00:00:00"/>
    <x v="0"/>
    <x v="0"/>
    <n v="2"/>
    <x v="1"/>
    <n v="60000"/>
    <n v="31000"/>
    <n v="120000"/>
    <n v="62000"/>
    <n v="57594"/>
    <n v="405.99999999999994"/>
    <s v="11 mns"/>
    <x v="3"/>
    <n v="12"/>
    <x v="11"/>
  </r>
  <r>
    <d v="2023-12-12T00:00:00"/>
    <x v="0"/>
    <x v="0"/>
    <n v="2"/>
    <x v="2"/>
    <n v="89000"/>
    <n v="65000"/>
    <n v="178000"/>
    <n v="130000"/>
    <n v="47664"/>
    <n v="335.99999999999994"/>
    <s v="11 mns"/>
    <x v="3"/>
    <n v="12"/>
    <x v="11"/>
  </r>
  <r>
    <d v="2023-12-12T00:00:00"/>
    <x v="2"/>
    <x v="2"/>
    <n v="2"/>
    <x v="0"/>
    <n v="33000"/>
    <n v="18000"/>
    <n v="66000"/>
    <n v="36000"/>
    <n v="29790"/>
    <n v="209.99999999999997"/>
    <s v="30 mns"/>
    <x v="3"/>
    <n v="12"/>
    <x v="11"/>
  </r>
  <r>
    <d v="2023-12-12T00:00:00"/>
    <x v="2"/>
    <x v="2"/>
    <n v="2"/>
    <x v="1"/>
    <n v="60000"/>
    <n v="31000"/>
    <n v="120000"/>
    <n v="62000"/>
    <n v="57594"/>
    <n v="405.99999999999994"/>
    <s v="30 mns"/>
    <x v="1"/>
    <n v="12"/>
    <x v="11"/>
  </r>
  <r>
    <d v="2023-12-12T00:00:00"/>
    <x v="2"/>
    <x v="2"/>
    <n v="2"/>
    <x v="2"/>
    <n v="89000"/>
    <n v="65000"/>
    <n v="178000"/>
    <n v="130000"/>
    <n v="47664"/>
    <n v="335.99999999999994"/>
    <s v="30 mns"/>
    <x v="3"/>
    <n v="12"/>
    <x v="11"/>
  </r>
  <r>
    <d v="2023-12-12T00:00:00"/>
    <x v="3"/>
    <x v="3"/>
    <n v="2"/>
    <x v="0"/>
    <n v="33000"/>
    <n v="18000"/>
    <n v="66000"/>
    <n v="36000"/>
    <n v="29790"/>
    <n v="209.99999999999997"/>
    <s v="35 mns"/>
    <x v="1"/>
    <n v="12"/>
    <x v="11"/>
  </r>
  <r>
    <d v="2023-12-12T00:00:00"/>
    <x v="3"/>
    <x v="3"/>
    <n v="2"/>
    <x v="1"/>
    <n v="60000"/>
    <n v="31000"/>
    <n v="120000"/>
    <n v="62000"/>
    <n v="57594"/>
    <n v="405.99999999999994"/>
    <s v="35 mns"/>
    <x v="1"/>
    <n v="12"/>
    <x v="11"/>
  </r>
  <r>
    <d v="2023-12-12T00:00:00"/>
    <x v="3"/>
    <x v="3"/>
    <n v="2"/>
    <x v="2"/>
    <n v="89000"/>
    <n v="65000"/>
    <n v="178000"/>
    <n v="130000"/>
    <n v="47664"/>
    <n v="335.99999999999994"/>
    <s v="35 mns"/>
    <x v="1"/>
    <n v="12"/>
    <x v="11"/>
  </r>
  <r>
    <d v="2023-12-13T00:00:00"/>
    <x v="0"/>
    <x v="0"/>
    <n v="1"/>
    <x v="0"/>
    <n v="33000"/>
    <n v="18000"/>
    <n v="33000"/>
    <n v="18000"/>
    <n v="14895"/>
    <n v="104.99999999999999"/>
    <s v="11 mns"/>
    <x v="1"/>
    <n v="12"/>
    <x v="11"/>
  </r>
  <r>
    <d v="2023-12-13T00:00:00"/>
    <x v="0"/>
    <x v="0"/>
    <n v="1"/>
    <x v="1"/>
    <n v="60000"/>
    <n v="31000"/>
    <n v="60000"/>
    <n v="31000"/>
    <n v="28797"/>
    <n v="202.99999999999997"/>
    <s v="11 mns"/>
    <x v="3"/>
    <n v="12"/>
    <x v="11"/>
  </r>
  <r>
    <d v="2023-12-13T00:00:00"/>
    <x v="0"/>
    <x v="0"/>
    <n v="1"/>
    <x v="2"/>
    <n v="89000"/>
    <n v="65000"/>
    <n v="89000"/>
    <n v="65000"/>
    <n v="23832"/>
    <n v="167.99999999999997"/>
    <s v="11 mns"/>
    <x v="3"/>
    <n v="12"/>
    <x v="11"/>
  </r>
  <r>
    <d v="2023-12-13T00:00:00"/>
    <x v="2"/>
    <x v="2"/>
    <n v="1"/>
    <x v="0"/>
    <n v="33000"/>
    <n v="18000"/>
    <n v="33000"/>
    <n v="18000"/>
    <n v="14895"/>
    <n v="104.99999999999999"/>
    <s v="30 mns"/>
    <x v="0"/>
    <n v="12"/>
    <x v="11"/>
  </r>
  <r>
    <d v="2023-12-13T00:00:00"/>
    <x v="2"/>
    <x v="2"/>
    <n v="1"/>
    <x v="1"/>
    <n v="60000"/>
    <n v="31000"/>
    <n v="60000"/>
    <n v="31000"/>
    <n v="28797"/>
    <n v="202.99999999999997"/>
    <s v="30 mns"/>
    <x v="0"/>
    <n v="12"/>
    <x v="11"/>
  </r>
  <r>
    <d v="2023-12-13T00:00:00"/>
    <x v="2"/>
    <x v="2"/>
    <n v="1"/>
    <x v="2"/>
    <n v="89000"/>
    <n v="65000"/>
    <n v="89000"/>
    <n v="65000"/>
    <n v="23832"/>
    <n v="167.99999999999997"/>
    <s v="30 mns"/>
    <x v="3"/>
    <n v="12"/>
    <x v="11"/>
  </r>
  <r>
    <d v="2023-12-13T00:00:00"/>
    <x v="3"/>
    <x v="3"/>
    <n v="1"/>
    <x v="0"/>
    <n v="33000"/>
    <n v="18000"/>
    <n v="33000"/>
    <n v="18000"/>
    <n v="14895"/>
    <n v="104.99999999999999"/>
    <s v="35 mns"/>
    <x v="3"/>
    <n v="12"/>
    <x v="11"/>
  </r>
  <r>
    <d v="2023-12-13T00:00:00"/>
    <x v="3"/>
    <x v="3"/>
    <n v="1"/>
    <x v="1"/>
    <n v="60000"/>
    <n v="31000"/>
    <n v="60000"/>
    <n v="31000"/>
    <n v="28797"/>
    <n v="202.99999999999997"/>
    <s v="35 mns"/>
    <x v="1"/>
    <n v="12"/>
    <x v="11"/>
  </r>
  <r>
    <d v="2023-12-13T00:00:00"/>
    <x v="3"/>
    <x v="3"/>
    <n v="1"/>
    <x v="2"/>
    <n v="89000"/>
    <n v="65000"/>
    <n v="89000"/>
    <n v="65000"/>
    <n v="23832"/>
    <n v="167.99999999999997"/>
    <s v="35 mns"/>
    <x v="1"/>
    <n v="12"/>
    <x v="11"/>
  </r>
  <r>
    <d v="2023-12-14T00:00:00"/>
    <x v="0"/>
    <x v="0"/>
    <n v="2"/>
    <x v="0"/>
    <n v="33000"/>
    <n v="18000"/>
    <n v="66000"/>
    <n v="36000"/>
    <n v="29790"/>
    <n v="209.99999999999997"/>
    <s v="11 mns"/>
    <x v="1"/>
    <n v="12"/>
    <x v="11"/>
  </r>
  <r>
    <d v="2023-12-14T00:00:00"/>
    <x v="0"/>
    <x v="0"/>
    <n v="2"/>
    <x v="1"/>
    <n v="60000"/>
    <n v="31000"/>
    <n v="120000"/>
    <n v="62000"/>
    <n v="57594"/>
    <n v="405.99999999999994"/>
    <s v="11 mns"/>
    <x v="1"/>
    <n v="12"/>
    <x v="11"/>
  </r>
  <r>
    <d v="2023-12-14T00:00:00"/>
    <x v="0"/>
    <x v="0"/>
    <n v="2"/>
    <x v="2"/>
    <n v="89000"/>
    <n v="65000"/>
    <n v="178000"/>
    <n v="130000"/>
    <n v="47664"/>
    <n v="335.99999999999994"/>
    <s v="11 mns"/>
    <x v="3"/>
    <n v="12"/>
    <x v="11"/>
  </r>
  <r>
    <d v="2023-12-14T00:00:00"/>
    <x v="2"/>
    <x v="2"/>
    <n v="2"/>
    <x v="0"/>
    <n v="33000"/>
    <n v="18000"/>
    <n v="66000"/>
    <n v="36000"/>
    <n v="29790"/>
    <n v="209.99999999999997"/>
    <s v="30 mns"/>
    <x v="3"/>
    <n v="12"/>
    <x v="11"/>
  </r>
  <r>
    <d v="2023-12-14T00:00:00"/>
    <x v="2"/>
    <x v="2"/>
    <n v="2"/>
    <x v="1"/>
    <n v="60000"/>
    <n v="31000"/>
    <n v="120000"/>
    <n v="62000"/>
    <n v="57594"/>
    <n v="405.99999999999994"/>
    <s v="30 mns"/>
    <x v="1"/>
    <n v="12"/>
    <x v="11"/>
  </r>
  <r>
    <d v="2023-12-14T00:00:00"/>
    <x v="2"/>
    <x v="2"/>
    <n v="2"/>
    <x v="2"/>
    <n v="89000"/>
    <n v="65000"/>
    <n v="178000"/>
    <n v="130000"/>
    <n v="47664"/>
    <n v="335.99999999999994"/>
    <s v="30 mns"/>
    <x v="2"/>
    <n v="12"/>
    <x v="11"/>
  </r>
  <r>
    <d v="2023-12-14T00:00:00"/>
    <x v="3"/>
    <x v="3"/>
    <n v="2"/>
    <x v="0"/>
    <n v="33000"/>
    <n v="18000"/>
    <n v="66000"/>
    <n v="36000"/>
    <n v="29790"/>
    <n v="209.99999999999997"/>
    <s v="35 mns"/>
    <x v="1"/>
    <n v="12"/>
    <x v="11"/>
  </r>
  <r>
    <d v="2023-12-14T00:00:00"/>
    <x v="3"/>
    <x v="3"/>
    <n v="2"/>
    <x v="1"/>
    <n v="60000"/>
    <n v="31000"/>
    <n v="120000"/>
    <n v="62000"/>
    <n v="57594"/>
    <n v="405.99999999999994"/>
    <s v="35 mns"/>
    <x v="1"/>
    <n v="12"/>
    <x v="11"/>
  </r>
  <r>
    <d v="2023-12-14T00:00:00"/>
    <x v="3"/>
    <x v="3"/>
    <n v="2"/>
    <x v="2"/>
    <n v="89000"/>
    <n v="65000"/>
    <n v="178000"/>
    <n v="130000"/>
    <n v="47664"/>
    <n v="335.99999999999994"/>
    <s v="35 mns"/>
    <x v="1"/>
    <n v="12"/>
    <x v="11"/>
  </r>
  <r>
    <d v="2023-12-15T00:00:00"/>
    <x v="0"/>
    <x v="0"/>
    <n v="1"/>
    <x v="0"/>
    <n v="33000"/>
    <n v="18000"/>
    <n v="33000"/>
    <n v="18000"/>
    <n v="14895"/>
    <n v="104.99999999999999"/>
    <s v="11 mns"/>
    <x v="3"/>
    <n v="12"/>
    <x v="11"/>
  </r>
  <r>
    <d v="2023-12-15T00:00:00"/>
    <x v="0"/>
    <x v="0"/>
    <n v="1"/>
    <x v="1"/>
    <n v="60000"/>
    <n v="31000"/>
    <n v="60000"/>
    <n v="31000"/>
    <n v="28797"/>
    <n v="202.99999999999997"/>
    <s v="11 mns"/>
    <x v="1"/>
    <n v="12"/>
    <x v="11"/>
  </r>
  <r>
    <d v="2023-12-15T00:00:00"/>
    <x v="0"/>
    <x v="0"/>
    <n v="1"/>
    <x v="2"/>
    <n v="89000"/>
    <n v="65000"/>
    <n v="89000"/>
    <n v="65000"/>
    <n v="23832"/>
    <n v="167.99999999999997"/>
    <s v="11 mns"/>
    <x v="3"/>
    <n v="12"/>
    <x v="11"/>
  </r>
  <r>
    <d v="2023-12-15T00:00:00"/>
    <x v="2"/>
    <x v="2"/>
    <n v="1"/>
    <x v="0"/>
    <n v="33000"/>
    <n v="18000"/>
    <n v="33000"/>
    <n v="18000"/>
    <n v="14895"/>
    <n v="104.99999999999999"/>
    <s v="30 mns"/>
    <x v="2"/>
    <n v="12"/>
    <x v="11"/>
  </r>
  <r>
    <d v="2023-12-15T00:00:00"/>
    <x v="2"/>
    <x v="2"/>
    <n v="1"/>
    <x v="1"/>
    <n v="60000"/>
    <n v="31000"/>
    <n v="60000"/>
    <n v="31000"/>
    <n v="28797"/>
    <n v="202.99999999999997"/>
    <s v="30 mns"/>
    <x v="3"/>
    <n v="12"/>
    <x v="11"/>
  </r>
  <r>
    <d v="2023-12-15T00:00:00"/>
    <x v="2"/>
    <x v="2"/>
    <n v="1"/>
    <x v="2"/>
    <n v="89000"/>
    <n v="65000"/>
    <n v="89000"/>
    <n v="65000"/>
    <n v="23832"/>
    <n v="167.99999999999997"/>
    <s v="30 mns"/>
    <x v="1"/>
    <n v="12"/>
    <x v="11"/>
  </r>
  <r>
    <d v="2023-12-15T00:00:00"/>
    <x v="3"/>
    <x v="3"/>
    <n v="1"/>
    <x v="0"/>
    <n v="33000"/>
    <n v="18000"/>
    <n v="33000"/>
    <n v="18000"/>
    <n v="14895"/>
    <n v="104.99999999999999"/>
    <s v="35 mns"/>
    <x v="1"/>
    <n v="12"/>
    <x v="11"/>
  </r>
  <r>
    <d v="2023-12-15T00:00:00"/>
    <x v="3"/>
    <x v="3"/>
    <n v="1"/>
    <x v="1"/>
    <n v="60000"/>
    <n v="31000"/>
    <n v="60000"/>
    <n v="31000"/>
    <n v="28797"/>
    <n v="202.99999999999997"/>
    <s v="35 mns"/>
    <x v="1"/>
    <n v="12"/>
    <x v="11"/>
  </r>
  <r>
    <d v="2023-12-15T00:00:00"/>
    <x v="3"/>
    <x v="3"/>
    <n v="1"/>
    <x v="2"/>
    <n v="89000"/>
    <n v="65000"/>
    <n v="89000"/>
    <n v="65000"/>
    <n v="23832"/>
    <n v="167.99999999999997"/>
    <s v="35 mns"/>
    <x v="1"/>
    <n v="12"/>
    <x v="11"/>
  </r>
  <r>
    <d v="2023-12-16T00:00:00"/>
    <x v="0"/>
    <x v="0"/>
    <n v="1"/>
    <x v="0"/>
    <n v="33000"/>
    <n v="18000"/>
    <n v="33000"/>
    <n v="18000"/>
    <n v="14895"/>
    <n v="104.99999999999999"/>
    <s v="11 mns"/>
    <x v="1"/>
    <n v="12"/>
    <x v="11"/>
  </r>
  <r>
    <d v="2023-12-16T00:00:00"/>
    <x v="0"/>
    <x v="0"/>
    <n v="1"/>
    <x v="1"/>
    <n v="60000"/>
    <n v="31000"/>
    <n v="60000"/>
    <n v="31000"/>
    <n v="28797"/>
    <n v="202.99999999999997"/>
    <s v="11 mns"/>
    <x v="3"/>
    <n v="12"/>
    <x v="11"/>
  </r>
  <r>
    <d v="2023-12-16T00:00:00"/>
    <x v="0"/>
    <x v="0"/>
    <n v="1"/>
    <x v="2"/>
    <n v="89000"/>
    <n v="65000"/>
    <n v="89000"/>
    <n v="65000"/>
    <n v="23832"/>
    <n v="167.99999999999997"/>
    <s v="11 mns"/>
    <x v="2"/>
    <n v="12"/>
    <x v="11"/>
  </r>
  <r>
    <d v="2023-12-16T00:00:00"/>
    <x v="2"/>
    <x v="2"/>
    <n v="1"/>
    <x v="0"/>
    <n v="33000"/>
    <n v="18000"/>
    <n v="33000"/>
    <n v="18000"/>
    <n v="14895"/>
    <n v="104.99999999999999"/>
    <s v="30 mns"/>
    <x v="1"/>
    <n v="12"/>
    <x v="11"/>
  </r>
  <r>
    <d v="2023-12-16T00:00:00"/>
    <x v="2"/>
    <x v="2"/>
    <n v="1"/>
    <x v="1"/>
    <n v="60000"/>
    <n v="31000"/>
    <n v="60000"/>
    <n v="31000"/>
    <n v="28797"/>
    <n v="202.99999999999997"/>
    <s v="30 mns"/>
    <x v="0"/>
    <n v="12"/>
    <x v="11"/>
  </r>
  <r>
    <d v="2023-12-16T00:00:00"/>
    <x v="2"/>
    <x v="2"/>
    <n v="1"/>
    <x v="2"/>
    <n v="89000"/>
    <n v="65000"/>
    <n v="89000"/>
    <n v="65000"/>
    <n v="23832"/>
    <n v="167.99999999999997"/>
    <s v="30 mns"/>
    <x v="1"/>
    <n v="12"/>
    <x v="11"/>
  </r>
  <r>
    <d v="2023-12-16T00:00:00"/>
    <x v="3"/>
    <x v="3"/>
    <n v="1"/>
    <x v="0"/>
    <n v="33000"/>
    <n v="18000"/>
    <n v="33000"/>
    <n v="18000"/>
    <n v="14895"/>
    <n v="104.99999999999999"/>
    <s v="35 mns"/>
    <x v="1"/>
    <n v="12"/>
    <x v="11"/>
  </r>
  <r>
    <d v="2023-12-16T00:00:00"/>
    <x v="3"/>
    <x v="3"/>
    <n v="1"/>
    <x v="1"/>
    <n v="60000"/>
    <n v="31000"/>
    <n v="60000"/>
    <n v="31000"/>
    <n v="28797"/>
    <n v="202.99999999999997"/>
    <s v="35 mns"/>
    <x v="3"/>
    <n v="12"/>
    <x v="11"/>
  </r>
  <r>
    <d v="2023-12-16T00:00:00"/>
    <x v="3"/>
    <x v="3"/>
    <n v="1"/>
    <x v="2"/>
    <n v="89000"/>
    <n v="65000"/>
    <n v="89000"/>
    <n v="65000"/>
    <n v="23832"/>
    <n v="167.99999999999997"/>
    <s v="35 mns"/>
    <x v="2"/>
    <n v="12"/>
    <x v="11"/>
  </r>
  <r>
    <d v="2023-12-17T00:00:00"/>
    <x v="0"/>
    <x v="0"/>
    <n v="2"/>
    <x v="0"/>
    <n v="33000"/>
    <n v="18000"/>
    <n v="66000"/>
    <n v="36000"/>
    <n v="29790"/>
    <n v="209.99999999999997"/>
    <s v="11 mns"/>
    <x v="1"/>
    <n v="12"/>
    <x v="11"/>
  </r>
  <r>
    <d v="2023-12-17T00:00:00"/>
    <x v="0"/>
    <x v="0"/>
    <n v="2"/>
    <x v="1"/>
    <n v="60000"/>
    <n v="31000"/>
    <n v="120000"/>
    <n v="62000"/>
    <n v="57594"/>
    <n v="405.99999999999994"/>
    <s v="11 mns"/>
    <x v="3"/>
    <n v="12"/>
    <x v="11"/>
  </r>
  <r>
    <d v="2023-12-17T00:00:00"/>
    <x v="0"/>
    <x v="0"/>
    <n v="2"/>
    <x v="2"/>
    <n v="89000"/>
    <n v="65000"/>
    <n v="178000"/>
    <n v="130000"/>
    <n v="47664"/>
    <n v="335.99999999999994"/>
    <s v="11 mns"/>
    <x v="0"/>
    <n v="12"/>
    <x v="11"/>
  </r>
  <r>
    <d v="2023-12-17T00:00:00"/>
    <x v="2"/>
    <x v="2"/>
    <n v="2"/>
    <x v="0"/>
    <n v="33000"/>
    <n v="18000"/>
    <n v="66000"/>
    <n v="36000"/>
    <n v="29790"/>
    <n v="209.99999999999997"/>
    <s v="30 mns"/>
    <x v="1"/>
    <n v="12"/>
    <x v="11"/>
  </r>
  <r>
    <d v="2023-12-17T00:00:00"/>
    <x v="2"/>
    <x v="2"/>
    <n v="2"/>
    <x v="1"/>
    <n v="60000"/>
    <n v="31000"/>
    <n v="120000"/>
    <n v="62000"/>
    <n v="57594"/>
    <n v="405.99999999999994"/>
    <s v="30 mns"/>
    <x v="3"/>
    <n v="12"/>
    <x v="11"/>
  </r>
  <r>
    <d v="2023-12-17T00:00:00"/>
    <x v="2"/>
    <x v="2"/>
    <n v="2"/>
    <x v="2"/>
    <n v="89000"/>
    <n v="65000"/>
    <n v="178000"/>
    <n v="130000"/>
    <n v="47664"/>
    <n v="335.99999999999994"/>
    <s v="30 mns"/>
    <x v="3"/>
    <n v="12"/>
    <x v="11"/>
  </r>
  <r>
    <d v="2023-12-17T00:00:00"/>
    <x v="3"/>
    <x v="3"/>
    <n v="2"/>
    <x v="0"/>
    <n v="33000"/>
    <n v="18000"/>
    <n v="66000"/>
    <n v="36000"/>
    <n v="29790"/>
    <n v="209.99999999999997"/>
    <s v="35 mns"/>
    <x v="3"/>
    <n v="12"/>
    <x v="11"/>
  </r>
  <r>
    <d v="2023-12-17T00:00:00"/>
    <x v="3"/>
    <x v="3"/>
    <n v="2"/>
    <x v="1"/>
    <n v="60000"/>
    <n v="31000"/>
    <n v="120000"/>
    <n v="62000"/>
    <n v="57594"/>
    <n v="405.99999999999994"/>
    <s v="35 mns"/>
    <x v="3"/>
    <n v="12"/>
    <x v="11"/>
  </r>
  <r>
    <d v="2023-12-17T00:00:00"/>
    <x v="3"/>
    <x v="3"/>
    <n v="2"/>
    <x v="2"/>
    <n v="89000"/>
    <n v="65000"/>
    <n v="178000"/>
    <n v="130000"/>
    <n v="47664"/>
    <n v="335.99999999999994"/>
    <s v="35 mns"/>
    <x v="1"/>
    <n v="12"/>
    <x v="11"/>
  </r>
  <r>
    <d v="2023-12-18T00:00:00"/>
    <x v="0"/>
    <x v="0"/>
    <n v="2"/>
    <x v="0"/>
    <n v="33000"/>
    <n v="18000"/>
    <n v="66000"/>
    <n v="36000"/>
    <n v="29790"/>
    <n v="209.99999999999997"/>
    <s v="11 mns"/>
    <x v="1"/>
    <n v="12"/>
    <x v="11"/>
  </r>
  <r>
    <d v="2023-12-18T00:00:00"/>
    <x v="0"/>
    <x v="0"/>
    <n v="2"/>
    <x v="1"/>
    <n v="60000"/>
    <n v="31000"/>
    <n v="120000"/>
    <n v="62000"/>
    <n v="57594"/>
    <n v="405.99999999999994"/>
    <s v="11 mns"/>
    <x v="1"/>
    <n v="12"/>
    <x v="11"/>
  </r>
  <r>
    <d v="2023-12-18T00:00:00"/>
    <x v="0"/>
    <x v="0"/>
    <n v="2"/>
    <x v="2"/>
    <n v="89000"/>
    <n v="65000"/>
    <n v="178000"/>
    <n v="130000"/>
    <n v="47664"/>
    <n v="335.99999999999994"/>
    <s v="11 mns"/>
    <x v="3"/>
    <n v="12"/>
    <x v="11"/>
  </r>
  <r>
    <d v="2023-12-18T00:00:00"/>
    <x v="2"/>
    <x v="2"/>
    <n v="2"/>
    <x v="0"/>
    <n v="33000"/>
    <n v="18000"/>
    <n v="66000"/>
    <n v="36000"/>
    <n v="29790"/>
    <n v="209.99999999999997"/>
    <s v="30 mns"/>
    <x v="3"/>
    <n v="12"/>
    <x v="11"/>
  </r>
  <r>
    <d v="2023-12-18T00:00:00"/>
    <x v="2"/>
    <x v="2"/>
    <n v="2"/>
    <x v="1"/>
    <n v="60000"/>
    <n v="31000"/>
    <n v="120000"/>
    <n v="62000"/>
    <n v="57594"/>
    <n v="405.99999999999994"/>
    <s v="30 mns"/>
    <x v="0"/>
    <n v="12"/>
    <x v="11"/>
  </r>
  <r>
    <d v="2023-12-18T00:00:00"/>
    <x v="2"/>
    <x v="2"/>
    <n v="2"/>
    <x v="2"/>
    <n v="89000"/>
    <n v="65000"/>
    <n v="178000"/>
    <n v="130000"/>
    <n v="47664"/>
    <n v="335.99999999999994"/>
    <s v="30 mns"/>
    <x v="3"/>
    <n v="12"/>
    <x v="11"/>
  </r>
  <r>
    <d v="2023-12-18T00:00:00"/>
    <x v="3"/>
    <x v="3"/>
    <n v="2"/>
    <x v="0"/>
    <n v="33000"/>
    <n v="18000"/>
    <n v="66000"/>
    <n v="36000"/>
    <n v="29790"/>
    <n v="209.99999999999997"/>
    <s v="35 mns"/>
    <x v="1"/>
    <n v="12"/>
    <x v="11"/>
  </r>
  <r>
    <d v="2023-12-18T00:00:00"/>
    <x v="3"/>
    <x v="3"/>
    <n v="2"/>
    <x v="1"/>
    <n v="60000"/>
    <n v="31000"/>
    <n v="120000"/>
    <n v="62000"/>
    <n v="57594"/>
    <n v="405.99999999999994"/>
    <s v="35 mns"/>
    <x v="0"/>
    <n v="12"/>
    <x v="11"/>
  </r>
  <r>
    <d v="2023-12-18T00:00:00"/>
    <x v="3"/>
    <x v="3"/>
    <n v="2"/>
    <x v="2"/>
    <n v="89000"/>
    <n v="65000"/>
    <n v="178000"/>
    <n v="130000"/>
    <n v="47664"/>
    <n v="335.99999999999994"/>
    <s v="35 mns"/>
    <x v="0"/>
    <n v="12"/>
    <x v="11"/>
  </r>
  <r>
    <d v="2023-12-19T00:00:00"/>
    <x v="0"/>
    <x v="0"/>
    <n v="2"/>
    <x v="0"/>
    <n v="33000"/>
    <n v="18000"/>
    <n v="66000"/>
    <n v="36000"/>
    <n v="29790"/>
    <n v="209.99999999999997"/>
    <s v="11 mns"/>
    <x v="3"/>
    <n v="12"/>
    <x v="11"/>
  </r>
  <r>
    <d v="2023-12-19T00:00:00"/>
    <x v="0"/>
    <x v="0"/>
    <n v="2"/>
    <x v="1"/>
    <n v="60000"/>
    <n v="31000"/>
    <n v="120000"/>
    <n v="62000"/>
    <n v="57594"/>
    <n v="405.99999999999994"/>
    <s v="11 mns"/>
    <x v="0"/>
    <n v="12"/>
    <x v="11"/>
  </r>
  <r>
    <d v="2023-12-19T00:00:00"/>
    <x v="0"/>
    <x v="0"/>
    <n v="2"/>
    <x v="2"/>
    <n v="89000"/>
    <n v="65000"/>
    <n v="178000"/>
    <n v="130000"/>
    <n v="47664"/>
    <n v="335.99999999999994"/>
    <s v="11 mns"/>
    <x v="0"/>
    <n v="12"/>
    <x v="11"/>
  </r>
  <r>
    <d v="2023-12-19T00:00:00"/>
    <x v="2"/>
    <x v="2"/>
    <n v="2"/>
    <x v="0"/>
    <n v="33000"/>
    <n v="18000"/>
    <n v="66000"/>
    <n v="36000"/>
    <n v="29790"/>
    <n v="209.99999999999997"/>
    <s v="30 mns"/>
    <x v="2"/>
    <n v="12"/>
    <x v="11"/>
  </r>
  <r>
    <d v="2023-12-19T00:00:00"/>
    <x v="2"/>
    <x v="2"/>
    <n v="2"/>
    <x v="1"/>
    <n v="60000"/>
    <n v="31000"/>
    <n v="120000"/>
    <n v="62000"/>
    <n v="57594"/>
    <n v="405.99999999999994"/>
    <s v="30 mns"/>
    <x v="0"/>
    <n v="12"/>
    <x v="11"/>
  </r>
  <r>
    <d v="2023-12-19T00:00:00"/>
    <x v="2"/>
    <x v="2"/>
    <n v="2"/>
    <x v="2"/>
    <n v="89000"/>
    <n v="65000"/>
    <n v="178000"/>
    <n v="130000"/>
    <n v="47664"/>
    <n v="335.99999999999994"/>
    <s v="30 mns"/>
    <x v="2"/>
    <n v="12"/>
    <x v="11"/>
  </r>
  <r>
    <d v="2023-12-19T00:00:00"/>
    <x v="3"/>
    <x v="3"/>
    <n v="2"/>
    <x v="0"/>
    <n v="33000"/>
    <n v="18000"/>
    <n v="66000"/>
    <n v="36000"/>
    <n v="29790"/>
    <n v="209.99999999999997"/>
    <s v="35 mns"/>
    <x v="3"/>
    <n v="12"/>
    <x v="11"/>
  </r>
  <r>
    <d v="2023-12-19T00:00:00"/>
    <x v="3"/>
    <x v="3"/>
    <n v="2"/>
    <x v="1"/>
    <n v="60000"/>
    <n v="31000"/>
    <n v="120000"/>
    <n v="62000"/>
    <n v="57594"/>
    <n v="405.99999999999994"/>
    <s v="35 mns"/>
    <x v="3"/>
    <n v="12"/>
    <x v="11"/>
  </r>
  <r>
    <d v="2023-12-19T00:00:00"/>
    <x v="3"/>
    <x v="3"/>
    <n v="2"/>
    <x v="2"/>
    <n v="89000"/>
    <n v="65000"/>
    <n v="178000"/>
    <n v="130000"/>
    <n v="47664"/>
    <n v="335.99999999999994"/>
    <s v="35 mns"/>
    <x v="2"/>
    <n v="12"/>
    <x v="11"/>
  </r>
  <r>
    <d v="2023-12-20T00:00:00"/>
    <x v="0"/>
    <x v="0"/>
    <n v="2"/>
    <x v="0"/>
    <n v="33000"/>
    <n v="18000"/>
    <n v="66000"/>
    <n v="36000"/>
    <n v="29790"/>
    <n v="209.99999999999997"/>
    <s v="11 mns"/>
    <x v="3"/>
    <n v="12"/>
    <x v="11"/>
  </r>
  <r>
    <d v="2023-12-20T00:00:00"/>
    <x v="0"/>
    <x v="0"/>
    <n v="2"/>
    <x v="1"/>
    <n v="60000"/>
    <n v="31000"/>
    <n v="120000"/>
    <n v="62000"/>
    <n v="57594"/>
    <n v="405.99999999999994"/>
    <s v="11 mns"/>
    <x v="0"/>
    <n v="12"/>
    <x v="11"/>
  </r>
  <r>
    <d v="2023-12-20T00:00:00"/>
    <x v="0"/>
    <x v="0"/>
    <n v="2"/>
    <x v="2"/>
    <n v="89000"/>
    <n v="65000"/>
    <n v="178000"/>
    <n v="130000"/>
    <n v="47664"/>
    <n v="335.99999999999994"/>
    <s v="11 mns"/>
    <x v="3"/>
    <n v="12"/>
    <x v="11"/>
  </r>
  <r>
    <d v="2023-12-20T00:00:00"/>
    <x v="2"/>
    <x v="2"/>
    <n v="2"/>
    <x v="0"/>
    <n v="33000"/>
    <n v="18000"/>
    <n v="66000"/>
    <n v="36000"/>
    <n v="29790"/>
    <n v="209.99999999999997"/>
    <s v="30 mns"/>
    <x v="3"/>
    <n v="12"/>
    <x v="11"/>
  </r>
  <r>
    <d v="2023-12-20T00:00:00"/>
    <x v="2"/>
    <x v="2"/>
    <n v="2"/>
    <x v="1"/>
    <n v="60000"/>
    <n v="31000"/>
    <n v="120000"/>
    <n v="62000"/>
    <n v="57594"/>
    <n v="405.99999999999994"/>
    <s v="30 mns"/>
    <x v="0"/>
    <n v="12"/>
    <x v="11"/>
  </r>
  <r>
    <d v="2023-12-20T00:00:00"/>
    <x v="2"/>
    <x v="2"/>
    <n v="2"/>
    <x v="2"/>
    <n v="89000"/>
    <n v="65000"/>
    <n v="178000"/>
    <n v="130000"/>
    <n v="47664"/>
    <n v="335.99999999999994"/>
    <s v="30 mns"/>
    <x v="3"/>
    <n v="12"/>
    <x v="11"/>
  </r>
  <r>
    <d v="2023-12-20T00:00:00"/>
    <x v="3"/>
    <x v="3"/>
    <n v="2"/>
    <x v="0"/>
    <n v="33000"/>
    <n v="18000"/>
    <n v="66000"/>
    <n v="36000"/>
    <n v="29790"/>
    <n v="209.99999999999997"/>
    <s v="35 mns"/>
    <x v="1"/>
    <n v="12"/>
    <x v="11"/>
  </r>
  <r>
    <d v="2023-12-20T00:00:00"/>
    <x v="3"/>
    <x v="3"/>
    <n v="2"/>
    <x v="1"/>
    <n v="60000"/>
    <n v="31000"/>
    <n v="120000"/>
    <n v="62000"/>
    <n v="57594"/>
    <n v="405.99999999999994"/>
    <s v="35 mns"/>
    <x v="3"/>
    <n v="12"/>
    <x v="11"/>
  </r>
  <r>
    <d v="2023-12-20T00:00:00"/>
    <x v="3"/>
    <x v="3"/>
    <n v="2"/>
    <x v="2"/>
    <n v="89000"/>
    <n v="65000"/>
    <n v="178000"/>
    <n v="130000"/>
    <n v="47664"/>
    <n v="335.99999999999994"/>
    <s v="35 mns"/>
    <x v="3"/>
    <n v="12"/>
    <x v="11"/>
  </r>
  <r>
    <d v="2023-12-21T00:00:00"/>
    <x v="0"/>
    <x v="0"/>
    <n v="1"/>
    <x v="0"/>
    <n v="33000"/>
    <n v="18000"/>
    <n v="33000"/>
    <n v="18000"/>
    <n v="14895"/>
    <n v="104.99999999999999"/>
    <s v="11 mns"/>
    <x v="0"/>
    <n v="12"/>
    <x v="11"/>
  </r>
  <r>
    <d v="2023-12-21T00:00:00"/>
    <x v="0"/>
    <x v="0"/>
    <n v="1"/>
    <x v="1"/>
    <n v="60000"/>
    <n v="31000"/>
    <n v="60000"/>
    <n v="31000"/>
    <n v="28797"/>
    <n v="202.99999999999997"/>
    <s v="11 mns"/>
    <x v="3"/>
    <n v="12"/>
    <x v="11"/>
  </r>
  <r>
    <d v="2023-12-21T00:00:00"/>
    <x v="0"/>
    <x v="0"/>
    <n v="1"/>
    <x v="2"/>
    <n v="89000"/>
    <n v="65000"/>
    <n v="89000"/>
    <n v="65000"/>
    <n v="23832"/>
    <n v="167.99999999999997"/>
    <s v="11 mns"/>
    <x v="3"/>
    <n v="12"/>
    <x v="11"/>
  </r>
  <r>
    <d v="2023-12-21T00:00:00"/>
    <x v="2"/>
    <x v="2"/>
    <n v="1"/>
    <x v="0"/>
    <n v="33000"/>
    <n v="18000"/>
    <n v="33000"/>
    <n v="18000"/>
    <n v="14895"/>
    <n v="104.99999999999999"/>
    <s v="30 mns"/>
    <x v="1"/>
    <n v="12"/>
    <x v="11"/>
  </r>
  <r>
    <d v="2023-12-21T00:00:00"/>
    <x v="2"/>
    <x v="2"/>
    <n v="1"/>
    <x v="1"/>
    <n v="60000"/>
    <n v="31000"/>
    <n v="60000"/>
    <n v="31000"/>
    <n v="28797"/>
    <n v="202.99999999999997"/>
    <s v="30 mns"/>
    <x v="1"/>
    <n v="12"/>
    <x v="11"/>
  </r>
  <r>
    <d v="2023-12-21T00:00:00"/>
    <x v="2"/>
    <x v="2"/>
    <n v="1"/>
    <x v="2"/>
    <n v="89000"/>
    <n v="65000"/>
    <n v="89000"/>
    <n v="65000"/>
    <n v="23832"/>
    <n v="167.99999999999997"/>
    <s v="30 mns"/>
    <x v="1"/>
    <n v="12"/>
    <x v="11"/>
  </r>
  <r>
    <d v="2023-12-21T00:00:00"/>
    <x v="3"/>
    <x v="3"/>
    <n v="1"/>
    <x v="0"/>
    <n v="33000"/>
    <n v="18000"/>
    <n v="33000"/>
    <n v="18000"/>
    <n v="14895"/>
    <n v="104.99999999999999"/>
    <s v="35 mns"/>
    <x v="0"/>
    <n v="12"/>
    <x v="11"/>
  </r>
  <r>
    <d v="2023-12-21T00:00:00"/>
    <x v="3"/>
    <x v="3"/>
    <n v="1"/>
    <x v="1"/>
    <n v="60000"/>
    <n v="31000"/>
    <n v="60000"/>
    <n v="31000"/>
    <n v="28797"/>
    <n v="202.99999999999997"/>
    <s v="35 mns"/>
    <x v="1"/>
    <n v="12"/>
    <x v="11"/>
  </r>
  <r>
    <d v="2023-12-21T00:00:00"/>
    <x v="3"/>
    <x v="3"/>
    <n v="1"/>
    <x v="2"/>
    <n v="89000"/>
    <n v="65000"/>
    <n v="89000"/>
    <n v="65000"/>
    <n v="23832"/>
    <n v="167.99999999999997"/>
    <s v="35 mns"/>
    <x v="3"/>
    <n v="12"/>
    <x v="11"/>
  </r>
  <r>
    <d v="2023-12-22T00:00:00"/>
    <x v="0"/>
    <x v="0"/>
    <n v="1"/>
    <x v="0"/>
    <n v="33000"/>
    <n v="18000"/>
    <n v="33000"/>
    <n v="18000"/>
    <n v="14895"/>
    <n v="104.99999999999999"/>
    <s v="11 mns"/>
    <x v="1"/>
    <n v="12"/>
    <x v="11"/>
  </r>
  <r>
    <d v="2023-12-22T00:00:00"/>
    <x v="0"/>
    <x v="0"/>
    <n v="1"/>
    <x v="1"/>
    <n v="60000"/>
    <n v="31000"/>
    <n v="60000"/>
    <n v="31000"/>
    <n v="28797"/>
    <n v="202.99999999999997"/>
    <s v="11 mns"/>
    <x v="3"/>
    <n v="12"/>
    <x v="11"/>
  </r>
  <r>
    <d v="2023-12-22T00:00:00"/>
    <x v="0"/>
    <x v="0"/>
    <n v="1"/>
    <x v="2"/>
    <n v="89000"/>
    <n v="65000"/>
    <n v="89000"/>
    <n v="65000"/>
    <n v="23832"/>
    <n v="167.99999999999997"/>
    <s v="11 mns"/>
    <x v="1"/>
    <n v="12"/>
    <x v="11"/>
  </r>
  <r>
    <d v="2023-12-22T00:00:00"/>
    <x v="2"/>
    <x v="2"/>
    <n v="1"/>
    <x v="0"/>
    <n v="33000"/>
    <n v="18000"/>
    <n v="33000"/>
    <n v="18000"/>
    <n v="14895"/>
    <n v="104.99999999999999"/>
    <s v="30 mns"/>
    <x v="2"/>
    <n v="12"/>
    <x v="11"/>
  </r>
  <r>
    <d v="2023-12-22T00:00:00"/>
    <x v="2"/>
    <x v="2"/>
    <n v="1"/>
    <x v="1"/>
    <n v="60000"/>
    <n v="31000"/>
    <n v="60000"/>
    <n v="31000"/>
    <n v="28797"/>
    <n v="202.99999999999997"/>
    <s v="30 mns"/>
    <x v="1"/>
    <n v="12"/>
    <x v="11"/>
  </r>
  <r>
    <d v="2023-12-22T00:00:00"/>
    <x v="2"/>
    <x v="2"/>
    <n v="1"/>
    <x v="2"/>
    <n v="89000"/>
    <n v="65000"/>
    <n v="89000"/>
    <n v="65000"/>
    <n v="23832"/>
    <n v="167.99999999999997"/>
    <s v="30 mns"/>
    <x v="1"/>
    <n v="12"/>
    <x v="11"/>
  </r>
  <r>
    <d v="2023-12-22T00:00:00"/>
    <x v="3"/>
    <x v="3"/>
    <n v="1"/>
    <x v="0"/>
    <n v="33000"/>
    <n v="18000"/>
    <n v="33000"/>
    <n v="18000"/>
    <n v="14895"/>
    <n v="104.99999999999999"/>
    <s v="35 mns"/>
    <x v="1"/>
    <n v="12"/>
    <x v="11"/>
  </r>
  <r>
    <d v="2023-12-22T00:00:00"/>
    <x v="3"/>
    <x v="3"/>
    <n v="1"/>
    <x v="1"/>
    <n v="60000"/>
    <n v="31000"/>
    <n v="60000"/>
    <n v="31000"/>
    <n v="28797"/>
    <n v="202.99999999999997"/>
    <s v="35 mns"/>
    <x v="3"/>
    <n v="12"/>
    <x v="11"/>
  </r>
  <r>
    <d v="2023-12-22T00:00:00"/>
    <x v="3"/>
    <x v="3"/>
    <n v="1"/>
    <x v="2"/>
    <n v="89000"/>
    <n v="65000"/>
    <n v="89000"/>
    <n v="65000"/>
    <n v="23832"/>
    <n v="167.99999999999997"/>
    <s v="35 mns"/>
    <x v="0"/>
    <n v="12"/>
    <x v="11"/>
  </r>
  <r>
    <d v="2023-12-23T00:00:00"/>
    <x v="0"/>
    <x v="0"/>
    <n v="1"/>
    <x v="0"/>
    <n v="33000"/>
    <n v="18000"/>
    <n v="33000"/>
    <n v="18000"/>
    <n v="14895"/>
    <n v="104.99999999999999"/>
    <s v="11 mns"/>
    <x v="3"/>
    <n v="12"/>
    <x v="11"/>
  </r>
  <r>
    <d v="2023-12-23T00:00:00"/>
    <x v="0"/>
    <x v="0"/>
    <n v="1"/>
    <x v="1"/>
    <n v="60000"/>
    <n v="31000"/>
    <n v="60000"/>
    <n v="31000"/>
    <n v="28797"/>
    <n v="202.99999999999997"/>
    <s v="11 mns"/>
    <x v="1"/>
    <n v="12"/>
    <x v="11"/>
  </r>
  <r>
    <d v="2023-12-23T00:00:00"/>
    <x v="0"/>
    <x v="0"/>
    <n v="1"/>
    <x v="2"/>
    <n v="89000"/>
    <n v="65000"/>
    <n v="89000"/>
    <n v="65000"/>
    <n v="23832"/>
    <n v="167.99999999999997"/>
    <s v="11 mns"/>
    <x v="2"/>
    <n v="12"/>
    <x v="11"/>
  </r>
  <r>
    <d v="2023-12-23T00:00:00"/>
    <x v="2"/>
    <x v="2"/>
    <n v="1"/>
    <x v="0"/>
    <n v="33000"/>
    <n v="18000"/>
    <n v="33000"/>
    <n v="18000"/>
    <n v="14895"/>
    <n v="104.99999999999999"/>
    <s v="30 mns"/>
    <x v="3"/>
    <n v="12"/>
    <x v="11"/>
  </r>
  <r>
    <d v="2023-12-23T00:00:00"/>
    <x v="2"/>
    <x v="2"/>
    <n v="1"/>
    <x v="1"/>
    <n v="60000"/>
    <n v="31000"/>
    <n v="60000"/>
    <n v="31000"/>
    <n v="28797"/>
    <n v="202.99999999999997"/>
    <s v="30 mns"/>
    <x v="3"/>
    <n v="12"/>
    <x v="11"/>
  </r>
  <r>
    <d v="2023-12-23T00:00:00"/>
    <x v="2"/>
    <x v="2"/>
    <n v="1"/>
    <x v="2"/>
    <n v="89000"/>
    <n v="65000"/>
    <n v="89000"/>
    <n v="65000"/>
    <n v="23832"/>
    <n v="167.99999999999997"/>
    <s v="30 mns"/>
    <x v="3"/>
    <n v="12"/>
    <x v="11"/>
  </r>
  <r>
    <d v="2023-12-23T00:00:00"/>
    <x v="3"/>
    <x v="3"/>
    <n v="1"/>
    <x v="0"/>
    <n v="33000"/>
    <n v="18000"/>
    <n v="33000"/>
    <n v="18000"/>
    <n v="14895"/>
    <n v="104.99999999999999"/>
    <s v="35 mns"/>
    <x v="0"/>
    <n v="12"/>
    <x v="11"/>
  </r>
  <r>
    <d v="2023-12-23T00:00:00"/>
    <x v="3"/>
    <x v="3"/>
    <n v="1"/>
    <x v="1"/>
    <n v="60000"/>
    <n v="31000"/>
    <n v="60000"/>
    <n v="31000"/>
    <n v="28797"/>
    <n v="202.99999999999997"/>
    <s v="35 mns"/>
    <x v="3"/>
    <n v="12"/>
    <x v="11"/>
  </r>
  <r>
    <d v="2023-12-23T00:00:00"/>
    <x v="3"/>
    <x v="3"/>
    <n v="1"/>
    <x v="2"/>
    <n v="89000"/>
    <n v="65000"/>
    <n v="89000"/>
    <n v="65000"/>
    <n v="23832"/>
    <n v="167.99999999999997"/>
    <s v="35 mns"/>
    <x v="3"/>
    <n v="12"/>
    <x v="11"/>
  </r>
  <r>
    <d v="2023-12-24T00:00:00"/>
    <x v="0"/>
    <x v="0"/>
    <n v="2"/>
    <x v="0"/>
    <n v="33000"/>
    <n v="18000"/>
    <n v="66000"/>
    <n v="36000"/>
    <n v="29790"/>
    <n v="209.99999999999997"/>
    <s v="11 mns"/>
    <x v="3"/>
    <n v="12"/>
    <x v="11"/>
  </r>
  <r>
    <d v="2023-12-24T00:00:00"/>
    <x v="0"/>
    <x v="0"/>
    <n v="2"/>
    <x v="1"/>
    <n v="60000"/>
    <n v="31000"/>
    <n v="120000"/>
    <n v="62000"/>
    <n v="57594"/>
    <n v="405.99999999999994"/>
    <s v="11 mns"/>
    <x v="0"/>
    <n v="12"/>
    <x v="11"/>
  </r>
  <r>
    <d v="2023-12-24T00:00:00"/>
    <x v="0"/>
    <x v="0"/>
    <n v="2"/>
    <x v="2"/>
    <n v="89000"/>
    <n v="65000"/>
    <n v="178000"/>
    <n v="130000"/>
    <n v="47664"/>
    <n v="335.99999999999994"/>
    <s v="11 mns"/>
    <x v="3"/>
    <n v="12"/>
    <x v="11"/>
  </r>
  <r>
    <d v="2023-12-24T00:00:00"/>
    <x v="2"/>
    <x v="2"/>
    <n v="2"/>
    <x v="0"/>
    <n v="33000"/>
    <n v="18000"/>
    <n v="66000"/>
    <n v="36000"/>
    <n v="29790"/>
    <n v="209.99999999999997"/>
    <s v="30 mns"/>
    <x v="3"/>
    <n v="12"/>
    <x v="11"/>
  </r>
  <r>
    <d v="2023-12-24T00:00:00"/>
    <x v="2"/>
    <x v="2"/>
    <n v="2"/>
    <x v="1"/>
    <n v="60000"/>
    <n v="31000"/>
    <n v="120000"/>
    <n v="62000"/>
    <n v="57594"/>
    <n v="405.99999999999994"/>
    <s v="30 mns"/>
    <x v="3"/>
    <n v="12"/>
    <x v="11"/>
  </r>
  <r>
    <d v="2023-12-24T00:00:00"/>
    <x v="2"/>
    <x v="2"/>
    <n v="2"/>
    <x v="2"/>
    <n v="89000"/>
    <n v="65000"/>
    <n v="178000"/>
    <n v="130000"/>
    <n v="47664"/>
    <n v="335.99999999999994"/>
    <s v="30 mns"/>
    <x v="3"/>
    <n v="12"/>
    <x v="11"/>
  </r>
  <r>
    <d v="2023-12-24T00:00:00"/>
    <x v="3"/>
    <x v="3"/>
    <n v="2"/>
    <x v="0"/>
    <n v="33000"/>
    <n v="18000"/>
    <n v="66000"/>
    <n v="36000"/>
    <n v="29790"/>
    <n v="209.99999999999997"/>
    <s v="35 mns"/>
    <x v="0"/>
    <n v="12"/>
    <x v="11"/>
  </r>
  <r>
    <d v="2023-12-24T00:00:00"/>
    <x v="3"/>
    <x v="3"/>
    <n v="2"/>
    <x v="1"/>
    <n v="60000"/>
    <n v="31000"/>
    <n v="120000"/>
    <n v="62000"/>
    <n v="57594"/>
    <n v="405.99999999999994"/>
    <s v="35 mns"/>
    <x v="1"/>
    <n v="12"/>
    <x v="11"/>
  </r>
  <r>
    <d v="2023-12-24T00:00:00"/>
    <x v="3"/>
    <x v="3"/>
    <n v="2"/>
    <x v="2"/>
    <n v="89000"/>
    <n v="65000"/>
    <n v="178000"/>
    <n v="130000"/>
    <n v="47664"/>
    <n v="335.99999999999994"/>
    <s v="35 mns"/>
    <x v="0"/>
    <n v="12"/>
    <x v="11"/>
  </r>
  <r>
    <d v="2023-12-25T00:00:00"/>
    <x v="0"/>
    <x v="0"/>
    <n v="1"/>
    <x v="0"/>
    <n v="33000"/>
    <n v="18000"/>
    <n v="33000"/>
    <n v="18000"/>
    <n v="14895"/>
    <n v="104.99999999999999"/>
    <s v="11 mns"/>
    <x v="3"/>
    <n v="12"/>
    <x v="11"/>
  </r>
  <r>
    <d v="2023-12-25T00:00:00"/>
    <x v="0"/>
    <x v="0"/>
    <n v="1"/>
    <x v="1"/>
    <n v="60000"/>
    <n v="31000"/>
    <n v="60000"/>
    <n v="31000"/>
    <n v="28797"/>
    <n v="202.99999999999997"/>
    <s v="11 mns"/>
    <x v="0"/>
    <n v="12"/>
    <x v="11"/>
  </r>
  <r>
    <d v="2023-12-25T00:00:00"/>
    <x v="0"/>
    <x v="0"/>
    <n v="1"/>
    <x v="2"/>
    <n v="89000"/>
    <n v="65000"/>
    <n v="89000"/>
    <n v="65000"/>
    <n v="23832"/>
    <n v="167.99999999999997"/>
    <s v="11 mns"/>
    <x v="3"/>
    <n v="12"/>
    <x v="11"/>
  </r>
  <r>
    <d v="2023-12-25T00:00:00"/>
    <x v="2"/>
    <x v="2"/>
    <n v="1"/>
    <x v="0"/>
    <n v="33000"/>
    <n v="18000"/>
    <n v="33000"/>
    <n v="18000"/>
    <n v="14895"/>
    <n v="104.99999999999999"/>
    <s v="30 mns"/>
    <x v="3"/>
    <n v="12"/>
    <x v="11"/>
  </r>
  <r>
    <d v="2023-12-25T00:00:00"/>
    <x v="2"/>
    <x v="2"/>
    <n v="1"/>
    <x v="1"/>
    <n v="60000"/>
    <n v="31000"/>
    <n v="60000"/>
    <n v="31000"/>
    <n v="28797"/>
    <n v="202.99999999999997"/>
    <s v="30 mns"/>
    <x v="3"/>
    <n v="12"/>
    <x v="11"/>
  </r>
  <r>
    <d v="2023-12-25T00:00:00"/>
    <x v="2"/>
    <x v="2"/>
    <n v="1"/>
    <x v="2"/>
    <n v="89000"/>
    <n v="65000"/>
    <n v="89000"/>
    <n v="65000"/>
    <n v="23832"/>
    <n v="167.99999999999997"/>
    <s v="30 mns"/>
    <x v="1"/>
    <n v="12"/>
    <x v="11"/>
  </r>
  <r>
    <d v="2023-12-25T00:00:00"/>
    <x v="3"/>
    <x v="3"/>
    <n v="1"/>
    <x v="0"/>
    <n v="33000"/>
    <n v="18000"/>
    <n v="33000"/>
    <n v="18000"/>
    <n v="14895"/>
    <n v="104.99999999999999"/>
    <s v="35 mns"/>
    <x v="0"/>
    <n v="12"/>
    <x v="11"/>
  </r>
  <r>
    <d v="2023-12-25T00:00:00"/>
    <x v="3"/>
    <x v="3"/>
    <n v="1"/>
    <x v="1"/>
    <n v="60000"/>
    <n v="31000"/>
    <n v="60000"/>
    <n v="31000"/>
    <n v="28797"/>
    <n v="202.99999999999997"/>
    <s v="35 mns"/>
    <x v="1"/>
    <n v="12"/>
    <x v="11"/>
  </r>
  <r>
    <d v="2023-12-25T00:00:00"/>
    <x v="3"/>
    <x v="3"/>
    <n v="1"/>
    <x v="2"/>
    <n v="89000"/>
    <n v="65000"/>
    <n v="89000"/>
    <n v="65000"/>
    <n v="23832"/>
    <n v="167.99999999999997"/>
    <s v="35 mns"/>
    <x v="3"/>
    <n v="12"/>
    <x v="11"/>
  </r>
  <r>
    <d v="2023-12-26T00:00:00"/>
    <x v="0"/>
    <x v="0"/>
    <n v="2"/>
    <x v="0"/>
    <n v="33000"/>
    <n v="18000"/>
    <n v="66000"/>
    <n v="36000"/>
    <n v="29790"/>
    <n v="209.99999999999997"/>
    <s v="11 mns"/>
    <x v="0"/>
    <n v="12"/>
    <x v="11"/>
  </r>
  <r>
    <d v="2023-12-26T00:00:00"/>
    <x v="0"/>
    <x v="0"/>
    <n v="2"/>
    <x v="1"/>
    <n v="60000"/>
    <n v="31000"/>
    <n v="120000"/>
    <n v="62000"/>
    <n v="57594"/>
    <n v="405.99999999999994"/>
    <s v="11 mns"/>
    <x v="3"/>
    <n v="12"/>
    <x v="11"/>
  </r>
  <r>
    <d v="2023-12-26T00:00:00"/>
    <x v="0"/>
    <x v="0"/>
    <n v="2"/>
    <x v="2"/>
    <n v="89000"/>
    <n v="65000"/>
    <n v="178000"/>
    <n v="130000"/>
    <n v="47664"/>
    <n v="335.99999999999994"/>
    <s v="11 mns"/>
    <x v="0"/>
    <n v="12"/>
    <x v="11"/>
  </r>
  <r>
    <d v="2023-12-26T00:00:00"/>
    <x v="2"/>
    <x v="2"/>
    <n v="2"/>
    <x v="0"/>
    <n v="33000"/>
    <n v="18000"/>
    <n v="66000"/>
    <n v="36000"/>
    <n v="29790"/>
    <n v="209.99999999999997"/>
    <s v="30 mns"/>
    <x v="0"/>
    <n v="12"/>
    <x v="11"/>
  </r>
  <r>
    <d v="2023-12-26T00:00:00"/>
    <x v="2"/>
    <x v="2"/>
    <n v="2"/>
    <x v="1"/>
    <n v="60000"/>
    <n v="31000"/>
    <n v="120000"/>
    <n v="62000"/>
    <n v="57594"/>
    <n v="405.99999999999994"/>
    <s v="30 mns"/>
    <x v="0"/>
    <n v="12"/>
    <x v="11"/>
  </r>
  <r>
    <d v="2023-12-26T00:00:00"/>
    <x v="2"/>
    <x v="2"/>
    <n v="2"/>
    <x v="2"/>
    <n v="89000"/>
    <n v="65000"/>
    <n v="178000"/>
    <n v="130000"/>
    <n v="47664"/>
    <n v="335.99999999999994"/>
    <s v="30 mns"/>
    <x v="1"/>
    <n v="12"/>
    <x v="11"/>
  </r>
  <r>
    <d v="2023-12-26T00:00:00"/>
    <x v="3"/>
    <x v="3"/>
    <n v="2"/>
    <x v="0"/>
    <n v="33000"/>
    <n v="18000"/>
    <n v="66000"/>
    <n v="36000"/>
    <n v="29790"/>
    <n v="209.99999999999997"/>
    <s v="35 mns"/>
    <x v="3"/>
    <n v="12"/>
    <x v="11"/>
  </r>
  <r>
    <d v="2023-12-26T00:00:00"/>
    <x v="3"/>
    <x v="3"/>
    <n v="2"/>
    <x v="1"/>
    <n v="60000"/>
    <n v="31000"/>
    <n v="120000"/>
    <n v="62000"/>
    <n v="57594"/>
    <n v="405.99999999999994"/>
    <s v="35 mns"/>
    <x v="3"/>
    <n v="12"/>
    <x v="11"/>
  </r>
  <r>
    <d v="2023-12-26T00:00:00"/>
    <x v="3"/>
    <x v="3"/>
    <n v="2"/>
    <x v="2"/>
    <n v="89000"/>
    <n v="65000"/>
    <n v="178000"/>
    <n v="130000"/>
    <n v="47664"/>
    <n v="335.99999999999994"/>
    <s v="35 mns"/>
    <x v="3"/>
    <n v="12"/>
    <x v="11"/>
  </r>
  <r>
    <d v="2023-12-27T00:00:00"/>
    <x v="0"/>
    <x v="0"/>
    <n v="1"/>
    <x v="0"/>
    <n v="33000"/>
    <n v="18000"/>
    <n v="33000"/>
    <n v="18000"/>
    <n v="14895"/>
    <n v="104.99999999999999"/>
    <s v="11 mns"/>
    <x v="3"/>
    <n v="12"/>
    <x v="11"/>
  </r>
  <r>
    <d v="2023-12-27T00:00:00"/>
    <x v="0"/>
    <x v="0"/>
    <n v="1"/>
    <x v="1"/>
    <n v="60000"/>
    <n v="31000"/>
    <n v="60000"/>
    <n v="31000"/>
    <n v="28797"/>
    <n v="202.99999999999997"/>
    <s v="11 mns"/>
    <x v="1"/>
    <n v="12"/>
    <x v="11"/>
  </r>
  <r>
    <d v="2023-12-27T00:00:00"/>
    <x v="0"/>
    <x v="0"/>
    <n v="1"/>
    <x v="2"/>
    <n v="89000"/>
    <n v="65000"/>
    <n v="89000"/>
    <n v="65000"/>
    <n v="23832"/>
    <n v="167.99999999999997"/>
    <s v="11 mns"/>
    <x v="2"/>
    <n v="12"/>
    <x v="11"/>
  </r>
  <r>
    <d v="2023-12-27T00:00:00"/>
    <x v="1"/>
    <x v="1"/>
    <n v="1"/>
    <x v="1"/>
    <n v="60000"/>
    <n v="31000"/>
    <n v="60000"/>
    <n v="31000"/>
    <n v="28797"/>
    <n v="202.99999999999997"/>
    <s v="58 mns"/>
    <x v="1"/>
    <n v="12"/>
    <x v="11"/>
  </r>
  <r>
    <d v="2023-12-27T00:00:00"/>
    <x v="2"/>
    <x v="2"/>
    <n v="1"/>
    <x v="1"/>
    <n v="60000"/>
    <n v="31000"/>
    <n v="60000"/>
    <n v="31000"/>
    <n v="28797"/>
    <n v="202.99999999999997"/>
    <s v="30 mns"/>
    <x v="1"/>
    <n v="12"/>
    <x v="11"/>
  </r>
  <r>
    <d v="2023-12-27T00:00:00"/>
    <x v="2"/>
    <x v="2"/>
    <n v="1"/>
    <x v="2"/>
    <n v="89000"/>
    <n v="65000"/>
    <n v="89000"/>
    <n v="65000"/>
    <n v="23832"/>
    <n v="167.99999999999997"/>
    <s v="30 mns"/>
    <x v="3"/>
    <n v="12"/>
    <x v="11"/>
  </r>
  <r>
    <d v="2023-12-27T00:00:00"/>
    <x v="3"/>
    <x v="3"/>
    <n v="1"/>
    <x v="0"/>
    <n v="33000"/>
    <n v="18000"/>
    <n v="33000"/>
    <n v="18000"/>
    <n v="14895"/>
    <n v="104.99999999999999"/>
    <s v="35 mns"/>
    <x v="3"/>
    <n v="12"/>
    <x v="11"/>
  </r>
  <r>
    <d v="2023-12-27T00:00:00"/>
    <x v="3"/>
    <x v="3"/>
    <n v="1"/>
    <x v="1"/>
    <n v="60000"/>
    <n v="31000"/>
    <n v="60000"/>
    <n v="31000"/>
    <n v="28797"/>
    <n v="202.99999999999997"/>
    <s v="35 mns"/>
    <x v="0"/>
    <n v="12"/>
    <x v="11"/>
  </r>
  <r>
    <d v="2023-12-27T00:00:00"/>
    <x v="3"/>
    <x v="3"/>
    <n v="1"/>
    <x v="2"/>
    <n v="89000"/>
    <n v="65000"/>
    <n v="89000"/>
    <n v="65000"/>
    <n v="23832"/>
    <n v="167.99999999999997"/>
    <s v="35 mns"/>
    <x v="3"/>
    <n v="12"/>
    <x v="11"/>
  </r>
  <r>
    <d v="2023-12-28T00:00:00"/>
    <x v="0"/>
    <x v="0"/>
    <n v="1"/>
    <x v="0"/>
    <n v="33000"/>
    <n v="18000"/>
    <n v="33000"/>
    <n v="18000"/>
    <n v="14895"/>
    <n v="104.99999999999999"/>
    <s v="11 mns"/>
    <x v="3"/>
    <n v="12"/>
    <x v="11"/>
  </r>
  <r>
    <d v="2023-12-28T00:00:00"/>
    <x v="0"/>
    <x v="0"/>
    <n v="1"/>
    <x v="1"/>
    <n v="60000"/>
    <n v="31000"/>
    <n v="60000"/>
    <n v="31000"/>
    <n v="28797"/>
    <n v="202.99999999999997"/>
    <s v="11 mns"/>
    <x v="3"/>
    <n v="12"/>
    <x v="11"/>
  </r>
  <r>
    <d v="2023-12-28T00:00:00"/>
    <x v="0"/>
    <x v="0"/>
    <n v="1"/>
    <x v="2"/>
    <n v="89000"/>
    <n v="65000"/>
    <n v="89000"/>
    <n v="65000"/>
    <n v="23832"/>
    <n v="167.99999999999997"/>
    <s v="11 mns"/>
    <x v="1"/>
    <n v="12"/>
    <x v="11"/>
  </r>
  <r>
    <d v="2023-12-28T00:00:00"/>
    <x v="1"/>
    <x v="1"/>
    <n v="1"/>
    <x v="1"/>
    <n v="60000"/>
    <n v="31000"/>
    <n v="60000"/>
    <n v="31000"/>
    <n v="28797"/>
    <n v="202.99999999999997"/>
    <s v="58 mns"/>
    <x v="0"/>
    <n v="12"/>
    <x v="11"/>
  </r>
  <r>
    <d v="2023-12-28T00:00:00"/>
    <x v="2"/>
    <x v="2"/>
    <n v="1"/>
    <x v="0"/>
    <n v="33000"/>
    <n v="18000"/>
    <n v="33000"/>
    <n v="18000"/>
    <n v="14895"/>
    <n v="104.99999999999999"/>
    <s v="30 mns"/>
    <x v="0"/>
    <n v="12"/>
    <x v="11"/>
  </r>
  <r>
    <d v="2023-12-28T00:00:00"/>
    <x v="2"/>
    <x v="2"/>
    <n v="1"/>
    <x v="1"/>
    <n v="60000"/>
    <n v="31000"/>
    <n v="60000"/>
    <n v="31000"/>
    <n v="28797"/>
    <n v="202.99999999999997"/>
    <s v="30 mns"/>
    <x v="3"/>
    <n v="12"/>
    <x v="11"/>
  </r>
  <r>
    <d v="2023-12-28T00:00:00"/>
    <x v="2"/>
    <x v="2"/>
    <n v="1"/>
    <x v="2"/>
    <n v="89000"/>
    <n v="65000"/>
    <n v="89000"/>
    <n v="65000"/>
    <n v="23832"/>
    <n v="167.99999999999997"/>
    <s v="30 mns"/>
    <x v="3"/>
    <n v="12"/>
    <x v="11"/>
  </r>
  <r>
    <d v="2023-12-28T00:00:00"/>
    <x v="3"/>
    <x v="3"/>
    <n v="1"/>
    <x v="0"/>
    <n v="33000"/>
    <n v="18000"/>
    <n v="33000"/>
    <n v="18000"/>
    <n v="14895"/>
    <n v="104.99999999999999"/>
    <s v="35 mns"/>
    <x v="1"/>
    <n v="12"/>
    <x v="11"/>
  </r>
  <r>
    <d v="2023-12-28T00:00:00"/>
    <x v="3"/>
    <x v="3"/>
    <n v="1"/>
    <x v="1"/>
    <n v="60000"/>
    <n v="31000"/>
    <n v="60000"/>
    <n v="31000"/>
    <n v="28797"/>
    <n v="202.99999999999997"/>
    <s v="35 mns"/>
    <x v="0"/>
    <n v="12"/>
    <x v="11"/>
  </r>
  <r>
    <d v="2023-12-28T00:00:00"/>
    <x v="3"/>
    <x v="3"/>
    <n v="1"/>
    <x v="2"/>
    <n v="89000"/>
    <n v="65000"/>
    <n v="89000"/>
    <n v="65000"/>
    <n v="23832"/>
    <n v="167.99999999999997"/>
    <s v="35 mns"/>
    <x v="2"/>
    <n v="12"/>
    <x v="11"/>
  </r>
  <r>
    <d v="2023-12-29T00:00:00"/>
    <x v="0"/>
    <x v="0"/>
    <n v="1"/>
    <x v="0"/>
    <n v="33000"/>
    <n v="18000"/>
    <n v="33000"/>
    <n v="18000"/>
    <n v="14895"/>
    <n v="104.99999999999999"/>
    <s v="11 mns"/>
    <x v="3"/>
    <n v="12"/>
    <x v="11"/>
  </r>
  <r>
    <d v="2023-12-29T00:00:00"/>
    <x v="0"/>
    <x v="0"/>
    <n v="1"/>
    <x v="1"/>
    <n v="60000"/>
    <n v="31000"/>
    <n v="60000"/>
    <n v="31000"/>
    <n v="28797"/>
    <n v="202.99999999999997"/>
    <s v="11 mns"/>
    <x v="1"/>
    <n v="12"/>
    <x v="11"/>
  </r>
  <r>
    <d v="2023-12-29T00:00:00"/>
    <x v="0"/>
    <x v="0"/>
    <n v="1"/>
    <x v="2"/>
    <n v="89000"/>
    <n v="65000"/>
    <n v="89000"/>
    <n v="65000"/>
    <n v="23832"/>
    <n v="167.99999999999997"/>
    <s v="11 mns"/>
    <x v="3"/>
    <n v="12"/>
    <x v="11"/>
  </r>
  <r>
    <d v="2023-12-29T00:00:00"/>
    <x v="1"/>
    <x v="1"/>
    <n v="1"/>
    <x v="0"/>
    <n v="33000"/>
    <n v="18000"/>
    <n v="33000"/>
    <n v="18000"/>
    <n v="14895"/>
    <n v="104.99999999999999"/>
    <s v="58 mns"/>
    <x v="3"/>
    <n v="12"/>
    <x v="11"/>
  </r>
  <r>
    <d v="2023-12-29T00:00:00"/>
    <x v="1"/>
    <x v="1"/>
    <n v="1"/>
    <x v="1"/>
    <n v="60000"/>
    <n v="31000"/>
    <n v="60000"/>
    <n v="31000"/>
    <n v="28797"/>
    <n v="202.99999999999997"/>
    <s v="58 mns"/>
    <x v="3"/>
    <n v="12"/>
    <x v="11"/>
  </r>
  <r>
    <d v="2023-12-29T00:00:00"/>
    <x v="2"/>
    <x v="2"/>
    <n v="1"/>
    <x v="1"/>
    <n v="60000"/>
    <n v="31000"/>
    <n v="60000"/>
    <n v="31000"/>
    <n v="28797"/>
    <n v="202.99999999999997"/>
    <s v="30 mns"/>
    <x v="3"/>
    <n v="12"/>
    <x v="11"/>
  </r>
  <r>
    <d v="2023-12-29T00:00:00"/>
    <x v="2"/>
    <x v="2"/>
    <n v="1"/>
    <x v="2"/>
    <n v="89000"/>
    <n v="65000"/>
    <n v="89000"/>
    <n v="65000"/>
    <n v="23832"/>
    <n v="167.99999999999997"/>
    <s v="30 mns"/>
    <x v="0"/>
    <n v="12"/>
    <x v="11"/>
  </r>
  <r>
    <d v="2023-12-29T00:00:00"/>
    <x v="3"/>
    <x v="3"/>
    <n v="1"/>
    <x v="0"/>
    <n v="33000"/>
    <n v="18000"/>
    <n v="33000"/>
    <n v="18000"/>
    <n v="14895"/>
    <n v="104.99999999999999"/>
    <s v="35 mns"/>
    <x v="3"/>
    <n v="12"/>
    <x v="11"/>
  </r>
  <r>
    <d v="2023-12-29T00:00:00"/>
    <x v="3"/>
    <x v="3"/>
    <n v="1"/>
    <x v="1"/>
    <n v="60000"/>
    <n v="31000"/>
    <n v="60000"/>
    <n v="31000"/>
    <n v="28797"/>
    <n v="202.99999999999997"/>
    <s v="35 mns"/>
    <x v="1"/>
    <n v="12"/>
    <x v="11"/>
  </r>
  <r>
    <d v="2023-12-29T00:00:00"/>
    <x v="3"/>
    <x v="3"/>
    <n v="1"/>
    <x v="2"/>
    <n v="89000"/>
    <n v="65000"/>
    <n v="89000"/>
    <n v="65000"/>
    <n v="23832"/>
    <n v="167.99999999999997"/>
    <s v="35 mns"/>
    <x v="1"/>
    <n v="12"/>
    <x v="11"/>
  </r>
  <r>
    <d v="2023-12-30T00:00:00"/>
    <x v="0"/>
    <x v="0"/>
    <n v="2"/>
    <x v="0"/>
    <n v="33000"/>
    <n v="18000"/>
    <n v="66000"/>
    <n v="36000"/>
    <n v="29790"/>
    <n v="209.99999999999997"/>
    <s v="11 mns"/>
    <x v="3"/>
    <n v="12"/>
    <x v="11"/>
  </r>
  <r>
    <d v="2023-12-30T00:00:00"/>
    <x v="0"/>
    <x v="0"/>
    <n v="2"/>
    <x v="1"/>
    <n v="60000"/>
    <n v="31000"/>
    <n v="120000"/>
    <n v="62000"/>
    <n v="57594"/>
    <n v="405.99999999999994"/>
    <s v="11 mns"/>
    <x v="3"/>
    <n v="12"/>
    <x v="11"/>
  </r>
  <r>
    <d v="2023-12-30T00:00:00"/>
    <x v="0"/>
    <x v="0"/>
    <n v="2"/>
    <x v="2"/>
    <n v="89000"/>
    <n v="65000"/>
    <n v="178000"/>
    <n v="130000"/>
    <n v="47664"/>
    <n v="335.99999999999994"/>
    <s v="11 mns"/>
    <x v="1"/>
    <n v="12"/>
    <x v="11"/>
  </r>
  <r>
    <d v="2023-12-30T00:00:00"/>
    <x v="1"/>
    <x v="1"/>
    <n v="2"/>
    <x v="0"/>
    <n v="33000"/>
    <n v="18000"/>
    <n v="66000"/>
    <n v="36000"/>
    <n v="29790"/>
    <n v="209.99999999999997"/>
    <s v="58 mns"/>
    <x v="3"/>
    <n v="12"/>
    <x v="11"/>
  </r>
  <r>
    <d v="2023-12-30T00:00:00"/>
    <x v="1"/>
    <x v="1"/>
    <n v="2"/>
    <x v="1"/>
    <n v="60000"/>
    <n v="31000"/>
    <n v="120000"/>
    <n v="62000"/>
    <n v="57594"/>
    <n v="405.99999999999994"/>
    <s v="58 mns"/>
    <x v="1"/>
    <n v="12"/>
    <x v="11"/>
  </r>
  <r>
    <d v="2023-12-30T00:00:00"/>
    <x v="2"/>
    <x v="2"/>
    <n v="2"/>
    <x v="1"/>
    <n v="60000"/>
    <n v="31000"/>
    <n v="120000"/>
    <n v="62000"/>
    <n v="57594"/>
    <n v="405.99999999999994"/>
    <s v="30 mns"/>
    <x v="1"/>
    <n v="12"/>
    <x v="11"/>
  </r>
  <r>
    <d v="2023-12-30T00:00:00"/>
    <x v="2"/>
    <x v="2"/>
    <n v="2"/>
    <x v="2"/>
    <n v="89000"/>
    <n v="65000"/>
    <n v="178000"/>
    <n v="130000"/>
    <n v="47664"/>
    <n v="335.99999999999994"/>
    <s v="30 mns"/>
    <x v="1"/>
    <n v="12"/>
    <x v="11"/>
  </r>
  <r>
    <d v="2023-12-30T00:00:00"/>
    <x v="3"/>
    <x v="3"/>
    <n v="2"/>
    <x v="0"/>
    <n v="33000"/>
    <n v="18000"/>
    <n v="66000"/>
    <n v="36000"/>
    <n v="29790"/>
    <n v="209.99999999999997"/>
    <s v="35 mns"/>
    <x v="0"/>
    <n v="12"/>
    <x v="11"/>
  </r>
  <r>
    <d v="2023-12-30T00:00:00"/>
    <x v="3"/>
    <x v="3"/>
    <n v="2"/>
    <x v="1"/>
    <n v="60000"/>
    <n v="31000"/>
    <n v="120000"/>
    <n v="62000"/>
    <n v="57594"/>
    <n v="405.99999999999994"/>
    <s v="35 mns"/>
    <x v="0"/>
    <n v="12"/>
    <x v="11"/>
  </r>
  <r>
    <d v="2023-12-30T00:00:00"/>
    <x v="3"/>
    <x v="3"/>
    <n v="2"/>
    <x v="2"/>
    <n v="89000"/>
    <n v="65000"/>
    <n v="178000"/>
    <n v="130000"/>
    <n v="47664"/>
    <n v="335.99999999999994"/>
    <s v="35 mns"/>
    <x v="0"/>
    <n v="12"/>
    <x v="11"/>
  </r>
  <r>
    <d v="2023-12-31T00:00:00"/>
    <x v="0"/>
    <x v="0"/>
    <n v="2"/>
    <x v="0"/>
    <n v="33000"/>
    <n v="18000"/>
    <n v="66000"/>
    <n v="36000"/>
    <n v="29790"/>
    <n v="209.99999999999997"/>
    <s v="11 mns"/>
    <x v="3"/>
    <n v="12"/>
    <x v="11"/>
  </r>
  <r>
    <d v="2023-12-31T00:00:00"/>
    <x v="0"/>
    <x v="0"/>
    <n v="2"/>
    <x v="1"/>
    <n v="60000"/>
    <n v="31000"/>
    <n v="120000"/>
    <n v="62000"/>
    <n v="57594"/>
    <n v="405.99999999999994"/>
    <s v="11 mns"/>
    <x v="3"/>
    <n v="12"/>
    <x v="11"/>
  </r>
  <r>
    <d v="2023-12-31T00:00:00"/>
    <x v="0"/>
    <x v="0"/>
    <n v="2"/>
    <x v="2"/>
    <n v="89000"/>
    <n v="65000"/>
    <n v="178000"/>
    <n v="130000"/>
    <n v="47664"/>
    <n v="335.99999999999994"/>
    <s v="11 mns"/>
    <x v="0"/>
    <n v="12"/>
    <x v="11"/>
  </r>
  <r>
    <d v="2023-12-31T00:00:00"/>
    <x v="1"/>
    <x v="1"/>
    <n v="2"/>
    <x v="0"/>
    <n v="33000"/>
    <n v="18000"/>
    <n v="66000"/>
    <n v="36000"/>
    <n v="29790"/>
    <n v="209.99999999999997"/>
    <s v="58 mns"/>
    <x v="3"/>
    <n v="12"/>
    <x v="11"/>
  </r>
  <r>
    <d v="2023-12-31T00:00:00"/>
    <x v="1"/>
    <x v="1"/>
    <n v="2"/>
    <x v="1"/>
    <n v="60000"/>
    <n v="31000"/>
    <n v="120000"/>
    <n v="62000"/>
    <n v="57594"/>
    <n v="405.99999999999994"/>
    <s v="58 mns"/>
    <x v="3"/>
    <n v="12"/>
    <x v="11"/>
  </r>
  <r>
    <d v="2023-12-31T00:00:00"/>
    <x v="1"/>
    <x v="1"/>
    <n v="2"/>
    <x v="2"/>
    <n v="89000"/>
    <n v="65000"/>
    <n v="178000"/>
    <n v="130000"/>
    <n v="47664"/>
    <n v="335.99999999999994"/>
    <s v="58 mns"/>
    <x v="0"/>
    <n v="12"/>
    <x v="11"/>
  </r>
  <r>
    <d v="2023-12-31T00:00:00"/>
    <x v="2"/>
    <x v="2"/>
    <n v="2"/>
    <x v="0"/>
    <n v="33000"/>
    <n v="18000"/>
    <n v="66000"/>
    <n v="36000"/>
    <n v="29790"/>
    <n v="209.99999999999997"/>
    <s v="30 mns"/>
    <x v="0"/>
    <n v="12"/>
    <x v="11"/>
  </r>
  <r>
    <d v="2023-12-31T00:00:00"/>
    <x v="2"/>
    <x v="2"/>
    <n v="2"/>
    <x v="1"/>
    <n v="60000"/>
    <n v="31000"/>
    <n v="120000"/>
    <n v="62000"/>
    <n v="57594"/>
    <n v="405.99999999999994"/>
    <s v="30 mns"/>
    <x v="3"/>
    <n v="12"/>
    <x v="11"/>
  </r>
  <r>
    <d v="2023-12-31T00:00:00"/>
    <x v="2"/>
    <x v="2"/>
    <n v="2"/>
    <x v="2"/>
    <n v="89000"/>
    <n v="65000"/>
    <n v="178000"/>
    <n v="130000"/>
    <n v="47664"/>
    <n v="335.99999999999994"/>
    <s v="30 mns"/>
    <x v="0"/>
    <n v="12"/>
    <x v="11"/>
  </r>
  <r>
    <d v="2023-12-31T00:00:00"/>
    <x v="3"/>
    <x v="3"/>
    <n v="2"/>
    <x v="0"/>
    <n v="33000"/>
    <n v="18000"/>
    <n v="66000"/>
    <n v="36000"/>
    <n v="29790"/>
    <n v="209.99999999999997"/>
    <s v="35 mns"/>
    <x v="3"/>
    <n v="12"/>
    <x v="11"/>
  </r>
  <r>
    <d v="2023-12-31T00:00:00"/>
    <x v="3"/>
    <x v="3"/>
    <n v="2"/>
    <x v="1"/>
    <n v="60000"/>
    <n v="31000"/>
    <n v="120000"/>
    <n v="62000"/>
    <n v="57594"/>
    <n v="405.99999999999994"/>
    <s v="35 mns"/>
    <x v="1"/>
    <n v="12"/>
    <x v="11"/>
  </r>
  <r>
    <d v="2023-12-31T00:00:00"/>
    <x v="3"/>
    <x v="3"/>
    <n v="2"/>
    <x v="2"/>
    <n v="89000"/>
    <n v="65000"/>
    <n v="178000"/>
    <n v="130000"/>
    <n v="47664"/>
    <n v="335.99999999999994"/>
    <s v="35 mns"/>
    <x v="0"/>
    <n v="1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ost Tota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Sales Person" colHeaderCaption="Location">
  <location ref="A21:A22" firstHeaderRow="1" firstDataRow="1" firstDataCol="0"/>
  <pivotFields count="15">
    <pivotField numFmtId="14" showAll="0"/>
    <pivotField showAll="0"/>
    <pivotField showAll="0" defaultSubtotal="0">
      <items count="4">
        <item x="0"/>
        <item x="1"/>
        <item x="2"/>
        <item x="3"/>
      </items>
    </pivotField>
    <pivotField showAll="0"/>
    <pivotField showAll="0">
      <items count="4">
        <item x="0"/>
        <item x="1"/>
        <item x="2"/>
        <item t="default"/>
      </items>
    </pivotField>
    <pivotField showAll="0"/>
    <pivotField showAll="0"/>
    <pivotField showAll="0"/>
    <pivotField dataField="1" showAll="0"/>
    <pivotField showAll="0"/>
    <pivotField showAll="0"/>
    <pivotField showAll="0"/>
    <pivotField showAll="0">
      <items count="5">
        <item x="0"/>
        <item x="3"/>
        <item x="2"/>
        <item x="1"/>
        <item t="default"/>
      </items>
    </pivotField>
    <pivotField showAll="0"/>
    <pivotField showAll="0">
      <items count="13">
        <item x="3"/>
        <item x="4"/>
        <item x="5"/>
        <item x="6"/>
        <item x="7"/>
        <item x="8"/>
        <item x="9"/>
        <item x="10"/>
        <item x="11"/>
        <item x="0"/>
        <item x="1"/>
        <item x="2"/>
        <item t="default"/>
      </items>
    </pivotField>
  </pivotFields>
  <rowItems count="1">
    <i/>
  </rowItems>
  <colItems count="1">
    <i/>
  </colItems>
  <dataFields count="1">
    <dataField name="Sum of TotaCost" fld="8"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Sales Total"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Sales Person" colHeaderCaption="Location">
  <location ref="A14:A15" firstHeaderRow="1" firstDataRow="1" firstDataCol="0"/>
  <pivotFields count="15">
    <pivotField numFmtId="14" showAll="0"/>
    <pivotField showAll="0"/>
    <pivotField showAll="0" defaultSubtotal="0">
      <items count="4">
        <item x="0"/>
        <item x="1"/>
        <item x="2"/>
        <item x="3"/>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items count="5">
        <item x="0"/>
        <item x="3"/>
        <item x="2"/>
        <item x="1"/>
        <item t="default"/>
      </items>
    </pivotField>
    <pivotField showAll="0"/>
    <pivotField showAll="0">
      <items count="13">
        <item x="3"/>
        <item x="4"/>
        <item x="5"/>
        <item x="6"/>
        <item x="7"/>
        <item x="8"/>
        <item x="9"/>
        <item x="10"/>
        <item x="11"/>
        <item x="0"/>
        <item x="1"/>
        <item x="2"/>
        <item t="default"/>
      </items>
    </pivotField>
  </pivotFields>
  <rowItems count="1">
    <i/>
  </rowItems>
  <colItems count="1">
    <i/>
  </colItems>
  <dataFields count="1">
    <dataField name="Sum of TotalSales" fld="7"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Summary of Properties Count"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Location" colHeaderCaption="Property Type">
  <location ref="R3:V9" firstHeaderRow="1" firstDataRow="2" firstDataCol="1"/>
  <pivotFields count="15">
    <pivotField numFmtId="14" showAll="0"/>
    <pivotField showAll="0"/>
    <pivotField axis="axisRow" showAll="0" defaultSubtotal="0">
      <items count="4">
        <item x="0"/>
        <item x="1"/>
        <item x="2"/>
        <item x="3"/>
      </items>
    </pivotField>
    <pivotField dataField="1" showAll="0"/>
    <pivotField axis="axisCol"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s>
  <rowFields count="1">
    <field x="2"/>
  </rowFields>
  <rowItems count="5">
    <i>
      <x/>
    </i>
    <i>
      <x v="1"/>
    </i>
    <i>
      <x v="2"/>
    </i>
    <i>
      <x v="3"/>
    </i>
    <i t="grand">
      <x/>
    </i>
  </rowItems>
  <colFields count="1">
    <field x="4"/>
  </colFields>
  <colItems count="4">
    <i>
      <x/>
    </i>
    <i>
      <x v="1"/>
    </i>
    <i>
      <x v="2"/>
    </i>
    <i t="grand">
      <x/>
    </i>
  </colItems>
  <dataFields count="1">
    <dataField name="Sum of Property" fld="3" baseField="2" baseItem="3"/>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Sales by Loaction and Property 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Property Type" colHeaderCaption="Location">
  <location ref="D3:I8" firstHeaderRow="1" firstDataRow="2" firstDataCol="1"/>
  <pivotFields count="15">
    <pivotField numFmtId="14" showAll="0"/>
    <pivotField showAll="0">
      <items count="5">
        <item x="1"/>
        <item x="3"/>
        <item x="0"/>
        <item x="2"/>
        <item t="default"/>
      </items>
    </pivotField>
    <pivotField axis="axisCol" showAll="0" defaultSubtotal="0">
      <items count="4">
        <item x="0"/>
        <item x="1"/>
        <item x="2"/>
        <item x="3"/>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items count="13">
        <item x="3"/>
        <item x="4"/>
        <item x="5"/>
        <item x="6"/>
        <item x="7"/>
        <item x="8"/>
        <item x="9"/>
        <item x="10"/>
        <item x="11"/>
        <item x="0"/>
        <item x="1"/>
        <item x="2"/>
        <item t="default"/>
      </items>
    </pivotField>
  </pivotFields>
  <rowFields count="1">
    <field x="4"/>
  </rowFields>
  <rowItems count="4">
    <i>
      <x/>
    </i>
    <i>
      <x v="1"/>
    </i>
    <i>
      <x v="2"/>
    </i>
    <i t="grand">
      <x/>
    </i>
  </rowItems>
  <colFields count="1">
    <field x="2"/>
  </colFields>
  <colItems count="5">
    <i>
      <x/>
    </i>
    <i>
      <x v="1"/>
    </i>
    <i>
      <x v="2"/>
    </i>
    <i>
      <x v="3"/>
    </i>
    <i t="grand">
      <x/>
    </i>
  </colItems>
  <dataFields count="1">
    <dataField name="Sum of TotalSales" fld="7" baseField="0" baseItem="0"/>
  </dataFields>
  <chartFormats count="4">
    <chartFormat chart="2" format="8" series="1">
      <pivotArea type="data" outline="0" fieldPosition="0">
        <references count="2">
          <reference field="4294967294" count="1" selected="0">
            <x v="0"/>
          </reference>
          <reference field="2" count="1" selected="0">
            <x v="0"/>
          </reference>
        </references>
      </pivotArea>
    </chartFormat>
    <chartFormat chart="2" format="9" series="1">
      <pivotArea type="data" outline="0" fieldPosition="0">
        <references count="2">
          <reference field="4294967294" count="1" selected="0">
            <x v="0"/>
          </reference>
          <reference field="2" count="1" selected="0">
            <x v="1"/>
          </reference>
        </references>
      </pivotArea>
    </chartFormat>
    <chartFormat chart="2" format="10" series="1">
      <pivotArea type="data" outline="0" fieldPosition="0">
        <references count="2">
          <reference field="4294967294" count="1" selected="0">
            <x v="0"/>
          </reference>
          <reference field="2" count="1" selected="0">
            <x v="2"/>
          </reference>
        </references>
      </pivotArea>
    </chartFormat>
    <chartFormat chart="2" format="11" series="1">
      <pivotArea type="data" outline="0" fieldPosition="0">
        <references count="2">
          <reference field="4294967294" count="1" selected="0">
            <x v="0"/>
          </reference>
          <reference field="2"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Total Sales by Locat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Location" colHeaderCaption="Location">
  <location ref="M3:N8" firstHeaderRow="1" firstDataRow="1" firstDataCol="1"/>
  <pivotFields count="15">
    <pivotField numFmtId="14" showAll="0"/>
    <pivotField showAll="0"/>
    <pivotField axis="axisRow" showAll="0" sortType="ascending" defaultSubtotal="0">
      <items count="4">
        <item x="0"/>
        <item x="1"/>
        <item x="2"/>
        <item x="3"/>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items count="13">
        <item x="3"/>
        <item x="4"/>
        <item x="5"/>
        <item x="6"/>
        <item x="7"/>
        <item x="8"/>
        <item x="9"/>
        <item x="10"/>
        <item x="11"/>
        <item x="0"/>
        <item x="1"/>
        <item x="2"/>
        <item t="default"/>
      </items>
    </pivotField>
  </pivotFields>
  <rowFields count="1">
    <field x="2"/>
  </rowFields>
  <rowItems count="5">
    <i>
      <x v="1"/>
    </i>
    <i>
      <x v="2"/>
    </i>
    <i>
      <x v="3"/>
    </i>
    <i>
      <x/>
    </i>
    <i t="grand">
      <x/>
    </i>
  </rowItems>
  <colItems count="1">
    <i/>
  </colItems>
  <dataFields count="1">
    <dataField name=" TotalSales" fld="7" baseField="0" baseItem="0"/>
  </dataFields>
  <formats count="1">
    <format dxfId="12">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Total Sales by Property Typ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Property Type" colHeaderCaption="Location">
  <location ref="M15:N19" firstHeaderRow="1" firstDataRow="1" firstDataCol="1"/>
  <pivotFields count="15">
    <pivotField numFmtId="14" showAll="0"/>
    <pivotField showAll="0"/>
    <pivotField showAll="0" defaultSubtotal="0">
      <items count="4">
        <item x="0"/>
        <item x="1"/>
        <item x="2"/>
        <item x="3"/>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items count="13">
        <item x="3"/>
        <item x="4"/>
        <item x="5"/>
        <item x="6"/>
        <item x="7"/>
        <item x="8"/>
        <item x="9"/>
        <item x="10"/>
        <item x="11"/>
        <item x="0"/>
        <item x="1"/>
        <item x="2"/>
        <item t="default"/>
      </items>
    </pivotField>
  </pivotFields>
  <rowFields count="1">
    <field x="4"/>
  </rowFields>
  <rowItems count="4">
    <i>
      <x/>
    </i>
    <i>
      <x v="1"/>
    </i>
    <i>
      <x v="2"/>
    </i>
    <i t="grand">
      <x/>
    </i>
  </rowItems>
  <colItems count="1">
    <i/>
  </colItems>
  <dataFields count="1">
    <dataField name=" TotalSales" fld="7" baseField="0" baseItem="0" numFmtId="164"/>
  </dataFields>
  <formats count="1">
    <format dxfId="1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Total Sales and Loss by Month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Months" colHeaderCaption="Location">
  <location ref="D15:F28" firstHeaderRow="0" firstDataRow="1" firstDataCol="1"/>
  <pivotFields count="15">
    <pivotField numFmtId="14" showAll="0"/>
    <pivotField showAll="0"/>
    <pivotField showAll="0" defaultSubtotal="0">
      <items count="4">
        <item x="0"/>
        <item x="1"/>
        <item x="2"/>
        <item x="3"/>
      </items>
    </pivotField>
    <pivotField showAll="0"/>
    <pivotField showAll="0">
      <items count="4">
        <item x="0"/>
        <item x="1"/>
        <item x="2"/>
        <item t="default"/>
      </items>
    </pivotField>
    <pivotField showAll="0"/>
    <pivotField showAll="0"/>
    <pivotField dataField="1" showAll="0"/>
    <pivotField showAll="0"/>
    <pivotField showAll="0"/>
    <pivotField dataField="1" showAll="0"/>
    <pivotField showAll="0"/>
    <pivotField showAll="0"/>
    <pivotField showAll="0"/>
    <pivotField axis="axisRow" showAll="0">
      <items count="13">
        <item x="3"/>
        <item x="4"/>
        <item x="5"/>
        <item x="6"/>
        <item x="7"/>
        <item x="8"/>
        <item x="9"/>
        <item x="10"/>
        <item x="11"/>
        <item x="0"/>
        <item x="1"/>
        <item x="2"/>
        <item t="default"/>
      </items>
    </pivotField>
  </pivotFields>
  <rowFields count="1">
    <field x="14"/>
  </rowFields>
  <rowItems count="13">
    <i>
      <x/>
    </i>
    <i>
      <x v="1"/>
    </i>
    <i>
      <x v="2"/>
    </i>
    <i>
      <x v="3"/>
    </i>
    <i>
      <x v="4"/>
    </i>
    <i>
      <x v="5"/>
    </i>
    <i>
      <x v="6"/>
    </i>
    <i>
      <x v="7"/>
    </i>
    <i>
      <x v="8"/>
    </i>
    <i>
      <x v="9"/>
    </i>
    <i>
      <x v="10"/>
    </i>
    <i>
      <x v="11"/>
    </i>
    <i t="grand">
      <x/>
    </i>
  </rowItems>
  <colFields count="1">
    <field x="-2"/>
  </colFields>
  <colItems count="2">
    <i>
      <x/>
    </i>
    <i i="1">
      <x v="1"/>
    </i>
  </colItems>
  <dataFields count="2">
    <dataField name=" TotalLoss" fld="10" baseField="0" baseItem="0"/>
    <dataField name=" TotalSales" fld="7" baseField="0" baseItem="0"/>
  </dataFields>
  <chartFormats count="1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2">
          <reference field="4294967294" count="1" selected="0">
            <x v="1"/>
          </reference>
          <reference field="14" count="1" selected="0">
            <x v="10"/>
          </reference>
        </references>
      </pivotArea>
    </chartFormat>
    <chartFormat chart="2" format="7">
      <pivotArea type="data" outline="0" fieldPosition="0">
        <references count="2">
          <reference field="4294967294" count="1" selected="0">
            <x v="1"/>
          </reference>
          <reference field="14" count="1" selected="0">
            <x v="11"/>
          </reference>
        </references>
      </pivotArea>
    </chartFormat>
    <chartFormat chart="2" format="8">
      <pivotArea type="data" outline="0" fieldPosition="0">
        <references count="2">
          <reference field="4294967294" count="1" selected="0">
            <x v="1"/>
          </reference>
          <reference field="14" count="1" selected="0">
            <x v="7"/>
          </reference>
        </references>
      </pivotArea>
    </chartFormat>
    <chartFormat chart="2" format="9">
      <pivotArea type="data" outline="0" fieldPosition="0">
        <references count="2">
          <reference field="4294967294" count="1" selected="0">
            <x v="1"/>
          </reference>
          <reference field="14" count="1" selected="0">
            <x v="6"/>
          </reference>
        </references>
      </pivotArea>
    </chartFormat>
    <chartFormat chart="2" format="10">
      <pivotArea type="data" outline="0" fieldPosition="0">
        <references count="2">
          <reference field="4294967294" count="1" selected="0">
            <x v="1"/>
          </reference>
          <reference field="14" count="1" selected="0">
            <x v="5"/>
          </reference>
        </references>
      </pivotArea>
    </chartFormat>
    <chartFormat chart="2" format="11">
      <pivotArea type="data" outline="0" fieldPosition="0">
        <references count="2">
          <reference field="4294967294" count="1" selected="0">
            <x v="1"/>
          </reference>
          <reference field="14" count="1" selected="0">
            <x v="4"/>
          </reference>
        </references>
      </pivotArea>
    </chartFormat>
    <chartFormat chart="2" format="12">
      <pivotArea type="data" outline="0" fieldPosition="0">
        <references count="2">
          <reference field="4294967294" count="1" selected="0">
            <x v="1"/>
          </reference>
          <reference field="14" count="1" selected="0">
            <x v="3"/>
          </reference>
        </references>
      </pivotArea>
    </chartFormat>
    <chartFormat chart="2" format="13">
      <pivotArea type="data" outline="0" fieldPosition="0">
        <references count="2">
          <reference field="4294967294" count="1" selected="0">
            <x v="1"/>
          </reference>
          <reference field="14" count="1" selected="0">
            <x v="2"/>
          </reference>
        </references>
      </pivotArea>
    </chartFormat>
    <chartFormat chart="2" format="14">
      <pivotArea type="data" outline="0" fieldPosition="0">
        <references count="2">
          <reference field="4294967294" count="1" selected="0">
            <x v="1"/>
          </reference>
          <reference field="14" count="1" selected="0">
            <x v="1"/>
          </reference>
        </references>
      </pivotArea>
    </chartFormat>
    <chartFormat chart="2" format="15">
      <pivotArea type="data" outline="0" fieldPosition="0">
        <references count="2">
          <reference field="4294967294" count="1" selected="0">
            <x v="1"/>
          </reference>
          <reference field="1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Los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Sales Person" colHeaderCaption="Location">
  <location ref="A28:A29" firstHeaderRow="1" firstDataRow="1" firstDataCol="0"/>
  <pivotFields count="15">
    <pivotField numFmtId="14" showAll="0"/>
    <pivotField showAll="0"/>
    <pivotField showAll="0" defaultSubtotal="0">
      <items count="4">
        <item x="0"/>
        <item x="1"/>
        <item x="2"/>
        <item x="3"/>
      </items>
    </pivotField>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items count="5">
        <item x="0"/>
        <item x="3"/>
        <item x="2"/>
        <item x="1"/>
        <item t="default"/>
      </items>
    </pivotField>
    <pivotField showAll="0"/>
    <pivotField showAll="0">
      <items count="13">
        <item x="3"/>
        <item x="4"/>
        <item x="5"/>
        <item x="6"/>
        <item x="7"/>
        <item x="8"/>
        <item x="9"/>
        <item x="10"/>
        <item x="11"/>
        <item x="0"/>
        <item x="1"/>
        <item x="2"/>
        <item t="default"/>
      </items>
    </pivotField>
  </pivotFields>
  <rowItems count="1">
    <i/>
  </rowItems>
  <colItems count="1">
    <i/>
  </colItems>
  <dataFields count="1">
    <dataField name="Sum of TotalLoss" fld="10"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Qty Sold"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rowHeaderCaption="Sales Person" colHeaderCaption="Location">
  <location ref="A7:A8" firstHeaderRow="1" firstDataRow="1" firstDataCol="0"/>
  <pivotFields count="15">
    <pivotField numFmtId="14" showAll="0"/>
    <pivotField showAll="0"/>
    <pivotField showAll="0" defaultSubtotal="0">
      <items count="4">
        <item x="0"/>
        <item x="1"/>
        <item x="2"/>
        <item x="3"/>
      </items>
    </pivotField>
    <pivotField dataField="1" showAll="0"/>
    <pivotField showAll="0">
      <items count="4">
        <item x="0"/>
        <item x="1"/>
        <item x="2"/>
        <item t="default"/>
      </items>
    </pivotField>
    <pivotField showAll="0"/>
    <pivotField showAll="0"/>
    <pivotField showAll="0"/>
    <pivotField showAll="0"/>
    <pivotField showAll="0"/>
    <pivotField showAll="0"/>
    <pivotField showAll="0"/>
    <pivotField showAll="0">
      <items count="5">
        <item x="0"/>
        <item x="3"/>
        <item x="2"/>
        <item x="1"/>
        <item t="default"/>
      </items>
    </pivotField>
    <pivotField showAll="0"/>
    <pivotField showAll="0">
      <items count="13">
        <item x="3"/>
        <item x="4"/>
        <item x="5"/>
        <item x="6"/>
        <item x="7"/>
        <item x="8"/>
        <item x="9"/>
        <item x="10"/>
        <item x="11"/>
        <item x="0"/>
        <item x="1"/>
        <item x="2"/>
        <item t="default"/>
      </items>
    </pivotField>
  </pivotFields>
  <rowItems count="1">
    <i/>
  </rowItems>
  <colItems count="1">
    <i/>
  </colItems>
  <dataFields count="1">
    <dataField name="Sum of Qty" fld="3"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Total Sales by Sales Pers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Sales Person" colHeaderCaption="Location">
  <location ref="I15:J20" firstHeaderRow="1" firstDataRow="1" firstDataCol="1"/>
  <pivotFields count="15">
    <pivotField numFmtId="14" showAll="0"/>
    <pivotField showAll="0"/>
    <pivotField showAll="0" defaultSubtotal="0">
      <items count="4">
        <item x="0"/>
        <item x="1"/>
        <item x="2"/>
        <item x="3"/>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axis="axisRow" showAll="0" sortType="descending">
      <items count="5">
        <item x="0"/>
        <item x="3"/>
        <item x="2"/>
        <item x="1"/>
        <item t="default"/>
      </items>
      <autoSortScope>
        <pivotArea dataOnly="0" outline="0" fieldPosition="0">
          <references count="1">
            <reference field="4294967294" count="1" selected="0">
              <x v="0"/>
            </reference>
          </references>
        </pivotArea>
      </autoSortScope>
    </pivotField>
    <pivotField showAll="0"/>
    <pivotField showAll="0">
      <items count="13">
        <item x="3"/>
        <item x="4"/>
        <item x="5"/>
        <item x="6"/>
        <item x="7"/>
        <item x="8"/>
        <item x="9"/>
        <item x="10"/>
        <item x="11"/>
        <item x="0"/>
        <item x="1"/>
        <item x="2"/>
        <item t="default"/>
      </items>
    </pivotField>
  </pivotFields>
  <rowFields count="1">
    <field x="12"/>
  </rowFields>
  <rowItems count="5">
    <i>
      <x v="1"/>
    </i>
    <i>
      <x v="3"/>
    </i>
    <i>
      <x/>
    </i>
    <i>
      <x v="2"/>
    </i>
    <i t="grand">
      <x/>
    </i>
  </rowItems>
  <colItems count="1">
    <i/>
  </colItems>
  <dataFields count="1">
    <dataField name=" TotalSales" fld="7"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Location" sourceName="Location">
  <pivotTables>
    <pivotTable tabId="6" name="Sales by Loaction and Property Type"/>
    <pivotTable tabId="6" name="Cost Total"/>
    <pivotTable tabId="6" name="Loss"/>
    <pivotTable tabId="6" name="Qty Sold"/>
    <pivotTable tabId="6" name="Sales Total"/>
    <pivotTable tabId="6" name="Total Sales and Loss by Months"/>
    <pivotTable tabId="6" name="Total Sales by Location"/>
    <pivotTable tabId="6" name="Total Sales by Property Type"/>
    <pivotTable tabId="6" name="Total Sales by Sales Person"/>
  </pivotTables>
  <data>
    <tabular pivotCacheId="1">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Name" sourceName="MonthName">
  <pivotTables>
    <pivotTable tabId="6" name="Sales by Loaction and Property Type"/>
    <pivotTable tabId="6" name="Cost Total"/>
    <pivotTable tabId="6" name="Loss"/>
    <pivotTable tabId="6" name="Qty Sold"/>
    <pivotTable tabId="6" name="Sales Total"/>
    <pivotTable tabId="6" name="Total Sales by Location"/>
    <pivotTable tabId="6" name="Total Sales by Property Type"/>
    <pivotTable tabId="6" name="Total Sales by Sales Person"/>
  </pivotTables>
  <data>
    <tabular pivotCacheId="1">
      <items count="12">
        <i x="3" s="1"/>
        <i x="4" s="1"/>
        <i x="5" s="1"/>
        <i x="6" s="1"/>
        <i x="7" s="1"/>
        <i x="8" s="1"/>
        <i x="9" s="1"/>
        <i x="10" s="1"/>
        <i x="11"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Location" cache="Slicer_Location" caption="Location" columnCount="4" style="Cushman &amp; Wakefield" rowHeight="914400"/>
  <slicer name="MonthName" cache="Slicer_MonthName" caption="Months" columnCount="12" style="Cushman and Wakefield" rowHeight="274320"/>
</slicers>
</file>

<file path=xl/tables/table1.xml><?xml version="1.0" encoding="utf-8"?>
<table xmlns="http://schemas.openxmlformats.org/spreadsheetml/2006/main" id="1" name="Table1" displayName="Table1" ref="A1:O3290" totalsRowShown="0">
  <autoFilter ref="A1:O3290"/>
  <tableColumns count="15">
    <tableColumn id="1" name="SaleDate" dataDxfId="11"/>
    <tableColumn id="11" name="States" dataDxfId="10"/>
    <tableColumn id="2" name="Location"/>
    <tableColumn id="3" name="Qty"/>
    <tableColumn id="4" name="PropertyType"/>
    <tableColumn id="5" name="SellingPrice"/>
    <tableColumn id="6" name="CostPrice"/>
    <tableColumn id="12" name="TotalSales" dataDxfId="9">
      <calculatedColumnFormula>Table1[[#This Row],[Qty]]*Table1[[#This Row],[SellingPrice]]</calculatedColumnFormula>
    </tableColumn>
    <tableColumn id="14" name="TotaCost" dataDxfId="8">
      <calculatedColumnFormula>Table1[[#This Row],[Qty]]*Table1[[#This Row],[CostPrice]]</calculatedColumnFormula>
    </tableColumn>
    <tableColumn id="13" name="OtherExp." dataDxfId="7"/>
    <tableColumn id="16" name="TotalLoss" dataDxfId="6"/>
    <tableColumn id="7" name="Distance"/>
    <tableColumn id="8" name="SalesPerson"/>
    <tableColumn id="9" name="MonthNo." dataDxfId="5">
      <calculatedColumnFormula>MONTH(Table1[[#This Row],[SaleDate]])</calculatedColumnFormula>
    </tableColumn>
    <tableColumn id="10" name="MonthName" dataDxfId="4">
      <calculatedColumnFormula>TEXT(Table1[[#This Row],[SaleDate]],"MMM")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Cushman &amp; Wakefield">
      <a:dk1>
        <a:sysClr val="windowText" lastClr="000000"/>
      </a:dk1>
      <a:lt1>
        <a:sysClr val="window" lastClr="FFFFFF"/>
      </a:lt1>
      <a:dk2>
        <a:srgbClr val="1F497D"/>
      </a:dk2>
      <a:lt2>
        <a:srgbClr val="EEECE1"/>
      </a:lt2>
      <a:accent1>
        <a:srgbClr val="EB012A"/>
      </a:accent1>
      <a:accent2>
        <a:srgbClr val="FAA9BE"/>
      </a:accent2>
      <a:accent3>
        <a:srgbClr val="BCBCBC"/>
      </a:accent3>
      <a:accent4>
        <a:srgbClr val="A9A9A9"/>
      </a:accent4>
      <a:accent5>
        <a:srgbClr val="F3EEF0"/>
      </a:accent5>
      <a:accent6>
        <a:srgbClr val="E4312A"/>
      </a:accent6>
      <a:hlink>
        <a:srgbClr val="E5AAB5"/>
      </a:hlink>
      <a:folHlink>
        <a:srgbClr val="717171"/>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12:N19"/>
  <sheetViews>
    <sheetView showGridLines="0" workbookViewId="0"/>
  </sheetViews>
  <sheetFormatPr defaultRowHeight="15"/>
  <cols>
    <col min="1" max="8" width="9.140625" style="15"/>
    <col min="9" max="9" width="12" style="15" bestFit="1" customWidth="1"/>
    <col min="10" max="11" width="13.28515625" style="15" bestFit="1" customWidth="1"/>
    <col min="12" max="16384" width="9.140625" style="15"/>
  </cols>
  <sheetData>
    <row r="12" spans="7:14" ht="15.75">
      <c r="G12" s="25" t="s">
        <v>63</v>
      </c>
      <c r="H12" s="25"/>
      <c r="I12" s="25"/>
      <c r="J12" s="25"/>
      <c r="K12" s="25"/>
      <c r="L12" s="25"/>
    </row>
    <row r="13" spans="7:14" ht="15.75" customHeight="1">
      <c r="G13" s="26" t="str">
        <f>'Real Estate Report'!R15</f>
        <v>Location</v>
      </c>
      <c r="H13" s="26"/>
      <c r="I13" s="28" t="str">
        <f>'Real Estate Report'!S15</f>
        <v>1 Bedroom</v>
      </c>
      <c r="J13" s="30" t="str">
        <f>'Real Estate Report'!T15</f>
        <v>2 Bedrooms</v>
      </c>
      <c r="K13" s="28" t="str">
        <f>'Real Estate Report'!U15</f>
        <v>3 Bedrooms</v>
      </c>
      <c r="L13" s="28" t="str">
        <f>'Real Estate Report'!V15</f>
        <v>Total</v>
      </c>
    </row>
    <row r="14" spans="7:14">
      <c r="G14" s="27"/>
      <c r="H14" s="27"/>
      <c r="I14" s="29"/>
      <c r="J14" s="31"/>
      <c r="K14" s="29"/>
      <c r="L14" s="29"/>
    </row>
    <row r="15" spans="7:14">
      <c r="G15" s="19" t="str">
        <f>'Real Estate Report'!R16</f>
        <v>Adelaide</v>
      </c>
      <c r="H15" s="20"/>
      <c r="I15" s="21">
        <f>'Real Estate Report'!S16</f>
        <v>473</v>
      </c>
      <c r="J15" s="21">
        <f>'Real Estate Report'!T16</f>
        <v>459</v>
      </c>
      <c r="K15" s="21">
        <f>'Real Estate Report'!U16</f>
        <v>446</v>
      </c>
      <c r="L15" s="21">
        <f>'Real Estate Report'!V16</f>
        <v>1378</v>
      </c>
      <c r="M15" s="24"/>
      <c r="N15" s="24"/>
    </row>
    <row r="16" spans="7:14">
      <c r="G16" s="19" t="str">
        <f>'Real Estate Report'!R17</f>
        <v>Canberra</v>
      </c>
      <c r="H16" s="20"/>
      <c r="I16" s="21">
        <f>'Real Estate Report'!S17</f>
        <v>196</v>
      </c>
      <c r="J16" s="21">
        <f>'Real Estate Report'!T17</f>
        <v>56</v>
      </c>
      <c r="K16" s="21">
        <f>'Real Estate Report'!U17</f>
        <v>33</v>
      </c>
      <c r="L16" s="21">
        <f>'Real Estate Report'!V17</f>
        <v>285</v>
      </c>
    </row>
    <row r="17" spans="7:12">
      <c r="G17" s="19" t="str">
        <f>'Real Estate Report'!R18</f>
        <v>Melbourne</v>
      </c>
      <c r="H17" s="20"/>
      <c r="I17" s="21">
        <f>'Real Estate Report'!S18</f>
        <v>443</v>
      </c>
      <c r="J17" s="21">
        <f>'Real Estate Report'!T18</f>
        <v>437</v>
      </c>
      <c r="K17" s="21">
        <f>'Real Estate Report'!U18</f>
        <v>416</v>
      </c>
      <c r="L17" s="21">
        <f>'Real Estate Report'!V18</f>
        <v>1296</v>
      </c>
    </row>
    <row r="18" spans="7:12">
      <c r="G18" s="19" t="str">
        <f>'Real Estate Report'!R19</f>
        <v>Sydney</v>
      </c>
      <c r="H18" s="20"/>
      <c r="I18" s="21">
        <f>'Real Estate Report'!S19</f>
        <v>453</v>
      </c>
      <c r="J18" s="21">
        <f>'Real Estate Report'!T19</f>
        <v>432</v>
      </c>
      <c r="K18" s="21">
        <f>'Real Estate Report'!U19</f>
        <v>425</v>
      </c>
      <c r="L18" s="21">
        <f>'Real Estate Report'!V19</f>
        <v>1310</v>
      </c>
    </row>
    <row r="19" spans="7:12">
      <c r="G19" s="23" t="str">
        <f>'Real Estate Report'!R20</f>
        <v>Total</v>
      </c>
      <c r="H19" s="23"/>
      <c r="I19" s="22">
        <f>'Real Estate Report'!S20</f>
        <v>1565</v>
      </c>
      <c r="J19" s="22">
        <f>'Real Estate Report'!T20</f>
        <v>1384</v>
      </c>
      <c r="K19" s="22">
        <f>'Real Estate Report'!U20</f>
        <v>1320</v>
      </c>
      <c r="L19" s="22">
        <f>'Real Estate Report'!V20</f>
        <v>4269</v>
      </c>
    </row>
  </sheetData>
  <mergeCells count="8">
    <mergeCell ref="G19:H19"/>
    <mergeCell ref="M15:N15"/>
    <mergeCell ref="G12:L12"/>
    <mergeCell ref="G13:H14"/>
    <mergeCell ref="I13:I14"/>
    <mergeCell ref="J13:J14"/>
    <mergeCell ref="K13:K14"/>
    <mergeCell ref="L13:L1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workbookViewId="0"/>
  </sheetViews>
  <sheetFormatPr defaultRowHeight="1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V32"/>
  <sheetViews>
    <sheetView topLeftCell="A8" workbookViewId="0">
      <selection activeCell="F16" sqref="F16"/>
    </sheetView>
  </sheetViews>
  <sheetFormatPr defaultRowHeight="15"/>
  <cols>
    <col min="1" max="1" width="16.7109375" customWidth="1"/>
    <col min="4" max="4" width="16.7109375" customWidth="1"/>
    <col min="5" max="5" width="10.7109375" customWidth="1"/>
    <col min="6" max="6" width="9" customWidth="1"/>
    <col min="7" max="7" width="11" bestFit="1" customWidth="1"/>
    <col min="8" max="8" width="9" customWidth="1"/>
    <col min="9" max="9" width="15.42578125" customWidth="1"/>
    <col min="10" max="10" width="10.42578125" bestFit="1" customWidth="1"/>
    <col min="13" max="13" width="15.85546875" customWidth="1"/>
    <col min="14" max="14" width="10.42578125" customWidth="1"/>
    <col min="18" max="18" width="15.42578125" customWidth="1"/>
    <col min="19" max="19" width="15.85546875" bestFit="1" customWidth="1"/>
    <col min="20" max="21" width="11.42578125" bestFit="1" customWidth="1"/>
    <col min="22" max="22" width="11.28515625" bestFit="1" customWidth="1"/>
    <col min="23" max="24" width="11.42578125" bestFit="1" customWidth="1"/>
    <col min="25" max="25" width="12.85546875" bestFit="1" customWidth="1"/>
    <col min="26" max="27" width="11.42578125" bestFit="1" customWidth="1"/>
    <col min="28" max="28" width="10.5703125" bestFit="1" customWidth="1"/>
    <col min="29" max="30" width="11.42578125" bestFit="1" customWidth="1"/>
    <col min="31" max="31" width="11.28515625" bestFit="1" customWidth="1"/>
  </cols>
  <sheetData>
    <row r="3" spans="1:22">
      <c r="A3" s="7" t="s">
        <v>60</v>
      </c>
      <c r="D3" s="12" t="s">
        <v>33</v>
      </c>
      <c r="E3" s="12" t="s">
        <v>34</v>
      </c>
      <c r="M3" s="12" t="s">
        <v>34</v>
      </c>
      <c r="N3" s="16" t="s">
        <v>51</v>
      </c>
      <c r="R3" s="12" t="s">
        <v>56</v>
      </c>
      <c r="S3" s="12" t="s">
        <v>36</v>
      </c>
    </row>
    <row r="4" spans="1:22">
      <c r="A4">
        <v>6000</v>
      </c>
      <c r="D4" s="12" t="s">
        <v>36</v>
      </c>
      <c r="E4" t="s">
        <v>19</v>
      </c>
      <c r="F4" t="s">
        <v>20</v>
      </c>
      <c r="G4" t="s">
        <v>22</v>
      </c>
      <c r="H4" t="s">
        <v>21</v>
      </c>
      <c r="I4" t="s">
        <v>35</v>
      </c>
      <c r="M4" s="13" t="s">
        <v>20</v>
      </c>
      <c r="N4" s="11">
        <v>12765000</v>
      </c>
      <c r="Q4" s="13"/>
      <c r="R4" s="12" t="s">
        <v>34</v>
      </c>
      <c r="S4" t="s">
        <v>7</v>
      </c>
      <c r="T4" t="s">
        <v>9</v>
      </c>
      <c r="U4" t="s">
        <v>10</v>
      </c>
      <c r="V4" t="s">
        <v>35</v>
      </c>
    </row>
    <row r="5" spans="1:22">
      <c r="D5" s="13" t="s">
        <v>7</v>
      </c>
      <c r="E5" s="11">
        <v>15609000</v>
      </c>
      <c r="F5" s="11">
        <v>6468000</v>
      </c>
      <c r="G5" s="11">
        <v>14619000</v>
      </c>
      <c r="H5" s="11">
        <v>14949000</v>
      </c>
      <c r="I5" s="11">
        <v>51645000</v>
      </c>
      <c r="M5" s="13" t="s">
        <v>22</v>
      </c>
      <c r="N5" s="11">
        <v>77863000</v>
      </c>
      <c r="Q5" s="13"/>
      <c r="R5" s="13" t="s">
        <v>19</v>
      </c>
      <c r="S5" s="11">
        <v>473</v>
      </c>
      <c r="T5" s="11">
        <v>459</v>
      </c>
      <c r="U5" s="11">
        <v>446</v>
      </c>
      <c r="V5" s="11">
        <v>1378</v>
      </c>
    </row>
    <row r="6" spans="1:22">
      <c r="D6" s="13" t="s">
        <v>9</v>
      </c>
      <c r="E6" s="11">
        <v>27540000</v>
      </c>
      <c r="F6" s="11">
        <v>3360000</v>
      </c>
      <c r="G6" s="11">
        <v>26220000</v>
      </c>
      <c r="H6" s="11">
        <v>25920000</v>
      </c>
      <c r="I6" s="11">
        <v>83040000</v>
      </c>
      <c r="M6" s="13" t="s">
        <v>21</v>
      </c>
      <c r="N6" s="11">
        <v>78694000</v>
      </c>
      <c r="Q6" s="13"/>
      <c r="R6" s="13" t="s">
        <v>20</v>
      </c>
      <c r="S6" s="11">
        <v>196</v>
      </c>
      <c r="T6" s="11">
        <v>56</v>
      </c>
      <c r="U6" s="11">
        <v>33</v>
      </c>
      <c r="V6" s="11">
        <v>285</v>
      </c>
    </row>
    <row r="7" spans="1:22">
      <c r="A7" t="s">
        <v>54</v>
      </c>
      <c r="D7" s="13" t="s">
        <v>10</v>
      </c>
      <c r="E7" s="11">
        <v>39694000</v>
      </c>
      <c r="F7" s="11">
        <v>2937000</v>
      </c>
      <c r="G7" s="11">
        <v>37024000</v>
      </c>
      <c r="H7" s="11">
        <v>37825000</v>
      </c>
      <c r="I7" s="11">
        <v>117480000</v>
      </c>
      <c r="M7" s="13" t="s">
        <v>19</v>
      </c>
      <c r="N7" s="11">
        <v>82843000</v>
      </c>
      <c r="Q7" s="13"/>
      <c r="R7" s="13" t="s">
        <v>22</v>
      </c>
      <c r="S7" s="11">
        <v>443</v>
      </c>
      <c r="T7" s="11">
        <v>437</v>
      </c>
      <c r="U7" s="11">
        <v>416</v>
      </c>
      <c r="V7" s="11">
        <v>1296</v>
      </c>
    </row>
    <row r="8" spans="1:22">
      <c r="A8" s="11">
        <v>4269</v>
      </c>
      <c r="D8" s="13" t="s">
        <v>35</v>
      </c>
      <c r="E8" s="11">
        <v>82843000</v>
      </c>
      <c r="F8" s="11">
        <v>12765000</v>
      </c>
      <c r="G8" s="11">
        <v>77863000</v>
      </c>
      <c r="H8" s="11">
        <v>78694000</v>
      </c>
      <c r="I8" s="11">
        <v>252165000</v>
      </c>
      <c r="M8" s="13" t="s">
        <v>35</v>
      </c>
      <c r="N8" s="11">
        <v>252165000</v>
      </c>
      <c r="Q8" s="13"/>
      <c r="R8" s="13" t="s">
        <v>21</v>
      </c>
      <c r="S8" s="11">
        <v>453</v>
      </c>
      <c r="T8" s="11">
        <v>432</v>
      </c>
      <c r="U8" s="11">
        <v>425</v>
      </c>
      <c r="V8" s="11">
        <v>1310</v>
      </c>
    </row>
    <row r="9" spans="1:22">
      <c r="R9" s="13" t="s">
        <v>35</v>
      </c>
      <c r="S9" s="11">
        <v>1565</v>
      </c>
      <c r="T9" s="11">
        <v>1384</v>
      </c>
      <c r="U9" s="11">
        <v>1320</v>
      </c>
      <c r="V9" s="11">
        <v>4269</v>
      </c>
    </row>
    <row r="10" spans="1:22" ht="15.75" thickBot="1">
      <c r="A10" s="9" t="s">
        <v>57</v>
      </c>
    </row>
    <row r="11" spans="1:22">
      <c r="A11" s="14">
        <f>A8</f>
        <v>4269</v>
      </c>
    </row>
    <row r="12" spans="1:22">
      <c r="D12" s="11"/>
      <c r="E12" s="16"/>
    </row>
    <row r="14" spans="1:22">
      <c r="A14" t="s">
        <v>33</v>
      </c>
    </row>
    <row r="15" spans="1:22">
      <c r="A15" s="11">
        <v>252165000</v>
      </c>
      <c r="D15" s="12" t="s">
        <v>50</v>
      </c>
      <c r="E15" t="s">
        <v>52</v>
      </c>
      <c r="F15" t="s">
        <v>51</v>
      </c>
      <c r="I15" s="12" t="s">
        <v>53</v>
      </c>
      <c r="J15" t="s">
        <v>51</v>
      </c>
      <c r="M15" s="12" t="s">
        <v>36</v>
      </c>
      <c r="N15" t="s">
        <v>51</v>
      </c>
      <c r="R15" t="str">
        <f>R4</f>
        <v>Location</v>
      </c>
      <c r="S15" t="str">
        <f t="shared" ref="S15:U15" si="0">S4</f>
        <v>1 Bedroom</v>
      </c>
      <c r="T15" t="str">
        <f t="shared" si="0"/>
        <v>2 Bedrooms</v>
      </c>
      <c r="U15" t="str">
        <f t="shared" si="0"/>
        <v>3 Bedrooms</v>
      </c>
      <c r="V15" t="s">
        <v>62</v>
      </c>
    </row>
    <row r="16" spans="1:22">
      <c r="D16" s="13" t="s">
        <v>37</v>
      </c>
      <c r="E16" s="11">
        <v>46381.999999999993</v>
      </c>
      <c r="F16" s="11">
        <v>16996000</v>
      </c>
      <c r="I16" s="13" t="s">
        <v>30</v>
      </c>
      <c r="J16" s="11">
        <v>93529000</v>
      </c>
      <c r="M16" s="13" t="s">
        <v>7</v>
      </c>
      <c r="N16" s="16">
        <v>51645000</v>
      </c>
      <c r="R16" t="str">
        <f t="shared" ref="R16:U19" si="1">R5</f>
        <v>Adelaide</v>
      </c>
      <c r="S16">
        <f t="shared" si="1"/>
        <v>473</v>
      </c>
      <c r="T16">
        <f t="shared" si="1"/>
        <v>459</v>
      </c>
      <c r="U16">
        <f t="shared" si="1"/>
        <v>446</v>
      </c>
      <c r="V16">
        <f>SUM(S16:U16)</f>
        <v>1378</v>
      </c>
    </row>
    <row r="17" spans="1:22" ht="15.75" thickBot="1">
      <c r="A17" s="9" t="s">
        <v>55</v>
      </c>
      <c r="D17" s="13" t="s">
        <v>38</v>
      </c>
      <c r="E17" s="11">
        <v>56048.999999999993</v>
      </c>
      <c r="F17" s="11">
        <v>21429000</v>
      </c>
      <c r="I17" s="13" t="s">
        <v>29</v>
      </c>
      <c r="J17" s="11">
        <v>73126000</v>
      </c>
      <c r="M17" s="13" t="s">
        <v>9</v>
      </c>
      <c r="N17" s="16">
        <v>83040000</v>
      </c>
      <c r="R17" t="str">
        <f t="shared" si="1"/>
        <v>Canberra</v>
      </c>
      <c r="S17">
        <f t="shared" si="1"/>
        <v>196</v>
      </c>
      <c r="T17">
        <f t="shared" si="1"/>
        <v>56</v>
      </c>
      <c r="U17">
        <f t="shared" si="1"/>
        <v>33</v>
      </c>
      <c r="V17">
        <f>SUM(S17:U17)</f>
        <v>285</v>
      </c>
    </row>
    <row r="18" spans="1:22">
      <c r="A18" s="17">
        <f>A15</f>
        <v>252165000</v>
      </c>
      <c r="D18" s="13" t="s">
        <v>39</v>
      </c>
      <c r="E18" s="11">
        <v>52422.999999999993</v>
      </c>
      <c r="F18" s="11">
        <v>19895000</v>
      </c>
      <c r="I18" s="13" t="s">
        <v>27</v>
      </c>
      <c r="J18" s="11">
        <v>60193000</v>
      </c>
      <c r="M18" s="13" t="s">
        <v>10</v>
      </c>
      <c r="N18" s="16">
        <v>117480000</v>
      </c>
      <c r="R18" t="str">
        <f t="shared" si="1"/>
        <v>Melbourne</v>
      </c>
      <c r="S18">
        <f t="shared" si="1"/>
        <v>443</v>
      </c>
      <c r="T18">
        <f t="shared" si="1"/>
        <v>437</v>
      </c>
      <c r="U18">
        <f t="shared" si="1"/>
        <v>416</v>
      </c>
      <c r="V18">
        <f>SUM(S18:U18)</f>
        <v>1296</v>
      </c>
    </row>
    <row r="19" spans="1:22">
      <c r="D19" s="13" t="s">
        <v>40</v>
      </c>
      <c r="E19" s="11">
        <v>54305.999999999993</v>
      </c>
      <c r="F19" s="11">
        <v>20664000</v>
      </c>
      <c r="I19" s="13" t="s">
        <v>28</v>
      </c>
      <c r="J19" s="11">
        <v>25317000</v>
      </c>
      <c r="M19" s="13" t="s">
        <v>35</v>
      </c>
      <c r="N19" s="16">
        <v>252165000</v>
      </c>
      <c r="R19" t="str">
        <f t="shared" si="1"/>
        <v>Sydney</v>
      </c>
      <c r="S19">
        <f t="shared" si="1"/>
        <v>453</v>
      </c>
      <c r="T19">
        <f t="shared" si="1"/>
        <v>432</v>
      </c>
      <c r="U19">
        <f t="shared" si="1"/>
        <v>425</v>
      </c>
      <c r="V19">
        <f>SUM(S19:U19)</f>
        <v>1310</v>
      </c>
    </row>
    <row r="20" spans="1:22">
      <c r="D20" s="13" t="s">
        <v>41</v>
      </c>
      <c r="E20" s="11">
        <v>67087.999999999985</v>
      </c>
      <c r="F20" s="11">
        <v>25158000</v>
      </c>
      <c r="I20" s="13" t="s">
        <v>35</v>
      </c>
      <c r="J20" s="11">
        <v>252165000</v>
      </c>
      <c r="R20" t="s">
        <v>62</v>
      </c>
      <c r="S20">
        <f>SUM(S16:S19)</f>
        <v>1565</v>
      </c>
      <c r="T20">
        <f>SUM(T16:T19)</f>
        <v>1384</v>
      </c>
      <c r="U20">
        <f>SUM(U16:U19)</f>
        <v>1320</v>
      </c>
      <c r="V20">
        <f>SUM(V16:V19)</f>
        <v>4269</v>
      </c>
    </row>
    <row r="21" spans="1:22">
      <c r="A21" t="s">
        <v>58</v>
      </c>
      <c r="D21" s="13" t="s">
        <v>42</v>
      </c>
      <c r="E21" s="11">
        <v>61543.999999999993</v>
      </c>
      <c r="F21" s="11">
        <v>23301000</v>
      </c>
    </row>
    <row r="22" spans="1:22">
      <c r="A22" s="11">
        <v>156874000</v>
      </c>
      <c r="D22" s="13" t="s">
        <v>43</v>
      </c>
      <c r="E22" s="11">
        <v>61256.999999999993</v>
      </c>
      <c r="F22" s="11">
        <v>23647000</v>
      </c>
    </row>
    <row r="23" spans="1:22">
      <c r="D23" s="13" t="s">
        <v>44</v>
      </c>
      <c r="E23" s="11">
        <v>57476.999999999993</v>
      </c>
      <c r="F23" s="11">
        <v>22217000</v>
      </c>
    </row>
    <row r="24" spans="1:22" ht="15.75" thickBot="1">
      <c r="A24" s="9" t="s">
        <v>59</v>
      </c>
      <c r="D24" s="13" t="s">
        <v>45</v>
      </c>
      <c r="E24" s="11">
        <v>68431.999999999985</v>
      </c>
      <c r="F24" s="11">
        <v>26169000</v>
      </c>
    </row>
    <row r="25" spans="1:22">
      <c r="A25" s="17">
        <f>A22</f>
        <v>156874000</v>
      </c>
      <c r="D25" s="13" t="s">
        <v>46</v>
      </c>
      <c r="E25" s="11">
        <v>32794.999999999993</v>
      </c>
      <c r="F25" s="11">
        <v>11129000</v>
      </c>
    </row>
    <row r="26" spans="1:22">
      <c r="D26" s="13" t="s">
        <v>47</v>
      </c>
      <c r="E26" s="11">
        <v>50588.999999999993</v>
      </c>
      <c r="F26" s="11">
        <v>19107000</v>
      </c>
    </row>
    <row r="27" spans="1:22">
      <c r="D27" s="13" t="s">
        <v>48</v>
      </c>
      <c r="E27" s="11">
        <v>58694.999999999993</v>
      </c>
      <c r="F27" s="11">
        <v>22453000</v>
      </c>
    </row>
    <row r="28" spans="1:22">
      <c r="A28" t="s">
        <v>49</v>
      </c>
      <c r="D28" s="13" t="s">
        <v>35</v>
      </c>
      <c r="E28" s="11">
        <v>667036.99999999988</v>
      </c>
      <c r="F28" s="11">
        <v>252165000</v>
      </c>
    </row>
    <row r="29" spans="1:22">
      <c r="A29" s="11">
        <v>667036.99999999988</v>
      </c>
    </row>
    <row r="31" spans="1:22" ht="15.75" thickBot="1">
      <c r="A31" s="9" t="s">
        <v>61</v>
      </c>
    </row>
    <row r="32" spans="1:22">
      <c r="A32" s="18">
        <f>A29</f>
        <v>667036.99999999988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290"/>
  <sheetViews>
    <sheetView topLeftCell="D1" workbookViewId="0">
      <selection activeCell="Q3" sqref="Q3"/>
    </sheetView>
  </sheetViews>
  <sheetFormatPr defaultRowHeight="15"/>
  <cols>
    <col min="1" max="1" width="11.140625" bestFit="1" customWidth="1"/>
    <col min="2" max="2" width="25.140625" bestFit="1" customWidth="1"/>
    <col min="3" max="3" width="14.7109375" bestFit="1" customWidth="1"/>
    <col min="5" max="5" width="15.42578125" bestFit="1" customWidth="1"/>
    <col min="6" max="6" width="13.7109375" bestFit="1" customWidth="1"/>
    <col min="7" max="7" width="11.5703125" bestFit="1" customWidth="1"/>
    <col min="8" max="8" width="12.28515625" bestFit="1" customWidth="1"/>
    <col min="9" max="9" width="12.28515625" customWidth="1"/>
    <col min="10" max="11" width="12.7109375" customWidth="1"/>
    <col min="13" max="13" width="10.85546875" bestFit="1" customWidth="1"/>
    <col min="14" max="14" width="15.42578125" bestFit="1" customWidth="1"/>
    <col min="15" max="16" width="14.5703125" bestFit="1" customWidth="1"/>
    <col min="18" max="18" width="10" bestFit="1" customWidth="1"/>
  </cols>
  <sheetData>
    <row r="1" spans="1:19">
      <c r="A1" t="s">
        <v>0</v>
      </c>
      <c r="B1" t="s">
        <v>14</v>
      </c>
      <c r="C1" t="s">
        <v>34</v>
      </c>
      <c r="D1" t="s">
        <v>1</v>
      </c>
      <c r="E1" t="s">
        <v>2</v>
      </c>
      <c r="F1" t="s">
        <v>3</v>
      </c>
      <c r="G1" t="s">
        <v>4</v>
      </c>
      <c r="H1" t="s">
        <v>17</v>
      </c>
      <c r="I1" t="s">
        <v>18</v>
      </c>
      <c r="J1" t="s">
        <v>32</v>
      </c>
      <c r="K1" t="s">
        <v>31</v>
      </c>
      <c r="L1" t="s">
        <v>5</v>
      </c>
      <c r="M1" t="s">
        <v>6</v>
      </c>
      <c r="N1" t="s">
        <v>15</v>
      </c>
      <c r="O1" t="s">
        <v>16</v>
      </c>
    </row>
    <row r="2" spans="1:19">
      <c r="A2" s="1">
        <v>44927</v>
      </c>
      <c r="B2" t="s">
        <v>23</v>
      </c>
      <c r="C2" t="s">
        <v>19</v>
      </c>
      <c r="D2">
        <v>1</v>
      </c>
      <c r="E2" t="s">
        <v>7</v>
      </c>
      <c r="F2">
        <v>33000</v>
      </c>
      <c r="G2">
        <v>18000</v>
      </c>
      <c r="H2">
        <f>Table1[[#This Row],[Qty]]*Table1[[#This Row],[SellingPrice]]</f>
        <v>33000</v>
      </c>
      <c r="I2">
        <f>Table1[[#This Row],[Qty]]*Table1[[#This Row],[CostPrice]]</f>
        <v>18000</v>
      </c>
      <c r="J2">
        <v>14895</v>
      </c>
      <c r="K2">
        <v>104.99999999999999</v>
      </c>
      <c r="L2" t="s">
        <v>8</v>
      </c>
      <c r="M2" t="s">
        <v>27</v>
      </c>
      <c r="N2">
        <f>MONTH(Table1[[#This Row],[SaleDate]])</f>
        <v>1</v>
      </c>
      <c r="O2" t="str">
        <f>TEXT(Table1[[#This Row],[SaleDate]],"MMM")</f>
        <v>Jan</v>
      </c>
    </row>
    <row r="3" spans="1:19">
      <c r="A3" s="1">
        <v>44927</v>
      </c>
      <c r="B3" t="s">
        <v>26</v>
      </c>
      <c r="C3" t="s">
        <v>20</v>
      </c>
      <c r="D3">
        <v>1</v>
      </c>
      <c r="E3" t="s">
        <v>7</v>
      </c>
      <c r="F3">
        <v>33000</v>
      </c>
      <c r="G3">
        <v>18000</v>
      </c>
      <c r="H3">
        <f>Table1[[#This Row],[Qty]]*Table1[[#This Row],[SellingPrice]]</f>
        <v>33000</v>
      </c>
      <c r="I3">
        <f>Table1[[#This Row],[Qty]]*Table1[[#This Row],[CostPrice]]</f>
        <v>18000</v>
      </c>
      <c r="J3">
        <v>14895</v>
      </c>
      <c r="K3">
        <v>104.99999999999999</v>
      </c>
      <c r="L3" t="s">
        <v>11</v>
      </c>
      <c r="M3" t="s">
        <v>27</v>
      </c>
      <c r="N3">
        <f>MONTH(Table1[[#This Row],[SaleDate]])</f>
        <v>1</v>
      </c>
      <c r="O3" t="str">
        <f>TEXT(Table1[[#This Row],[SaleDate]],"MMM")</f>
        <v>Jan</v>
      </c>
    </row>
    <row r="4" spans="1:19">
      <c r="A4" s="1">
        <v>44927</v>
      </c>
      <c r="B4" t="s">
        <v>24</v>
      </c>
      <c r="C4" t="s">
        <v>22</v>
      </c>
      <c r="D4">
        <v>1</v>
      </c>
      <c r="E4" t="s">
        <v>7</v>
      </c>
      <c r="F4">
        <v>33000</v>
      </c>
      <c r="G4">
        <v>18000</v>
      </c>
      <c r="H4">
        <f>Table1[[#This Row],[Qty]]*Table1[[#This Row],[SellingPrice]]</f>
        <v>33000</v>
      </c>
      <c r="I4">
        <f>Table1[[#This Row],[Qty]]*Table1[[#This Row],[CostPrice]]</f>
        <v>18000</v>
      </c>
      <c r="J4">
        <v>14895</v>
      </c>
      <c r="K4">
        <v>104.99999999999999</v>
      </c>
      <c r="L4" t="s">
        <v>12</v>
      </c>
      <c r="M4" t="s">
        <v>29</v>
      </c>
      <c r="N4">
        <f>MONTH(Table1[[#This Row],[SaleDate]])</f>
        <v>1</v>
      </c>
      <c r="O4" t="str">
        <f>TEXT(Table1[[#This Row],[SaleDate]],"MMM")</f>
        <v>Jan</v>
      </c>
      <c r="S4" s="2"/>
    </row>
    <row r="5" spans="1:19">
      <c r="A5" s="1">
        <v>44927</v>
      </c>
      <c r="B5" t="s">
        <v>25</v>
      </c>
      <c r="C5" t="s">
        <v>21</v>
      </c>
      <c r="D5">
        <v>1</v>
      </c>
      <c r="E5" t="s">
        <v>7</v>
      </c>
      <c r="F5">
        <v>33000</v>
      </c>
      <c r="G5">
        <v>18000</v>
      </c>
      <c r="H5">
        <f>Table1[[#This Row],[Qty]]*Table1[[#This Row],[SellingPrice]]</f>
        <v>33000</v>
      </c>
      <c r="I5">
        <f>Table1[[#This Row],[Qty]]*Table1[[#This Row],[CostPrice]]</f>
        <v>18000</v>
      </c>
      <c r="J5">
        <v>14895</v>
      </c>
      <c r="K5">
        <v>104.99999999999999</v>
      </c>
      <c r="L5" t="s">
        <v>13</v>
      </c>
      <c r="M5" t="s">
        <v>29</v>
      </c>
      <c r="N5">
        <f>MONTH(Table1[[#This Row],[SaleDate]])</f>
        <v>1</v>
      </c>
      <c r="O5" t="str">
        <f>TEXT(Table1[[#This Row],[SaleDate]],"MMM")</f>
        <v>Jan</v>
      </c>
      <c r="S5" s="3"/>
    </row>
    <row r="6" spans="1:19">
      <c r="A6" s="1">
        <v>44928</v>
      </c>
      <c r="B6" t="s">
        <v>23</v>
      </c>
      <c r="C6" t="s">
        <v>19</v>
      </c>
      <c r="D6">
        <v>1</v>
      </c>
      <c r="E6" t="s">
        <v>7</v>
      </c>
      <c r="F6">
        <v>33000</v>
      </c>
      <c r="G6">
        <v>18000</v>
      </c>
      <c r="H6">
        <f>Table1[[#This Row],[Qty]]*Table1[[#This Row],[SellingPrice]]</f>
        <v>33000</v>
      </c>
      <c r="I6">
        <f>Table1[[#This Row],[Qty]]*Table1[[#This Row],[CostPrice]]</f>
        <v>18000</v>
      </c>
      <c r="J6">
        <v>14895</v>
      </c>
      <c r="K6">
        <v>104.99999999999999</v>
      </c>
      <c r="L6" t="s">
        <v>8</v>
      </c>
      <c r="M6" t="s">
        <v>28</v>
      </c>
      <c r="N6">
        <f>MONTH(Table1[[#This Row],[SaleDate]])</f>
        <v>1</v>
      </c>
      <c r="O6" t="str">
        <f>TEXT(Table1[[#This Row],[SaleDate]],"MMM")</f>
        <v>Jan</v>
      </c>
      <c r="S6" s="4"/>
    </row>
    <row r="7" spans="1:19">
      <c r="A7" s="1">
        <v>44928</v>
      </c>
      <c r="B7" t="s">
        <v>26</v>
      </c>
      <c r="C7" t="s">
        <v>20</v>
      </c>
      <c r="D7">
        <v>1</v>
      </c>
      <c r="E7" t="s">
        <v>7</v>
      </c>
      <c r="F7">
        <v>33000</v>
      </c>
      <c r="G7">
        <v>18000</v>
      </c>
      <c r="H7">
        <f>Table1[[#This Row],[Qty]]*Table1[[#This Row],[SellingPrice]]</f>
        <v>33000</v>
      </c>
      <c r="I7">
        <f>Table1[[#This Row],[Qty]]*Table1[[#This Row],[CostPrice]]</f>
        <v>18000</v>
      </c>
      <c r="J7">
        <v>14895</v>
      </c>
      <c r="K7">
        <v>104.99999999999999</v>
      </c>
      <c r="L7" t="s">
        <v>11</v>
      </c>
      <c r="M7" t="s">
        <v>27</v>
      </c>
      <c r="N7">
        <f>MONTH(Table1[[#This Row],[SaleDate]])</f>
        <v>1</v>
      </c>
      <c r="O7" t="str">
        <f>TEXT(Table1[[#This Row],[SaleDate]],"MMM")</f>
        <v>Jan</v>
      </c>
      <c r="S7" s="5"/>
    </row>
    <row r="8" spans="1:19">
      <c r="A8" s="1">
        <v>44928</v>
      </c>
      <c r="B8" t="s">
        <v>24</v>
      </c>
      <c r="C8" t="s">
        <v>22</v>
      </c>
      <c r="D8">
        <v>1</v>
      </c>
      <c r="E8" t="s">
        <v>7</v>
      </c>
      <c r="F8">
        <v>33000</v>
      </c>
      <c r="G8">
        <v>18000</v>
      </c>
      <c r="H8">
        <f>Table1[[#This Row],[Qty]]*Table1[[#This Row],[SellingPrice]]</f>
        <v>33000</v>
      </c>
      <c r="I8">
        <f>Table1[[#This Row],[Qty]]*Table1[[#This Row],[CostPrice]]</f>
        <v>18000</v>
      </c>
      <c r="J8">
        <v>14895</v>
      </c>
      <c r="K8">
        <v>104.99999999999999</v>
      </c>
      <c r="L8" t="s">
        <v>12</v>
      </c>
      <c r="M8" t="s">
        <v>27</v>
      </c>
      <c r="N8">
        <f>MONTH(Table1[[#This Row],[SaleDate]])</f>
        <v>1</v>
      </c>
      <c r="O8" t="str">
        <f>TEXT(Table1[[#This Row],[SaleDate]],"MMM")</f>
        <v>Jan</v>
      </c>
      <c r="S8" s="6"/>
    </row>
    <row r="9" spans="1:19">
      <c r="A9" s="1">
        <v>44928</v>
      </c>
      <c r="B9" t="s">
        <v>25</v>
      </c>
      <c r="C9" t="s">
        <v>21</v>
      </c>
      <c r="D9">
        <v>1</v>
      </c>
      <c r="E9" t="s">
        <v>7</v>
      </c>
      <c r="F9">
        <v>33000</v>
      </c>
      <c r="G9">
        <v>18000</v>
      </c>
      <c r="H9">
        <f>Table1[[#This Row],[Qty]]*Table1[[#This Row],[SellingPrice]]</f>
        <v>33000</v>
      </c>
      <c r="I9">
        <f>Table1[[#This Row],[Qty]]*Table1[[#This Row],[CostPrice]]</f>
        <v>18000</v>
      </c>
      <c r="J9">
        <v>14895</v>
      </c>
      <c r="K9">
        <v>104.99999999999999</v>
      </c>
      <c r="L9" t="s">
        <v>13</v>
      </c>
      <c r="M9" t="s">
        <v>29</v>
      </c>
      <c r="N9">
        <f>MONTH(Table1[[#This Row],[SaleDate]])</f>
        <v>1</v>
      </c>
      <c r="O9" t="str">
        <f>TEXT(Table1[[#This Row],[SaleDate]],"MMM")</f>
        <v>Jan</v>
      </c>
      <c r="S9" s="7"/>
    </row>
    <row r="10" spans="1:19">
      <c r="A10" s="1">
        <v>44929</v>
      </c>
      <c r="B10" t="s">
        <v>23</v>
      </c>
      <c r="C10" t="s">
        <v>19</v>
      </c>
      <c r="D10">
        <v>2</v>
      </c>
      <c r="E10" t="s">
        <v>7</v>
      </c>
      <c r="F10">
        <v>33000</v>
      </c>
      <c r="G10">
        <v>18000</v>
      </c>
      <c r="H10">
        <f>Table1[[#This Row],[Qty]]*Table1[[#This Row],[SellingPrice]]</f>
        <v>66000</v>
      </c>
      <c r="I10">
        <f>Table1[[#This Row],[Qty]]*Table1[[#This Row],[CostPrice]]</f>
        <v>36000</v>
      </c>
      <c r="J10">
        <v>29790</v>
      </c>
      <c r="K10">
        <v>209.99999999999997</v>
      </c>
      <c r="L10" t="s">
        <v>8</v>
      </c>
      <c r="M10" t="s">
        <v>27</v>
      </c>
      <c r="N10">
        <f>MONTH(Table1[[#This Row],[SaleDate]])</f>
        <v>1</v>
      </c>
      <c r="O10" t="str">
        <f>TEXT(Table1[[#This Row],[SaleDate]],"MMM")</f>
        <v>Jan</v>
      </c>
      <c r="S10" s="8"/>
    </row>
    <row r="11" spans="1:19">
      <c r="A11" s="1">
        <v>44929</v>
      </c>
      <c r="B11" t="s">
        <v>23</v>
      </c>
      <c r="C11" t="s">
        <v>19</v>
      </c>
      <c r="D11">
        <v>2</v>
      </c>
      <c r="E11" t="s">
        <v>9</v>
      </c>
      <c r="F11">
        <v>60000</v>
      </c>
      <c r="G11">
        <v>31000</v>
      </c>
      <c r="H11">
        <f>Table1[[#This Row],[Qty]]*Table1[[#This Row],[SellingPrice]]</f>
        <v>120000</v>
      </c>
      <c r="I11">
        <f>Table1[[#This Row],[Qty]]*Table1[[#This Row],[CostPrice]]</f>
        <v>62000</v>
      </c>
      <c r="J11">
        <v>57594</v>
      </c>
      <c r="K11">
        <v>405.99999999999994</v>
      </c>
      <c r="L11" t="s">
        <v>8</v>
      </c>
      <c r="M11" t="s">
        <v>30</v>
      </c>
      <c r="N11">
        <f>MONTH(Table1[[#This Row],[SaleDate]])</f>
        <v>1</v>
      </c>
      <c r="O11" t="str">
        <f>TEXT(Table1[[#This Row],[SaleDate]],"MMM")</f>
        <v>Jan</v>
      </c>
      <c r="S11" s="9"/>
    </row>
    <row r="12" spans="1:19">
      <c r="A12" s="1">
        <v>44929</v>
      </c>
      <c r="B12" t="s">
        <v>26</v>
      </c>
      <c r="C12" t="s">
        <v>20</v>
      </c>
      <c r="D12">
        <v>2</v>
      </c>
      <c r="E12" t="s">
        <v>7</v>
      </c>
      <c r="F12">
        <v>33000</v>
      </c>
      <c r="G12">
        <v>18000</v>
      </c>
      <c r="H12">
        <f>Table1[[#This Row],[Qty]]*Table1[[#This Row],[SellingPrice]]</f>
        <v>66000</v>
      </c>
      <c r="I12">
        <f>Table1[[#This Row],[Qty]]*Table1[[#This Row],[CostPrice]]</f>
        <v>36000</v>
      </c>
      <c r="J12">
        <v>29790</v>
      </c>
      <c r="K12">
        <v>209.99999999999997</v>
      </c>
      <c r="L12" t="s">
        <v>11</v>
      </c>
      <c r="M12" t="s">
        <v>29</v>
      </c>
      <c r="N12">
        <f>MONTH(Table1[[#This Row],[SaleDate]])</f>
        <v>1</v>
      </c>
      <c r="O12" t="str">
        <f>TEXT(Table1[[#This Row],[SaleDate]],"MMM")</f>
        <v>Jan</v>
      </c>
      <c r="S12" s="10"/>
    </row>
    <row r="13" spans="1:19">
      <c r="A13" s="1">
        <v>44929</v>
      </c>
      <c r="B13" t="s">
        <v>26</v>
      </c>
      <c r="C13" t="s">
        <v>20</v>
      </c>
      <c r="D13">
        <v>2</v>
      </c>
      <c r="E13" t="s">
        <v>9</v>
      </c>
      <c r="F13">
        <v>60000</v>
      </c>
      <c r="G13">
        <v>31000</v>
      </c>
      <c r="H13">
        <f>Table1[[#This Row],[Qty]]*Table1[[#This Row],[SellingPrice]]</f>
        <v>120000</v>
      </c>
      <c r="I13">
        <f>Table1[[#This Row],[Qty]]*Table1[[#This Row],[CostPrice]]</f>
        <v>62000</v>
      </c>
      <c r="J13">
        <v>57594</v>
      </c>
      <c r="K13">
        <v>405.99999999999994</v>
      </c>
      <c r="L13" t="s">
        <v>11</v>
      </c>
      <c r="M13" t="s">
        <v>29</v>
      </c>
      <c r="N13">
        <f>MONTH(Table1[[#This Row],[SaleDate]])</f>
        <v>1</v>
      </c>
      <c r="O13" t="str">
        <f>TEXT(Table1[[#This Row],[SaleDate]],"MMM")</f>
        <v>Jan</v>
      </c>
    </row>
    <row r="14" spans="1:19">
      <c r="A14" s="1">
        <v>44929</v>
      </c>
      <c r="B14" t="s">
        <v>24</v>
      </c>
      <c r="C14" t="s">
        <v>22</v>
      </c>
      <c r="D14">
        <v>2</v>
      </c>
      <c r="E14" t="s">
        <v>7</v>
      </c>
      <c r="F14">
        <v>33000</v>
      </c>
      <c r="G14">
        <v>18000</v>
      </c>
      <c r="H14">
        <f>Table1[[#This Row],[Qty]]*Table1[[#This Row],[SellingPrice]]</f>
        <v>66000</v>
      </c>
      <c r="I14">
        <f>Table1[[#This Row],[Qty]]*Table1[[#This Row],[CostPrice]]</f>
        <v>36000</v>
      </c>
      <c r="J14">
        <v>29790</v>
      </c>
      <c r="K14">
        <v>209.99999999999997</v>
      </c>
      <c r="L14" t="s">
        <v>12</v>
      </c>
      <c r="M14" t="s">
        <v>28</v>
      </c>
      <c r="N14">
        <f>MONTH(Table1[[#This Row],[SaleDate]])</f>
        <v>1</v>
      </c>
      <c r="O14" t="str">
        <f>TEXT(Table1[[#This Row],[SaleDate]],"MMM")</f>
        <v>Jan</v>
      </c>
    </row>
    <row r="15" spans="1:19">
      <c r="A15" s="1">
        <v>44929</v>
      </c>
      <c r="B15" t="s">
        <v>24</v>
      </c>
      <c r="C15" t="s">
        <v>22</v>
      </c>
      <c r="D15">
        <v>2</v>
      </c>
      <c r="E15" t="s">
        <v>9</v>
      </c>
      <c r="F15">
        <v>60000</v>
      </c>
      <c r="G15">
        <v>31000</v>
      </c>
      <c r="H15">
        <f>Table1[[#This Row],[Qty]]*Table1[[#This Row],[SellingPrice]]</f>
        <v>120000</v>
      </c>
      <c r="I15">
        <f>Table1[[#This Row],[Qty]]*Table1[[#This Row],[CostPrice]]</f>
        <v>62000</v>
      </c>
      <c r="J15">
        <v>57594</v>
      </c>
      <c r="K15">
        <v>405.99999999999994</v>
      </c>
      <c r="L15" t="s">
        <v>12</v>
      </c>
      <c r="M15" t="s">
        <v>30</v>
      </c>
      <c r="N15">
        <f>MONTH(Table1[[#This Row],[SaleDate]])</f>
        <v>1</v>
      </c>
      <c r="O15" t="str">
        <f>TEXT(Table1[[#This Row],[SaleDate]],"MMM")</f>
        <v>Jan</v>
      </c>
    </row>
    <row r="16" spans="1:19">
      <c r="A16" s="1">
        <v>44929</v>
      </c>
      <c r="B16" t="s">
        <v>25</v>
      </c>
      <c r="C16" t="s">
        <v>21</v>
      </c>
      <c r="D16">
        <v>2</v>
      </c>
      <c r="E16" t="s">
        <v>7</v>
      </c>
      <c r="F16">
        <v>33000</v>
      </c>
      <c r="G16">
        <v>18000</v>
      </c>
      <c r="H16">
        <f>Table1[[#This Row],[Qty]]*Table1[[#This Row],[SellingPrice]]</f>
        <v>66000</v>
      </c>
      <c r="I16">
        <f>Table1[[#This Row],[Qty]]*Table1[[#This Row],[CostPrice]]</f>
        <v>36000</v>
      </c>
      <c r="J16">
        <v>29790</v>
      </c>
      <c r="K16">
        <v>209.99999999999997</v>
      </c>
      <c r="L16" t="s">
        <v>13</v>
      </c>
      <c r="M16" t="s">
        <v>30</v>
      </c>
      <c r="N16">
        <f>MONTH(Table1[[#This Row],[SaleDate]])</f>
        <v>1</v>
      </c>
      <c r="O16" t="str">
        <f>TEXT(Table1[[#This Row],[SaleDate]],"MMM")</f>
        <v>Jan</v>
      </c>
    </row>
    <row r="17" spans="1:15">
      <c r="A17" s="1">
        <v>44929</v>
      </c>
      <c r="B17" t="s">
        <v>25</v>
      </c>
      <c r="C17" t="s">
        <v>21</v>
      </c>
      <c r="D17">
        <v>2</v>
      </c>
      <c r="E17" t="s">
        <v>9</v>
      </c>
      <c r="F17">
        <v>60000</v>
      </c>
      <c r="G17">
        <v>31000</v>
      </c>
      <c r="H17">
        <f>Table1[[#This Row],[Qty]]*Table1[[#This Row],[SellingPrice]]</f>
        <v>120000</v>
      </c>
      <c r="I17">
        <f>Table1[[#This Row],[Qty]]*Table1[[#This Row],[CostPrice]]</f>
        <v>62000</v>
      </c>
      <c r="J17">
        <v>57594</v>
      </c>
      <c r="K17">
        <v>405.99999999999994</v>
      </c>
      <c r="L17" t="s">
        <v>13</v>
      </c>
      <c r="M17" t="s">
        <v>29</v>
      </c>
      <c r="N17">
        <f>MONTH(Table1[[#This Row],[SaleDate]])</f>
        <v>1</v>
      </c>
      <c r="O17" t="str">
        <f>TEXT(Table1[[#This Row],[SaleDate]],"MMM")</f>
        <v>Jan</v>
      </c>
    </row>
    <row r="18" spans="1:15">
      <c r="A18" s="1">
        <v>44930</v>
      </c>
      <c r="B18" t="s">
        <v>23</v>
      </c>
      <c r="C18" t="s">
        <v>19</v>
      </c>
      <c r="D18">
        <v>2</v>
      </c>
      <c r="E18" t="s">
        <v>7</v>
      </c>
      <c r="F18">
        <v>33000</v>
      </c>
      <c r="G18">
        <v>18000</v>
      </c>
      <c r="H18">
        <f>Table1[[#This Row],[Qty]]*Table1[[#This Row],[SellingPrice]]</f>
        <v>66000</v>
      </c>
      <c r="I18">
        <f>Table1[[#This Row],[Qty]]*Table1[[#This Row],[CostPrice]]</f>
        <v>36000</v>
      </c>
      <c r="J18">
        <v>29790</v>
      </c>
      <c r="K18">
        <v>209.99999999999997</v>
      </c>
      <c r="L18" t="s">
        <v>8</v>
      </c>
      <c r="M18" t="s">
        <v>28</v>
      </c>
      <c r="N18">
        <f>MONTH(Table1[[#This Row],[SaleDate]])</f>
        <v>1</v>
      </c>
      <c r="O18" t="str">
        <f>TEXT(Table1[[#This Row],[SaleDate]],"MMM")</f>
        <v>Jan</v>
      </c>
    </row>
    <row r="19" spans="1:15">
      <c r="A19" s="1">
        <v>44930</v>
      </c>
      <c r="B19" t="s">
        <v>23</v>
      </c>
      <c r="C19" t="s">
        <v>19</v>
      </c>
      <c r="D19">
        <v>2</v>
      </c>
      <c r="E19" t="s">
        <v>9</v>
      </c>
      <c r="F19">
        <v>60000</v>
      </c>
      <c r="G19">
        <v>31000</v>
      </c>
      <c r="H19">
        <f>Table1[[#This Row],[Qty]]*Table1[[#This Row],[SellingPrice]]</f>
        <v>120000</v>
      </c>
      <c r="I19">
        <f>Table1[[#This Row],[Qty]]*Table1[[#This Row],[CostPrice]]</f>
        <v>62000</v>
      </c>
      <c r="J19">
        <v>57594</v>
      </c>
      <c r="K19">
        <v>405.99999999999994</v>
      </c>
      <c r="L19" t="s">
        <v>8</v>
      </c>
      <c r="M19" t="s">
        <v>29</v>
      </c>
      <c r="N19">
        <f>MONTH(Table1[[#This Row],[SaleDate]])</f>
        <v>1</v>
      </c>
      <c r="O19" t="str">
        <f>TEXT(Table1[[#This Row],[SaleDate]],"MMM")</f>
        <v>Jan</v>
      </c>
    </row>
    <row r="20" spans="1:15">
      <c r="A20" s="1">
        <v>44930</v>
      </c>
      <c r="B20" t="s">
        <v>26</v>
      </c>
      <c r="C20" t="s">
        <v>20</v>
      </c>
      <c r="D20">
        <v>2</v>
      </c>
      <c r="E20" t="s">
        <v>7</v>
      </c>
      <c r="F20">
        <v>33000</v>
      </c>
      <c r="G20">
        <v>18000</v>
      </c>
      <c r="H20">
        <f>Table1[[#This Row],[Qty]]*Table1[[#This Row],[SellingPrice]]</f>
        <v>66000</v>
      </c>
      <c r="I20">
        <f>Table1[[#This Row],[Qty]]*Table1[[#This Row],[CostPrice]]</f>
        <v>36000</v>
      </c>
      <c r="J20">
        <v>29790</v>
      </c>
      <c r="K20">
        <v>209.99999999999997</v>
      </c>
      <c r="L20" t="s">
        <v>11</v>
      </c>
      <c r="M20" t="s">
        <v>30</v>
      </c>
      <c r="N20">
        <f>MONTH(Table1[[#This Row],[SaleDate]])</f>
        <v>1</v>
      </c>
      <c r="O20" t="str">
        <f>TEXT(Table1[[#This Row],[SaleDate]],"MMM")</f>
        <v>Jan</v>
      </c>
    </row>
    <row r="21" spans="1:15">
      <c r="A21" s="1">
        <v>44930</v>
      </c>
      <c r="B21" t="s">
        <v>26</v>
      </c>
      <c r="C21" t="s">
        <v>20</v>
      </c>
      <c r="D21">
        <v>2</v>
      </c>
      <c r="E21" t="s">
        <v>9</v>
      </c>
      <c r="F21">
        <v>60000</v>
      </c>
      <c r="G21">
        <v>31000</v>
      </c>
      <c r="H21">
        <f>Table1[[#This Row],[Qty]]*Table1[[#This Row],[SellingPrice]]</f>
        <v>120000</v>
      </c>
      <c r="I21">
        <f>Table1[[#This Row],[Qty]]*Table1[[#This Row],[CostPrice]]</f>
        <v>62000</v>
      </c>
      <c r="J21">
        <v>57594</v>
      </c>
      <c r="K21">
        <v>405.99999999999994</v>
      </c>
      <c r="L21" t="s">
        <v>11</v>
      </c>
      <c r="M21" t="s">
        <v>30</v>
      </c>
      <c r="N21">
        <f>MONTH(Table1[[#This Row],[SaleDate]])</f>
        <v>1</v>
      </c>
      <c r="O21" t="str">
        <f>TEXT(Table1[[#This Row],[SaleDate]],"MMM")</f>
        <v>Jan</v>
      </c>
    </row>
    <row r="22" spans="1:15">
      <c r="A22" s="1">
        <v>44930</v>
      </c>
      <c r="B22" t="s">
        <v>24</v>
      </c>
      <c r="C22" t="s">
        <v>22</v>
      </c>
      <c r="D22">
        <v>2</v>
      </c>
      <c r="E22" t="s">
        <v>7</v>
      </c>
      <c r="F22">
        <v>33000</v>
      </c>
      <c r="G22">
        <v>18000</v>
      </c>
      <c r="H22">
        <f>Table1[[#This Row],[Qty]]*Table1[[#This Row],[SellingPrice]]</f>
        <v>66000</v>
      </c>
      <c r="I22">
        <f>Table1[[#This Row],[Qty]]*Table1[[#This Row],[CostPrice]]</f>
        <v>36000</v>
      </c>
      <c r="J22">
        <v>29790</v>
      </c>
      <c r="K22">
        <v>209.99999999999997</v>
      </c>
      <c r="L22" t="s">
        <v>12</v>
      </c>
      <c r="M22" t="s">
        <v>28</v>
      </c>
      <c r="N22">
        <f>MONTH(Table1[[#This Row],[SaleDate]])</f>
        <v>1</v>
      </c>
      <c r="O22" t="str">
        <f>TEXT(Table1[[#This Row],[SaleDate]],"MMM")</f>
        <v>Jan</v>
      </c>
    </row>
    <row r="23" spans="1:15">
      <c r="A23" s="1">
        <v>44930</v>
      </c>
      <c r="B23" t="s">
        <v>24</v>
      </c>
      <c r="C23" t="s">
        <v>22</v>
      </c>
      <c r="D23">
        <v>2</v>
      </c>
      <c r="E23" t="s">
        <v>9</v>
      </c>
      <c r="F23">
        <v>60000</v>
      </c>
      <c r="G23">
        <v>31000</v>
      </c>
      <c r="H23">
        <f>Table1[[#This Row],[Qty]]*Table1[[#This Row],[SellingPrice]]</f>
        <v>120000</v>
      </c>
      <c r="I23">
        <f>Table1[[#This Row],[Qty]]*Table1[[#This Row],[CostPrice]]</f>
        <v>62000</v>
      </c>
      <c r="J23">
        <v>57594</v>
      </c>
      <c r="K23">
        <v>405.99999999999994</v>
      </c>
      <c r="L23" t="s">
        <v>12</v>
      </c>
      <c r="M23" t="s">
        <v>27</v>
      </c>
      <c r="N23">
        <f>MONTH(Table1[[#This Row],[SaleDate]])</f>
        <v>1</v>
      </c>
      <c r="O23" t="str">
        <f>TEXT(Table1[[#This Row],[SaleDate]],"MMM")</f>
        <v>Jan</v>
      </c>
    </row>
    <row r="24" spans="1:15">
      <c r="A24" s="1">
        <v>44930</v>
      </c>
      <c r="B24" t="s">
        <v>25</v>
      </c>
      <c r="C24" t="s">
        <v>21</v>
      </c>
      <c r="D24">
        <v>2</v>
      </c>
      <c r="E24" t="s">
        <v>7</v>
      </c>
      <c r="F24">
        <v>33000</v>
      </c>
      <c r="G24">
        <v>18000</v>
      </c>
      <c r="H24">
        <f>Table1[[#This Row],[Qty]]*Table1[[#This Row],[SellingPrice]]</f>
        <v>66000</v>
      </c>
      <c r="I24">
        <f>Table1[[#This Row],[Qty]]*Table1[[#This Row],[CostPrice]]</f>
        <v>36000</v>
      </c>
      <c r="J24">
        <v>29790</v>
      </c>
      <c r="K24">
        <v>209.99999999999997</v>
      </c>
      <c r="L24" t="s">
        <v>13</v>
      </c>
      <c r="M24" t="s">
        <v>30</v>
      </c>
      <c r="N24">
        <f>MONTH(Table1[[#This Row],[SaleDate]])</f>
        <v>1</v>
      </c>
      <c r="O24" t="str">
        <f>TEXT(Table1[[#This Row],[SaleDate]],"MMM")</f>
        <v>Jan</v>
      </c>
    </row>
    <row r="25" spans="1:15">
      <c r="A25" s="1">
        <v>44930</v>
      </c>
      <c r="B25" t="s">
        <v>25</v>
      </c>
      <c r="C25" t="s">
        <v>21</v>
      </c>
      <c r="D25">
        <v>2</v>
      </c>
      <c r="E25" t="s">
        <v>9</v>
      </c>
      <c r="F25">
        <v>60000</v>
      </c>
      <c r="G25">
        <v>31000</v>
      </c>
      <c r="H25">
        <f>Table1[[#This Row],[Qty]]*Table1[[#This Row],[SellingPrice]]</f>
        <v>120000</v>
      </c>
      <c r="I25">
        <f>Table1[[#This Row],[Qty]]*Table1[[#This Row],[CostPrice]]</f>
        <v>62000</v>
      </c>
      <c r="J25">
        <v>57594</v>
      </c>
      <c r="K25">
        <v>405.99999999999994</v>
      </c>
      <c r="L25" t="s">
        <v>13</v>
      </c>
      <c r="M25" t="s">
        <v>30</v>
      </c>
      <c r="N25">
        <f>MONTH(Table1[[#This Row],[SaleDate]])</f>
        <v>1</v>
      </c>
      <c r="O25" t="str">
        <f>TEXT(Table1[[#This Row],[SaleDate]],"MMM")</f>
        <v>Jan</v>
      </c>
    </row>
    <row r="26" spans="1:15">
      <c r="A26" s="1">
        <v>44931</v>
      </c>
      <c r="B26" t="s">
        <v>23</v>
      </c>
      <c r="C26" t="s">
        <v>19</v>
      </c>
      <c r="D26">
        <v>1</v>
      </c>
      <c r="E26" t="s">
        <v>7</v>
      </c>
      <c r="F26">
        <v>33000</v>
      </c>
      <c r="G26">
        <v>18000</v>
      </c>
      <c r="H26">
        <f>Table1[[#This Row],[Qty]]*Table1[[#This Row],[SellingPrice]]</f>
        <v>33000</v>
      </c>
      <c r="I26">
        <f>Table1[[#This Row],[Qty]]*Table1[[#This Row],[CostPrice]]</f>
        <v>18000</v>
      </c>
      <c r="J26">
        <v>14895</v>
      </c>
      <c r="K26">
        <v>104.99999999999999</v>
      </c>
      <c r="L26" t="s">
        <v>8</v>
      </c>
      <c r="M26" t="s">
        <v>30</v>
      </c>
      <c r="N26">
        <f>MONTH(Table1[[#This Row],[SaleDate]])</f>
        <v>1</v>
      </c>
      <c r="O26" t="str">
        <f>TEXT(Table1[[#This Row],[SaleDate]],"MMM")</f>
        <v>Jan</v>
      </c>
    </row>
    <row r="27" spans="1:15">
      <c r="A27" s="1">
        <v>44931</v>
      </c>
      <c r="B27" t="s">
        <v>23</v>
      </c>
      <c r="C27" t="s">
        <v>19</v>
      </c>
      <c r="D27">
        <v>1</v>
      </c>
      <c r="E27" t="s">
        <v>9</v>
      </c>
      <c r="F27">
        <v>60000</v>
      </c>
      <c r="G27">
        <v>31000</v>
      </c>
      <c r="H27">
        <f>Table1[[#This Row],[Qty]]*Table1[[#This Row],[SellingPrice]]</f>
        <v>60000</v>
      </c>
      <c r="I27">
        <f>Table1[[#This Row],[Qty]]*Table1[[#This Row],[CostPrice]]</f>
        <v>31000</v>
      </c>
      <c r="J27">
        <v>28797</v>
      </c>
      <c r="K27">
        <v>202.99999999999997</v>
      </c>
      <c r="L27" t="s">
        <v>8</v>
      </c>
      <c r="M27" t="s">
        <v>30</v>
      </c>
      <c r="N27">
        <f>MONTH(Table1[[#This Row],[SaleDate]])</f>
        <v>1</v>
      </c>
      <c r="O27" t="str">
        <f>TEXT(Table1[[#This Row],[SaleDate]],"MMM")</f>
        <v>Jan</v>
      </c>
    </row>
    <row r="28" spans="1:15">
      <c r="A28" s="1">
        <v>44931</v>
      </c>
      <c r="B28" t="s">
        <v>23</v>
      </c>
      <c r="C28" t="s">
        <v>19</v>
      </c>
      <c r="D28">
        <v>1</v>
      </c>
      <c r="E28" t="s">
        <v>10</v>
      </c>
      <c r="F28">
        <v>89000</v>
      </c>
      <c r="G28">
        <v>65000</v>
      </c>
      <c r="H28">
        <f>Table1[[#This Row],[Qty]]*Table1[[#This Row],[SellingPrice]]</f>
        <v>89000</v>
      </c>
      <c r="I28">
        <f>Table1[[#This Row],[Qty]]*Table1[[#This Row],[CostPrice]]</f>
        <v>65000</v>
      </c>
      <c r="J28">
        <v>23832</v>
      </c>
      <c r="K28">
        <v>167.99999999999997</v>
      </c>
      <c r="L28" t="s">
        <v>8</v>
      </c>
      <c r="M28" t="s">
        <v>30</v>
      </c>
      <c r="N28">
        <f>MONTH(Table1[[#This Row],[SaleDate]])</f>
        <v>1</v>
      </c>
      <c r="O28" t="str">
        <f>TEXT(Table1[[#This Row],[SaleDate]],"MMM")</f>
        <v>Jan</v>
      </c>
    </row>
    <row r="29" spans="1:15">
      <c r="A29" s="1">
        <v>44931</v>
      </c>
      <c r="B29" t="s">
        <v>26</v>
      </c>
      <c r="C29" t="s">
        <v>20</v>
      </c>
      <c r="D29">
        <v>1</v>
      </c>
      <c r="E29" t="s">
        <v>7</v>
      </c>
      <c r="F29">
        <v>33000</v>
      </c>
      <c r="G29">
        <v>18000</v>
      </c>
      <c r="H29">
        <f>Table1[[#This Row],[Qty]]*Table1[[#This Row],[SellingPrice]]</f>
        <v>33000</v>
      </c>
      <c r="I29">
        <f>Table1[[#This Row],[Qty]]*Table1[[#This Row],[CostPrice]]</f>
        <v>18000</v>
      </c>
      <c r="J29">
        <v>14895</v>
      </c>
      <c r="K29">
        <v>104.99999999999999</v>
      </c>
      <c r="L29" t="s">
        <v>11</v>
      </c>
      <c r="M29" t="s">
        <v>30</v>
      </c>
      <c r="N29">
        <f>MONTH(Table1[[#This Row],[SaleDate]])</f>
        <v>1</v>
      </c>
      <c r="O29" t="str">
        <f>TEXT(Table1[[#This Row],[SaleDate]],"MMM")</f>
        <v>Jan</v>
      </c>
    </row>
    <row r="30" spans="1:15">
      <c r="A30" s="1">
        <v>44931</v>
      </c>
      <c r="B30" t="s">
        <v>26</v>
      </c>
      <c r="C30" t="s">
        <v>20</v>
      </c>
      <c r="D30">
        <v>1</v>
      </c>
      <c r="E30" t="s">
        <v>9</v>
      </c>
      <c r="F30">
        <v>60000</v>
      </c>
      <c r="G30">
        <v>31000</v>
      </c>
      <c r="H30">
        <f>Table1[[#This Row],[Qty]]*Table1[[#This Row],[SellingPrice]]</f>
        <v>60000</v>
      </c>
      <c r="I30">
        <f>Table1[[#This Row],[Qty]]*Table1[[#This Row],[CostPrice]]</f>
        <v>31000</v>
      </c>
      <c r="J30">
        <v>28797</v>
      </c>
      <c r="K30">
        <v>202.99999999999997</v>
      </c>
      <c r="L30" t="s">
        <v>11</v>
      </c>
      <c r="M30" t="s">
        <v>28</v>
      </c>
      <c r="N30">
        <f>MONTH(Table1[[#This Row],[SaleDate]])</f>
        <v>1</v>
      </c>
      <c r="O30" t="str">
        <f>TEXT(Table1[[#This Row],[SaleDate]],"MMM")</f>
        <v>Jan</v>
      </c>
    </row>
    <row r="31" spans="1:15">
      <c r="A31" s="1">
        <v>44931</v>
      </c>
      <c r="B31" t="s">
        <v>26</v>
      </c>
      <c r="C31" t="s">
        <v>20</v>
      </c>
      <c r="D31">
        <v>1</v>
      </c>
      <c r="E31" t="s">
        <v>10</v>
      </c>
      <c r="F31">
        <v>89000</v>
      </c>
      <c r="G31">
        <v>65000</v>
      </c>
      <c r="H31">
        <f>Table1[[#This Row],[Qty]]*Table1[[#This Row],[SellingPrice]]</f>
        <v>89000</v>
      </c>
      <c r="I31">
        <f>Table1[[#This Row],[Qty]]*Table1[[#This Row],[CostPrice]]</f>
        <v>65000</v>
      </c>
      <c r="J31">
        <v>23832</v>
      </c>
      <c r="K31">
        <v>167.99999999999997</v>
      </c>
      <c r="L31" t="s">
        <v>11</v>
      </c>
      <c r="M31" t="s">
        <v>30</v>
      </c>
      <c r="N31">
        <f>MONTH(Table1[[#This Row],[SaleDate]])</f>
        <v>1</v>
      </c>
      <c r="O31" t="str">
        <f>TEXT(Table1[[#This Row],[SaleDate]],"MMM")</f>
        <v>Jan</v>
      </c>
    </row>
    <row r="32" spans="1:15">
      <c r="A32" s="1">
        <v>44931</v>
      </c>
      <c r="B32" t="s">
        <v>24</v>
      </c>
      <c r="C32" t="s">
        <v>22</v>
      </c>
      <c r="D32">
        <v>1</v>
      </c>
      <c r="E32" t="s">
        <v>9</v>
      </c>
      <c r="F32">
        <v>60000</v>
      </c>
      <c r="G32">
        <v>31000</v>
      </c>
      <c r="H32">
        <f>Table1[[#This Row],[Qty]]*Table1[[#This Row],[SellingPrice]]</f>
        <v>60000</v>
      </c>
      <c r="I32">
        <f>Table1[[#This Row],[Qty]]*Table1[[#This Row],[CostPrice]]</f>
        <v>31000</v>
      </c>
      <c r="J32">
        <v>28797</v>
      </c>
      <c r="K32">
        <v>202.99999999999997</v>
      </c>
      <c r="L32" t="s">
        <v>12</v>
      </c>
      <c r="M32" t="s">
        <v>29</v>
      </c>
      <c r="N32">
        <f>MONTH(Table1[[#This Row],[SaleDate]])</f>
        <v>1</v>
      </c>
      <c r="O32" t="str">
        <f>TEXT(Table1[[#This Row],[SaleDate]],"MMM")</f>
        <v>Jan</v>
      </c>
    </row>
    <row r="33" spans="1:15">
      <c r="A33" s="1">
        <v>44931</v>
      </c>
      <c r="B33" t="s">
        <v>24</v>
      </c>
      <c r="C33" t="s">
        <v>22</v>
      </c>
      <c r="D33">
        <v>1</v>
      </c>
      <c r="E33" t="s">
        <v>10</v>
      </c>
      <c r="F33">
        <v>89000</v>
      </c>
      <c r="G33">
        <v>65000</v>
      </c>
      <c r="H33">
        <f>Table1[[#This Row],[Qty]]*Table1[[#This Row],[SellingPrice]]</f>
        <v>89000</v>
      </c>
      <c r="I33">
        <f>Table1[[#This Row],[Qty]]*Table1[[#This Row],[CostPrice]]</f>
        <v>65000</v>
      </c>
      <c r="J33">
        <v>23832</v>
      </c>
      <c r="K33">
        <v>167.99999999999997</v>
      </c>
      <c r="L33" t="s">
        <v>12</v>
      </c>
      <c r="M33" t="s">
        <v>30</v>
      </c>
      <c r="N33">
        <f>MONTH(Table1[[#This Row],[SaleDate]])</f>
        <v>1</v>
      </c>
      <c r="O33" t="str">
        <f>TEXT(Table1[[#This Row],[SaleDate]],"MMM")</f>
        <v>Jan</v>
      </c>
    </row>
    <row r="34" spans="1:15">
      <c r="A34" s="1">
        <v>44931</v>
      </c>
      <c r="B34" t="s">
        <v>25</v>
      </c>
      <c r="C34" t="s">
        <v>21</v>
      </c>
      <c r="D34">
        <v>1</v>
      </c>
      <c r="E34" t="s">
        <v>7</v>
      </c>
      <c r="F34">
        <v>33000</v>
      </c>
      <c r="G34">
        <v>18000</v>
      </c>
      <c r="H34">
        <f>Table1[[#This Row],[Qty]]*Table1[[#This Row],[SellingPrice]]</f>
        <v>33000</v>
      </c>
      <c r="I34">
        <f>Table1[[#This Row],[Qty]]*Table1[[#This Row],[CostPrice]]</f>
        <v>18000</v>
      </c>
      <c r="J34">
        <v>14895</v>
      </c>
      <c r="K34">
        <v>104.99999999999999</v>
      </c>
      <c r="L34" t="s">
        <v>13</v>
      </c>
      <c r="M34" t="s">
        <v>27</v>
      </c>
      <c r="N34">
        <f>MONTH(Table1[[#This Row],[SaleDate]])</f>
        <v>1</v>
      </c>
      <c r="O34" t="str">
        <f>TEXT(Table1[[#This Row],[SaleDate]],"MMM")</f>
        <v>Jan</v>
      </c>
    </row>
    <row r="35" spans="1:15">
      <c r="A35" s="1">
        <v>44931</v>
      </c>
      <c r="B35" t="s">
        <v>25</v>
      </c>
      <c r="C35" t="s">
        <v>21</v>
      </c>
      <c r="D35">
        <v>1</v>
      </c>
      <c r="E35" t="s">
        <v>9</v>
      </c>
      <c r="F35">
        <v>60000</v>
      </c>
      <c r="G35">
        <v>31000</v>
      </c>
      <c r="H35">
        <f>Table1[[#This Row],[Qty]]*Table1[[#This Row],[SellingPrice]]</f>
        <v>60000</v>
      </c>
      <c r="I35">
        <f>Table1[[#This Row],[Qty]]*Table1[[#This Row],[CostPrice]]</f>
        <v>31000</v>
      </c>
      <c r="J35">
        <v>28797</v>
      </c>
      <c r="K35">
        <v>202.99999999999997</v>
      </c>
      <c r="L35" t="s">
        <v>13</v>
      </c>
      <c r="M35" t="s">
        <v>27</v>
      </c>
      <c r="N35">
        <f>MONTH(Table1[[#This Row],[SaleDate]])</f>
        <v>1</v>
      </c>
      <c r="O35" t="str">
        <f>TEXT(Table1[[#This Row],[SaleDate]],"MMM")</f>
        <v>Jan</v>
      </c>
    </row>
    <row r="36" spans="1:15">
      <c r="A36" s="1">
        <v>44931</v>
      </c>
      <c r="B36" t="s">
        <v>25</v>
      </c>
      <c r="C36" t="s">
        <v>21</v>
      </c>
      <c r="D36">
        <v>1</v>
      </c>
      <c r="E36" t="s">
        <v>10</v>
      </c>
      <c r="F36">
        <v>89000</v>
      </c>
      <c r="G36">
        <v>65000</v>
      </c>
      <c r="H36">
        <f>Table1[[#This Row],[Qty]]*Table1[[#This Row],[SellingPrice]]</f>
        <v>89000</v>
      </c>
      <c r="I36">
        <f>Table1[[#This Row],[Qty]]*Table1[[#This Row],[CostPrice]]</f>
        <v>65000</v>
      </c>
      <c r="J36">
        <v>23832</v>
      </c>
      <c r="K36">
        <v>167.99999999999997</v>
      </c>
      <c r="L36" t="s">
        <v>13</v>
      </c>
      <c r="M36" t="s">
        <v>30</v>
      </c>
      <c r="N36">
        <f>MONTH(Table1[[#This Row],[SaleDate]])</f>
        <v>1</v>
      </c>
      <c r="O36" t="str">
        <f>TEXT(Table1[[#This Row],[SaleDate]],"MMM")</f>
        <v>Jan</v>
      </c>
    </row>
    <row r="37" spans="1:15">
      <c r="A37" s="1">
        <v>44932</v>
      </c>
      <c r="B37" t="s">
        <v>23</v>
      </c>
      <c r="C37" t="s">
        <v>19</v>
      </c>
      <c r="D37">
        <v>1</v>
      </c>
      <c r="E37" t="s">
        <v>7</v>
      </c>
      <c r="F37">
        <v>33000</v>
      </c>
      <c r="G37">
        <v>18000</v>
      </c>
      <c r="H37">
        <f>Table1[[#This Row],[Qty]]*Table1[[#This Row],[SellingPrice]]</f>
        <v>33000</v>
      </c>
      <c r="I37">
        <f>Table1[[#This Row],[Qty]]*Table1[[#This Row],[CostPrice]]</f>
        <v>18000</v>
      </c>
      <c r="J37">
        <v>14895</v>
      </c>
      <c r="K37">
        <v>104.99999999999999</v>
      </c>
      <c r="L37" t="s">
        <v>8</v>
      </c>
      <c r="M37" t="s">
        <v>29</v>
      </c>
      <c r="N37">
        <f>MONTH(Table1[[#This Row],[SaleDate]])</f>
        <v>1</v>
      </c>
      <c r="O37" t="str">
        <f>TEXT(Table1[[#This Row],[SaleDate]],"MMM")</f>
        <v>Jan</v>
      </c>
    </row>
    <row r="38" spans="1:15">
      <c r="A38" s="1">
        <v>44932</v>
      </c>
      <c r="B38" t="s">
        <v>23</v>
      </c>
      <c r="C38" t="s">
        <v>19</v>
      </c>
      <c r="D38">
        <v>1</v>
      </c>
      <c r="E38" t="s">
        <v>9</v>
      </c>
      <c r="F38">
        <v>60000</v>
      </c>
      <c r="G38">
        <v>31000</v>
      </c>
      <c r="H38">
        <f>Table1[[#This Row],[Qty]]*Table1[[#This Row],[SellingPrice]]</f>
        <v>60000</v>
      </c>
      <c r="I38">
        <f>Table1[[#This Row],[Qty]]*Table1[[#This Row],[CostPrice]]</f>
        <v>31000</v>
      </c>
      <c r="J38">
        <v>28797</v>
      </c>
      <c r="K38">
        <v>202.99999999999997</v>
      </c>
      <c r="L38" t="s">
        <v>8</v>
      </c>
      <c r="M38" t="s">
        <v>28</v>
      </c>
      <c r="N38">
        <f>MONTH(Table1[[#This Row],[SaleDate]])</f>
        <v>1</v>
      </c>
      <c r="O38" t="str">
        <f>TEXT(Table1[[#This Row],[SaleDate]],"MMM")</f>
        <v>Jan</v>
      </c>
    </row>
    <row r="39" spans="1:15">
      <c r="A39" s="1">
        <v>44932</v>
      </c>
      <c r="B39" t="s">
        <v>23</v>
      </c>
      <c r="C39" t="s">
        <v>19</v>
      </c>
      <c r="D39">
        <v>1</v>
      </c>
      <c r="E39" t="s">
        <v>10</v>
      </c>
      <c r="F39">
        <v>89000</v>
      </c>
      <c r="G39">
        <v>65000</v>
      </c>
      <c r="H39">
        <f>Table1[[#This Row],[Qty]]*Table1[[#This Row],[SellingPrice]]</f>
        <v>89000</v>
      </c>
      <c r="I39">
        <f>Table1[[#This Row],[Qty]]*Table1[[#This Row],[CostPrice]]</f>
        <v>65000</v>
      </c>
      <c r="J39">
        <v>23832</v>
      </c>
      <c r="K39">
        <v>167.99999999999997</v>
      </c>
      <c r="L39" t="s">
        <v>8</v>
      </c>
      <c r="M39" t="s">
        <v>30</v>
      </c>
      <c r="N39">
        <f>MONTH(Table1[[#This Row],[SaleDate]])</f>
        <v>1</v>
      </c>
      <c r="O39" t="str">
        <f>TEXT(Table1[[#This Row],[SaleDate]],"MMM")</f>
        <v>Jan</v>
      </c>
    </row>
    <row r="40" spans="1:15">
      <c r="A40" s="1">
        <v>44932</v>
      </c>
      <c r="B40" t="s">
        <v>26</v>
      </c>
      <c r="C40" t="s">
        <v>20</v>
      </c>
      <c r="D40">
        <v>1</v>
      </c>
      <c r="E40" t="s">
        <v>7</v>
      </c>
      <c r="F40">
        <v>33000</v>
      </c>
      <c r="G40">
        <v>18000</v>
      </c>
      <c r="H40">
        <f>Table1[[#This Row],[Qty]]*Table1[[#This Row],[SellingPrice]]</f>
        <v>33000</v>
      </c>
      <c r="I40">
        <f>Table1[[#This Row],[Qty]]*Table1[[#This Row],[CostPrice]]</f>
        <v>18000</v>
      </c>
      <c r="J40">
        <v>14895</v>
      </c>
      <c r="K40">
        <v>104.99999999999999</v>
      </c>
      <c r="L40" t="s">
        <v>11</v>
      </c>
      <c r="M40" t="s">
        <v>27</v>
      </c>
      <c r="N40">
        <f>MONTH(Table1[[#This Row],[SaleDate]])</f>
        <v>1</v>
      </c>
      <c r="O40" t="str">
        <f>TEXT(Table1[[#This Row],[SaleDate]],"MMM")</f>
        <v>Jan</v>
      </c>
    </row>
    <row r="41" spans="1:15">
      <c r="A41" s="1">
        <v>44932</v>
      </c>
      <c r="B41" t="s">
        <v>26</v>
      </c>
      <c r="C41" t="s">
        <v>20</v>
      </c>
      <c r="D41">
        <v>1</v>
      </c>
      <c r="E41" t="s">
        <v>9</v>
      </c>
      <c r="F41">
        <v>60000</v>
      </c>
      <c r="G41">
        <v>31000</v>
      </c>
      <c r="H41">
        <f>Table1[[#This Row],[Qty]]*Table1[[#This Row],[SellingPrice]]</f>
        <v>60000</v>
      </c>
      <c r="I41">
        <f>Table1[[#This Row],[Qty]]*Table1[[#This Row],[CostPrice]]</f>
        <v>31000</v>
      </c>
      <c r="J41">
        <v>28797</v>
      </c>
      <c r="K41">
        <v>202.99999999999997</v>
      </c>
      <c r="L41" t="s">
        <v>11</v>
      </c>
      <c r="M41" t="s">
        <v>27</v>
      </c>
      <c r="N41">
        <f>MONTH(Table1[[#This Row],[SaleDate]])</f>
        <v>1</v>
      </c>
      <c r="O41" t="str">
        <f>TEXT(Table1[[#This Row],[SaleDate]],"MMM")</f>
        <v>Jan</v>
      </c>
    </row>
    <row r="42" spans="1:15">
      <c r="A42" s="1">
        <v>44932</v>
      </c>
      <c r="B42" t="s">
        <v>26</v>
      </c>
      <c r="C42" t="s">
        <v>20</v>
      </c>
      <c r="D42">
        <v>1</v>
      </c>
      <c r="E42" t="s">
        <v>10</v>
      </c>
      <c r="F42">
        <v>89000</v>
      </c>
      <c r="G42">
        <v>65000</v>
      </c>
      <c r="H42">
        <f>Table1[[#This Row],[Qty]]*Table1[[#This Row],[SellingPrice]]</f>
        <v>89000</v>
      </c>
      <c r="I42">
        <f>Table1[[#This Row],[Qty]]*Table1[[#This Row],[CostPrice]]</f>
        <v>65000</v>
      </c>
      <c r="J42">
        <v>23832</v>
      </c>
      <c r="K42">
        <v>167.99999999999997</v>
      </c>
      <c r="L42" t="s">
        <v>11</v>
      </c>
      <c r="M42" t="s">
        <v>29</v>
      </c>
      <c r="N42">
        <f>MONTH(Table1[[#This Row],[SaleDate]])</f>
        <v>1</v>
      </c>
      <c r="O42" t="str">
        <f>TEXT(Table1[[#This Row],[SaleDate]],"MMM")</f>
        <v>Jan</v>
      </c>
    </row>
    <row r="43" spans="1:15">
      <c r="A43" s="1">
        <v>44932</v>
      </c>
      <c r="B43" t="s">
        <v>24</v>
      </c>
      <c r="C43" t="s">
        <v>22</v>
      </c>
      <c r="D43">
        <v>1</v>
      </c>
      <c r="E43" t="s">
        <v>9</v>
      </c>
      <c r="F43">
        <v>60000</v>
      </c>
      <c r="G43">
        <v>31000</v>
      </c>
      <c r="H43">
        <f>Table1[[#This Row],[Qty]]*Table1[[#This Row],[SellingPrice]]</f>
        <v>60000</v>
      </c>
      <c r="I43">
        <f>Table1[[#This Row],[Qty]]*Table1[[#This Row],[CostPrice]]</f>
        <v>31000</v>
      </c>
      <c r="J43">
        <v>28797</v>
      </c>
      <c r="K43">
        <v>202.99999999999997</v>
      </c>
      <c r="L43" t="s">
        <v>12</v>
      </c>
      <c r="M43" t="s">
        <v>29</v>
      </c>
      <c r="N43">
        <f>MONTH(Table1[[#This Row],[SaleDate]])</f>
        <v>1</v>
      </c>
      <c r="O43" t="str">
        <f>TEXT(Table1[[#This Row],[SaleDate]],"MMM")</f>
        <v>Jan</v>
      </c>
    </row>
    <row r="44" spans="1:15">
      <c r="A44" s="1">
        <v>44932</v>
      </c>
      <c r="B44" t="s">
        <v>24</v>
      </c>
      <c r="C44" t="s">
        <v>22</v>
      </c>
      <c r="D44">
        <v>1</v>
      </c>
      <c r="E44" t="s">
        <v>10</v>
      </c>
      <c r="F44">
        <v>89000</v>
      </c>
      <c r="G44">
        <v>65000</v>
      </c>
      <c r="H44">
        <f>Table1[[#This Row],[Qty]]*Table1[[#This Row],[SellingPrice]]</f>
        <v>89000</v>
      </c>
      <c r="I44">
        <f>Table1[[#This Row],[Qty]]*Table1[[#This Row],[CostPrice]]</f>
        <v>65000</v>
      </c>
      <c r="J44">
        <v>23832</v>
      </c>
      <c r="K44">
        <v>167.99999999999997</v>
      </c>
      <c r="L44" t="s">
        <v>12</v>
      </c>
      <c r="M44" t="s">
        <v>30</v>
      </c>
      <c r="N44">
        <f>MONTH(Table1[[#This Row],[SaleDate]])</f>
        <v>1</v>
      </c>
      <c r="O44" t="str">
        <f>TEXT(Table1[[#This Row],[SaleDate]],"MMM")</f>
        <v>Jan</v>
      </c>
    </row>
    <row r="45" spans="1:15">
      <c r="A45" s="1">
        <v>44932</v>
      </c>
      <c r="B45" t="s">
        <v>25</v>
      </c>
      <c r="C45" t="s">
        <v>21</v>
      </c>
      <c r="D45">
        <v>1</v>
      </c>
      <c r="E45" t="s">
        <v>7</v>
      </c>
      <c r="F45">
        <v>33000</v>
      </c>
      <c r="G45">
        <v>18000</v>
      </c>
      <c r="H45">
        <f>Table1[[#This Row],[Qty]]*Table1[[#This Row],[SellingPrice]]</f>
        <v>33000</v>
      </c>
      <c r="I45">
        <f>Table1[[#This Row],[Qty]]*Table1[[#This Row],[CostPrice]]</f>
        <v>18000</v>
      </c>
      <c r="J45">
        <v>14895</v>
      </c>
      <c r="K45">
        <v>104.99999999999999</v>
      </c>
      <c r="L45" t="s">
        <v>13</v>
      </c>
      <c r="M45" t="s">
        <v>29</v>
      </c>
      <c r="N45">
        <f>MONTH(Table1[[#This Row],[SaleDate]])</f>
        <v>1</v>
      </c>
      <c r="O45" t="str">
        <f>TEXT(Table1[[#This Row],[SaleDate]],"MMM")</f>
        <v>Jan</v>
      </c>
    </row>
    <row r="46" spans="1:15">
      <c r="A46" s="1">
        <v>44932</v>
      </c>
      <c r="B46" t="s">
        <v>25</v>
      </c>
      <c r="C46" t="s">
        <v>21</v>
      </c>
      <c r="D46">
        <v>1</v>
      </c>
      <c r="E46" t="s">
        <v>9</v>
      </c>
      <c r="F46">
        <v>60000</v>
      </c>
      <c r="G46">
        <v>31000</v>
      </c>
      <c r="H46">
        <f>Table1[[#This Row],[Qty]]*Table1[[#This Row],[SellingPrice]]</f>
        <v>60000</v>
      </c>
      <c r="I46">
        <f>Table1[[#This Row],[Qty]]*Table1[[#This Row],[CostPrice]]</f>
        <v>31000</v>
      </c>
      <c r="J46">
        <v>28797</v>
      </c>
      <c r="K46">
        <v>202.99999999999997</v>
      </c>
      <c r="L46" t="s">
        <v>13</v>
      </c>
      <c r="M46" t="s">
        <v>27</v>
      </c>
      <c r="N46">
        <f>MONTH(Table1[[#This Row],[SaleDate]])</f>
        <v>1</v>
      </c>
      <c r="O46" t="str">
        <f>TEXT(Table1[[#This Row],[SaleDate]],"MMM")</f>
        <v>Jan</v>
      </c>
    </row>
    <row r="47" spans="1:15">
      <c r="A47" s="1">
        <v>44932</v>
      </c>
      <c r="B47" t="s">
        <v>25</v>
      </c>
      <c r="C47" t="s">
        <v>21</v>
      </c>
      <c r="D47">
        <v>1</v>
      </c>
      <c r="E47" t="s">
        <v>10</v>
      </c>
      <c r="F47">
        <v>89000</v>
      </c>
      <c r="G47">
        <v>65000</v>
      </c>
      <c r="H47">
        <f>Table1[[#This Row],[Qty]]*Table1[[#This Row],[SellingPrice]]</f>
        <v>89000</v>
      </c>
      <c r="I47">
        <f>Table1[[#This Row],[Qty]]*Table1[[#This Row],[CostPrice]]</f>
        <v>65000</v>
      </c>
      <c r="J47">
        <v>23832</v>
      </c>
      <c r="K47">
        <v>167.99999999999997</v>
      </c>
      <c r="L47" t="s">
        <v>13</v>
      </c>
      <c r="M47" t="s">
        <v>27</v>
      </c>
      <c r="N47">
        <f>MONTH(Table1[[#This Row],[SaleDate]])</f>
        <v>1</v>
      </c>
      <c r="O47" t="str">
        <f>TEXT(Table1[[#This Row],[SaleDate]],"MMM")</f>
        <v>Jan</v>
      </c>
    </row>
    <row r="48" spans="1:15">
      <c r="A48" s="1">
        <v>44933</v>
      </c>
      <c r="B48" t="s">
        <v>23</v>
      </c>
      <c r="C48" t="s">
        <v>19</v>
      </c>
      <c r="D48">
        <v>1</v>
      </c>
      <c r="E48" t="s">
        <v>7</v>
      </c>
      <c r="F48">
        <v>33000</v>
      </c>
      <c r="G48">
        <v>18000</v>
      </c>
      <c r="H48">
        <f>Table1[[#This Row],[Qty]]*Table1[[#This Row],[SellingPrice]]</f>
        <v>33000</v>
      </c>
      <c r="I48">
        <f>Table1[[#This Row],[Qty]]*Table1[[#This Row],[CostPrice]]</f>
        <v>18000</v>
      </c>
      <c r="J48">
        <v>14895</v>
      </c>
      <c r="K48">
        <v>104.99999999999999</v>
      </c>
      <c r="L48" t="s">
        <v>8</v>
      </c>
      <c r="M48" t="s">
        <v>28</v>
      </c>
      <c r="N48">
        <f>MONTH(Table1[[#This Row],[SaleDate]])</f>
        <v>1</v>
      </c>
      <c r="O48" t="str">
        <f>TEXT(Table1[[#This Row],[SaleDate]],"MMM")</f>
        <v>Jan</v>
      </c>
    </row>
    <row r="49" spans="1:15">
      <c r="A49" s="1">
        <v>44933</v>
      </c>
      <c r="B49" t="s">
        <v>23</v>
      </c>
      <c r="C49" t="s">
        <v>19</v>
      </c>
      <c r="D49">
        <v>1</v>
      </c>
      <c r="E49" t="s">
        <v>9</v>
      </c>
      <c r="F49">
        <v>60000</v>
      </c>
      <c r="G49">
        <v>31000</v>
      </c>
      <c r="H49">
        <f>Table1[[#This Row],[Qty]]*Table1[[#This Row],[SellingPrice]]</f>
        <v>60000</v>
      </c>
      <c r="I49">
        <f>Table1[[#This Row],[Qty]]*Table1[[#This Row],[CostPrice]]</f>
        <v>31000</v>
      </c>
      <c r="J49">
        <v>28797</v>
      </c>
      <c r="K49">
        <v>202.99999999999997</v>
      </c>
      <c r="L49" t="s">
        <v>8</v>
      </c>
      <c r="M49" t="s">
        <v>30</v>
      </c>
      <c r="N49">
        <f>MONTH(Table1[[#This Row],[SaleDate]])</f>
        <v>1</v>
      </c>
      <c r="O49" t="str">
        <f>TEXT(Table1[[#This Row],[SaleDate]],"MMM")</f>
        <v>Jan</v>
      </c>
    </row>
    <row r="50" spans="1:15">
      <c r="A50" s="1">
        <v>44933</v>
      </c>
      <c r="B50" t="s">
        <v>23</v>
      </c>
      <c r="C50" t="s">
        <v>19</v>
      </c>
      <c r="D50">
        <v>1</v>
      </c>
      <c r="E50" t="s">
        <v>10</v>
      </c>
      <c r="F50">
        <v>89000</v>
      </c>
      <c r="G50">
        <v>65000</v>
      </c>
      <c r="H50">
        <f>Table1[[#This Row],[Qty]]*Table1[[#This Row],[SellingPrice]]</f>
        <v>89000</v>
      </c>
      <c r="I50">
        <f>Table1[[#This Row],[Qty]]*Table1[[#This Row],[CostPrice]]</f>
        <v>65000</v>
      </c>
      <c r="J50">
        <v>23832</v>
      </c>
      <c r="K50">
        <v>167.99999999999997</v>
      </c>
      <c r="L50" t="s">
        <v>8</v>
      </c>
      <c r="M50" t="s">
        <v>29</v>
      </c>
      <c r="N50">
        <f>MONTH(Table1[[#This Row],[SaleDate]])</f>
        <v>1</v>
      </c>
      <c r="O50" t="str">
        <f>TEXT(Table1[[#This Row],[SaleDate]],"MMM")</f>
        <v>Jan</v>
      </c>
    </row>
    <row r="51" spans="1:15">
      <c r="A51" s="1">
        <v>44933</v>
      </c>
      <c r="B51" t="s">
        <v>26</v>
      </c>
      <c r="C51" t="s">
        <v>20</v>
      </c>
      <c r="D51">
        <v>1</v>
      </c>
      <c r="E51" t="s">
        <v>7</v>
      </c>
      <c r="F51">
        <v>33000</v>
      </c>
      <c r="G51">
        <v>18000</v>
      </c>
      <c r="H51">
        <f>Table1[[#This Row],[Qty]]*Table1[[#This Row],[SellingPrice]]</f>
        <v>33000</v>
      </c>
      <c r="I51">
        <f>Table1[[#This Row],[Qty]]*Table1[[#This Row],[CostPrice]]</f>
        <v>18000</v>
      </c>
      <c r="J51">
        <v>14895</v>
      </c>
      <c r="K51">
        <v>104.99999999999999</v>
      </c>
      <c r="L51" t="s">
        <v>11</v>
      </c>
      <c r="M51" t="s">
        <v>30</v>
      </c>
      <c r="N51">
        <f>MONTH(Table1[[#This Row],[SaleDate]])</f>
        <v>1</v>
      </c>
      <c r="O51" t="str">
        <f>TEXT(Table1[[#This Row],[SaleDate]],"MMM")</f>
        <v>Jan</v>
      </c>
    </row>
    <row r="52" spans="1:15">
      <c r="A52" s="1">
        <v>44933</v>
      </c>
      <c r="B52" t="s">
        <v>26</v>
      </c>
      <c r="C52" t="s">
        <v>20</v>
      </c>
      <c r="D52">
        <v>1</v>
      </c>
      <c r="E52" t="s">
        <v>9</v>
      </c>
      <c r="F52">
        <v>60000</v>
      </c>
      <c r="G52">
        <v>31000</v>
      </c>
      <c r="H52">
        <f>Table1[[#This Row],[Qty]]*Table1[[#This Row],[SellingPrice]]</f>
        <v>60000</v>
      </c>
      <c r="I52">
        <f>Table1[[#This Row],[Qty]]*Table1[[#This Row],[CostPrice]]</f>
        <v>31000</v>
      </c>
      <c r="J52">
        <v>28797</v>
      </c>
      <c r="K52">
        <v>202.99999999999997</v>
      </c>
      <c r="L52" t="s">
        <v>11</v>
      </c>
      <c r="M52" t="s">
        <v>29</v>
      </c>
      <c r="N52">
        <f>MONTH(Table1[[#This Row],[SaleDate]])</f>
        <v>1</v>
      </c>
      <c r="O52" t="str">
        <f>TEXT(Table1[[#This Row],[SaleDate]],"MMM")</f>
        <v>Jan</v>
      </c>
    </row>
    <row r="53" spans="1:15">
      <c r="A53" s="1">
        <v>44933</v>
      </c>
      <c r="B53" t="s">
        <v>26</v>
      </c>
      <c r="C53" t="s">
        <v>20</v>
      </c>
      <c r="D53">
        <v>1</v>
      </c>
      <c r="E53" t="s">
        <v>10</v>
      </c>
      <c r="F53">
        <v>89000</v>
      </c>
      <c r="G53">
        <v>65000</v>
      </c>
      <c r="H53">
        <f>Table1[[#This Row],[Qty]]*Table1[[#This Row],[SellingPrice]]</f>
        <v>89000</v>
      </c>
      <c r="I53">
        <f>Table1[[#This Row],[Qty]]*Table1[[#This Row],[CostPrice]]</f>
        <v>65000</v>
      </c>
      <c r="J53">
        <v>23832</v>
      </c>
      <c r="K53">
        <v>167.99999999999997</v>
      </c>
      <c r="L53" t="s">
        <v>11</v>
      </c>
      <c r="M53" t="s">
        <v>30</v>
      </c>
      <c r="N53">
        <f>MONTH(Table1[[#This Row],[SaleDate]])</f>
        <v>1</v>
      </c>
      <c r="O53" t="str">
        <f>TEXT(Table1[[#This Row],[SaleDate]],"MMM")</f>
        <v>Jan</v>
      </c>
    </row>
    <row r="54" spans="1:15">
      <c r="A54" s="1">
        <v>44933</v>
      </c>
      <c r="B54" t="s">
        <v>24</v>
      </c>
      <c r="C54" t="s">
        <v>22</v>
      </c>
      <c r="D54">
        <v>1</v>
      </c>
      <c r="E54" t="s">
        <v>9</v>
      </c>
      <c r="F54">
        <v>60000</v>
      </c>
      <c r="G54">
        <v>31000</v>
      </c>
      <c r="H54">
        <f>Table1[[#This Row],[Qty]]*Table1[[#This Row],[SellingPrice]]</f>
        <v>60000</v>
      </c>
      <c r="I54">
        <f>Table1[[#This Row],[Qty]]*Table1[[#This Row],[CostPrice]]</f>
        <v>31000</v>
      </c>
      <c r="J54">
        <v>28797</v>
      </c>
      <c r="K54">
        <v>202.99999999999997</v>
      </c>
      <c r="L54" t="s">
        <v>12</v>
      </c>
      <c r="M54" t="s">
        <v>30</v>
      </c>
      <c r="N54">
        <f>MONTH(Table1[[#This Row],[SaleDate]])</f>
        <v>1</v>
      </c>
      <c r="O54" t="str">
        <f>TEXT(Table1[[#This Row],[SaleDate]],"MMM")</f>
        <v>Jan</v>
      </c>
    </row>
    <row r="55" spans="1:15">
      <c r="A55" s="1">
        <v>44933</v>
      </c>
      <c r="B55" t="s">
        <v>24</v>
      </c>
      <c r="C55" t="s">
        <v>22</v>
      </c>
      <c r="D55">
        <v>1</v>
      </c>
      <c r="E55" t="s">
        <v>10</v>
      </c>
      <c r="F55">
        <v>89000</v>
      </c>
      <c r="G55">
        <v>65000</v>
      </c>
      <c r="H55">
        <f>Table1[[#This Row],[Qty]]*Table1[[#This Row],[SellingPrice]]</f>
        <v>89000</v>
      </c>
      <c r="I55">
        <f>Table1[[#This Row],[Qty]]*Table1[[#This Row],[CostPrice]]</f>
        <v>65000</v>
      </c>
      <c r="J55">
        <v>23832</v>
      </c>
      <c r="K55">
        <v>167.99999999999997</v>
      </c>
      <c r="L55" t="s">
        <v>12</v>
      </c>
      <c r="M55" t="s">
        <v>30</v>
      </c>
      <c r="N55">
        <f>MONTH(Table1[[#This Row],[SaleDate]])</f>
        <v>1</v>
      </c>
      <c r="O55" t="str">
        <f>TEXT(Table1[[#This Row],[SaleDate]],"MMM")</f>
        <v>Jan</v>
      </c>
    </row>
    <row r="56" spans="1:15">
      <c r="A56" s="1">
        <v>44933</v>
      </c>
      <c r="B56" t="s">
        <v>25</v>
      </c>
      <c r="C56" t="s">
        <v>21</v>
      </c>
      <c r="D56">
        <v>1</v>
      </c>
      <c r="E56" t="s">
        <v>7</v>
      </c>
      <c r="F56">
        <v>33000</v>
      </c>
      <c r="G56">
        <v>18000</v>
      </c>
      <c r="H56">
        <f>Table1[[#This Row],[Qty]]*Table1[[#This Row],[SellingPrice]]</f>
        <v>33000</v>
      </c>
      <c r="I56">
        <f>Table1[[#This Row],[Qty]]*Table1[[#This Row],[CostPrice]]</f>
        <v>18000</v>
      </c>
      <c r="J56">
        <v>14895</v>
      </c>
      <c r="K56">
        <v>104.99999999999999</v>
      </c>
      <c r="L56" t="s">
        <v>13</v>
      </c>
      <c r="M56" t="s">
        <v>30</v>
      </c>
      <c r="N56">
        <f>MONTH(Table1[[#This Row],[SaleDate]])</f>
        <v>1</v>
      </c>
      <c r="O56" t="str">
        <f>TEXT(Table1[[#This Row],[SaleDate]],"MMM")</f>
        <v>Jan</v>
      </c>
    </row>
    <row r="57" spans="1:15">
      <c r="A57" s="1">
        <v>44933</v>
      </c>
      <c r="B57" t="s">
        <v>25</v>
      </c>
      <c r="C57" t="s">
        <v>21</v>
      </c>
      <c r="D57">
        <v>1</v>
      </c>
      <c r="E57" t="s">
        <v>9</v>
      </c>
      <c r="F57">
        <v>60000</v>
      </c>
      <c r="G57">
        <v>31000</v>
      </c>
      <c r="H57">
        <f>Table1[[#This Row],[Qty]]*Table1[[#This Row],[SellingPrice]]</f>
        <v>60000</v>
      </c>
      <c r="I57">
        <f>Table1[[#This Row],[Qty]]*Table1[[#This Row],[CostPrice]]</f>
        <v>31000</v>
      </c>
      <c r="J57">
        <v>28797</v>
      </c>
      <c r="K57">
        <v>202.99999999999997</v>
      </c>
      <c r="L57" t="s">
        <v>13</v>
      </c>
      <c r="M57" t="s">
        <v>27</v>
      </c>
      <c r="N57">
        <f>MONTH(Table1[[#This Row],[SaleDate]])</f>
        <v>1</v>
      </c>
      <c r="O57" t="str">
        <f>TEXT(Table1[[#This Row],[SaleDate]],"MMM")</f>
        <v>Jan</v>
      </c>
    </row>
    <row r="58" spans="1:15">
      <c r="A58" s="1">
        <v>44933</v>
      </c>
      <c r="B58" t="s">
        <v>25</v>
      </c>
      <c r="C58" t="s">
        <v>21</v>
      </c>
      <c r="D58">
        <v>1</v>
      </c>
      <c r="E58" t="s">
        <v>10</v>
      </c>
      <c r="F58">
        <v>89000</v>
      </c>
      <c r="G58">
        <v>65000</v>
      </c>
      <c r="H58">
        <f>Table1[[#This Row],[Qty]]*Table1[[#This Row],[SellingPrice]]</f>
        <v>89000</v>
      </c>
      <c r="I58">
        <f>Table1[[#This Row],[Qty]]*Table1[[#This Row],[CostPrice]]</f>
        <v>65000</v>
      </c>
      <c r="J58">
        <v>23832</v>
      </c>
      <c r="K58">
        <v>167.99999999999997</v>
      </c>
      <c r="L58" t="s">
        <v>13</v>
      </c>
      <c r="M58" t="s">
        <v>30</v>
      </c>
      <c r="N58">
        <f>MONTH(Table1[[#This Row],[SaleDate]])</f>
        <v>1</v>
      </c>
      <c r="O58" t="str">
        <f>TEXT(Table1[[#This Row],[SaleDate]],"MMM")</f>
        <v>Jan</v>
      </c>
    </row>
    <row r="59" spans="1:15">
      <c r="A59" s="1">
        <v>44934</v>
      </c>
      <c r="B59" t="s">
        <v>23</v>
      </c>
      <c r="C59" t="s">
        <v>19</v>
      </c>
      <c r="D59">
        <v>2</v>
      </c>
      <c r="E59" t="s">
        <v>7</v>
      </c>
      <c r="F59">
        <v>33000</v>
      </c>
      <c r="G59">
        <v>18000</v>
      </c>
      <c r="H59">
        <f>Table1[[#This Row],[Qty]]*Table1[[#This Row],[SellingPrice]]</f>
        <v>66000</v>
      </c>
      <c r="I59">
        <f>Table1[[#This Row],[Qty]]*Table1[[#This Row],[CostPrice]]</f>
        <v>36000</v>
      </c>
      <c r="J59">
        <v>29790</v>
      </c>
      <c r="K59">
        <v>209.99999999999997</v>
      </c>
      <c r="L59" t="s">
        <v>8</v>
      </c>
      <c r="M59" t="s">
        <v>28</v>
      </c>
      <c r="N59">
        <f>MONTH(Table1[[#This Row],[SaleDate]])</f>
        <v>1</v>
      </c>
      <c r="O59" t="str">
        <f>TEXT(Table1[[#This Row],[SaleDate]],"MMM")</f>
        <v>Jan</v>
      </c>
    </row>
    <row r="60" spans="1:15">
      <c r="A60" s="1">
        <v>44934</v>
      </c>
      <c r="B60" t="s">
        <v>26</v>
      </c>
      <c r="C60" t="s">
        <v>20</v>
      </c>
      <c r="D60">
        <v>2</v>
      </c>
      <c r="E60" t="s">
        <v>7</v>
      </c>
      <c r="F60">
        <v>33000</v>
      </c>
      <c r="G60">
        <v>18000</v>
      </c>
      <c r="H60">
        <f>Table1[[#This Row],[Qty]]*Table1[[#This Row],[SellingPrice]]</f>
        <v>66000</v>
      </c>
      <c r="I60">
        <f>Table1[[#This Row],[Qty]]*Table1[[#This Row],[CostPrice]]</f>
        <v>36000</v>
      </c>
      <c r="J60">
        <v>29790</v>
      </c>
      <c r="K60">
        <v>209.99999999999997</v>
      </c>
      <c r="L60" t="s">
        <v>11</v>
      </c>
      <c r="M60" t="s">
        <v>29</v>
      </c>
      <c r="N60">
        <f>MONTH(Table1[[#This Row],[SaleDate]])</f>
        <v>1</v>
      </c>
      <c r="O60" t="str">
        <f>TEXT(Table1[[#This Row],[SaleDate]],"MMM")</f>
        <v>Jan</v>
      </c>
    </row>
    <row r="61" spans="1:15">
      <c r="A61" s="1">
        <v>44934</v>
      </c>
      <c r="B61" t="s">
        <v>24</v>
      </c>
      <c r="C61" t="s">
        <v>22</v>
      </c>
      <c r="D61">
        <v>2</v>
      </c>
      <c r="E61" t="s">
        <v>7</v>
      </c>
      <c r="F61">
        <v>33000</v>
      </c>
      <c r="G61">
        <v>18000</v>
      </c>
      <c r="H61">
        <f>Table1[[#This Row],[Qty]]*Table1[[#This Row],[SellingPrice]]</f>
        <v>66000</v>
      </c>
      <c r="I61">
        <f>Table1[[#This Row],[Qty]]*Table1[[#This Row],[CostPrice]]</f>
        <v>36000</v>
      </c>
      <c r="J61">
        <v>29790</v>
      </c>
      <c r="K61">
        <v>209.99999999999997</v>
      </c>
      <c r="L61" t="s">
        <v>12</v>
      </c>
      <c r="M61" t="s">
        <v>30</v>
      </c>
      <c r="N61">
        <f>MONTH(Table1[[#This Row],[SaleDate]])</f>
        <v>1</v>
      </c>
      <c r="O61" t="str">
        <f>TEXT(Table1[[#This Row],[SaleDate]],"MMM")</f>
        <v>Jan</v>
      </c>
    </row>
    <row r="62" spans="1:15">
      <c r="A62" s="1">
        <v>44934</v>
      </c>
      <c r="B62" t="s">
        <v>25</v>
      </c>
      <c r="C62" t="s">
        <v>21</v>
      </c>
      <c r="D62">
        <v>2</v>
      </c>
      <c r="E62" t="s">
        <v>7</v>
      </c>
      <c r="F62">
        <v>33000</v>
      </c>
      <c r="G62">
        <v>18000</v>
      </c>
      <c r="H62">
        <f>Table1[[#This Row],[Qty]]*Table1[[#This Row],[SellingPrice]]</f>
        <v>66000</v>
      </c>
      <c r="I62">
        <f>Table1[[#This Row],[Qty]]*Table1[[#This Row],[CostPrice]]</f>
        <v>36000</v>
      </c>
      <c r="J62">
        <v>29790</v>
      </c>
      <c r="K62">
        <v>209.99999999999997</v>
      </c>
      <c r="L62" t="s">
        <v>13</v>
      </c>
      <c r="M62" t="s">
        <v>30</v>
      </c>
      <c r="N62">
        <f>MONTH(Table1[[#This Row],[SaleDate]])</f>
        <v>1</v>
      </c>
      <c r="O62" t="str">
        <f>TEXT(Table1[[#This Row],[SaleDate]],"MMM")</f>
        <v>Jan</v>
      </c>
    </row>
    <row r="63" spans="1:15">
      <c r="A63" s="1">
        <v>44935</v>
      </c>
      <c r="B63" t="s">
        <v>23</v>
      </c>
      <c r="C63" t="s">
        <v>19</v>
      </c>
      <c r="D63">
        <v>1</v>
      </c>
      <c r="E63" t="s">
        <v>7</v>
      </c>
      <c r="F63">
        <v>33000</v>
      </c>
      <c r="G63">
        <v>18000</v>
      </c>
      <c r="H63">
        <f>Table1[[#This Row],[Qty]]*Table1[[#This Row],[SellingPrice]]</f>
        <v>33000</v>
      </c>
      <c r="I63">
        <f>Table1[[#This Row],[Qty]]*Table1[[#This Row],[CostPrice]]</f>
        <v>18000</v>
      </c>
      <c r="J63">
        <v>14895</v>
      </c>
      <c r="K63">
        <v>104.99999999999999</v>
      </c>
      <c r="L63" t="s">
        <v>8</v>
      </c>
      <c r="M63" t="s">
        <v>27</v>
      </c>
      <c r="N63">
        <f>MONTH(Table1[[#This Row],[SaleDate]])</f>
        <v>1</v>
      </c>
      <c r="O63" t="str">
        <f>TEXT(Table1[[#This Row],[SaleDate]],"MMM")</f>
        <v>Jan</v>
      </c>
    </row>
    <row r="64" spans="1:15">
      <c r="A64" s="1">
        <v>44935</v>
      </c>
      <c r="B64" t="s">
        <v>23</v>
      </c>
      <c r="C64" t="s">
        <v>19</v>
      </c>
      <c r="D64">
        <v>1</v>
      </c>
      <c r="E64" t="s">
        <v>9</v>
      </c>
      <c r="F64">
        <v>60000</v>
      </c>
      <c r="G64">
        <v>31000</v>
      </c>
      <c r="H64">
        <f>Table1[[#This Row],[Qty]]*Table1[[#This Row],[SellingPrice]]</f>
        <v>60000</v>
      </c>
      <c r="I64">
        <f>Table1[[#This Row],[Qty]]*Table1[[#This Row],[CostPrice]]</f>
        <v>31000</v>
      </c>
      <c r="J64">
        <v>28797</v>
      </c>
      <c r="K64">
        <v>202.99999999999997</v>
      </c>
      <c r="L64" t="s">
        <v>8</v>
      </c>
      <c r="M64" t="s">
        <v>28</v>
      </c>
      <c r="N64">
        <f>MONTH(Table1[[#This Row],[SaleDate]])</f>
        <v>1</v>
      </c>
      <c r="O64" t="str">
        <f>TEXT(Table1[[#This Row],[SaleDate]],"MMM")</f>
        <v>Jan</v>
      </c>
    </row>
    <row r="65" spans="1:15">
      <c r="A65" s="1">
        <v>44935</v>
      </c>
      <c r="B65" t="s">
        <v>23</v>
      </c>
      <c r="C65" t="s">
        <v>19</v>
      </c>
      <c r="D65">
        <v>1</v>
      </c>
      <c r="E65" t="s">
        <v>10</v>
      </c>
      <c r="F65">
        <v>89000</v>
      </c>
      <c r="G65">
        <v>65000</v>
      </c>
      <c r="H65">
        <f>Table1[[#This Row],[Qty]]*Table1[[#This Row],[SellingPrice]]</f>
        <v>89000</v>
      </c>
      <c r="I65">
        <f>Table1[[#This Row],[Qty]]*Table1[[#This Row],[CostPrice]]</f>
        <v>65000</v>
      </c>
      <c r="J65">
        <v>23832</v>
      </c>
      <c r="K65">
        <v>167.99999999999997</v>
      </c>
      <c r="L65" t="s">
        <v>8</v>
      </c>
      <c r="M65" t="s">
        <v>30</v>
      </c>
      <c r="N65">
        <f>MONTH(Table1[[#This Row],[SaleDate]])</f>
        <v>1</v>
      </c>
      <c r="O65" t="str">
        <f>TEXT(Table1[[#This Row],[SaleDate]],"MMM")</f>
        <v>Jan</v>
      </c>
    </row>
    <row r="66" spans="1:15">
      <c r="A66" s="1">
        <v>44935</v>
      </c>
      <c r="B66" t="s">
        <v>26</v>
      </c>
      <c r="C66" t="s">
        <v>20</v>
      </c>
      <c r="D66">
        <v>1</v>
      </c>
      <c r="E66" t="s">
        <v>7</v>
      </c>
      <c r="F66">
        <v>33000</v>
      </c>
      <c r="G66">
        <v>18000</v>
      </c>
      <c r="H66">
        <f>Table1[[#This Row],[Qty]]*Table1[[#This Row],[SellingPrice]]</f>
        <v>33000</v>
      </c>
      <c r="I66">
        <f>Table1[[#This Row],[Qty]]*Table1[[#This Row],[CostPrice]]</f>
        <v>18000</v>
      </c>
      <c r="J66">
        <v>14895</v>
      </c>
      <c r="K66">
        <v>104.99999999999999</v>
      </c>
      <c r="L66" t="s">
        <v>11</v>
      </c>
      <c r="M66" t="s">
        <v>29</v>
      </c>
      <c r="N66">
        <f>MONTH(Table1[[#This Row],[SaleDate]])</f>
        <v>1</v>
      </c>
      <c r="O66" t="str">
        <f>TEXT(Table1[[#This Row],[SaleDate]],"MMM")</f>
        <v>Jan</v>
      </c>
    </row>
    <row r="67" spans="1:15">
      <c r="A67" s="1">
        <v>44935</v>
      </c>
      <c r="B67" t="s">
        <v>24</v>
      </c>
      <c r="C67" t="s">
        <v>22</v>
      </c>
      <c r="D67">
        <v>1</v>
      </c>
      <c r="E67" t="s">
        <v>7</v>
      </c>
      <c r="F67">
        <v>33000</v>
      </c>
      <c r="G67">
        <v>18000</v>
      </c>
      <c r="H67">
        <f>Table1[[#This Row],[Qty]]*Table1[[#This Row],[SellingPrice]]</f>
        <v>33000</v>
      </c>
      <c r="I67">
        <f>Table1[[#This Row],[Qty]]*Table1[[#This Row],[CostPrice]]</f>
        <v>18000</v>
      </c>
      <c r="J67">
        <v>14895</v>
      </c>
      <c r="K67">
        <v>104.99999999999999</v>
      </c>
      <c r="L67" t="s">
        <v>12</v>
      </c>
      <c r="M67" t="s">
        <v>28</v>
      </c>
      <c r="N67">
        <f>MONTH(Table1[[#This Row],[SaleDate]])</f>
        <v>1</v>
      </c>
      <c r="O67" t="str">
        <f>TEXT(Table1[[#This Row],[SaleDate]],"MMM")</f>
        <v>Jan</v>
      </c>
    </row>
    <row r="68" spans="1:15">
      <c r="A68" s="1">
        <v>44935</v>
      </c>
      <c r="B68" t="s">
        <v>24</v>
      </c>
      <c r="C68" t="s">
        <v>22</v>
      </c>
      <c r="D68">
        <v>1</v>
      </c>
      <c r="E68" t="s">
        <v>9</v>
      </c>
      <c r="F68">
        <v>60000</v>
      </c>
      <c r="G68">
        <v>31000</v>
      </c>
      <c r="H68">
        <f>Table1[[#This Row],[Qty]]*Table1[[#This Row],[SellingPrice]]</f>
        <v>60000</v>
      </c>
      <c r="I68">
        <f>Table1[[#This Row],[Qty]]*Table1[[#This Row],[CostPrice]]</f>
        <v>31000</v>
      </c>
      <c r="J68">
        <v>28797</v>
      </c>
      <c r="K68">
        <v>202.99999999999997</v>
      </c>
      <c r="L68" t="s">
        <v>12</v>
      </c>
      <c r="M68" t="s">
        <v>30</v>
      </c>
      <c r="N68">
        <f>MONTH(Table1[[#This Row],[SaleDate]])</f>
        <v>1</v>
      </c>
      <c r="O68" t="str">
        <f>TEXT(Table1[[#This Row],[SaleDate]],"MMM")</f>
        <v>Jan</v>
      </c>
    </row>
    <row r="69" spans="1:15">
      <c r="A69" s="1">
        <v>44935</v>
      </c>
      <c r="B69" t="s">
        <v>24</v>
      </c>
      <c r="C69" t="s">
        <v>22</v>
      </c>
      <c r="D69">
        <v>1</v>
      </c>
      <c r="E69" t="s">
        <v>10</v>
      </c>
      <c r="F69">
        <v>89000</v>
      </c>
      <c r="G69">
        <v>65000</v>
      </c>
      <c r="H69">
        <f>Table1[[#This Row],[Qty]]*Table1[[#This Row],[SellingPrice]]</f>
        <v>89000</v>
      </c>
      <c r="I69">
        <f>Table1[[#This Row],[Qty]]*Table1[[#This Row],[CostPrice]]</f>
        <v>65000</v>
      </c>
      <c r="J69">
        <v>23832</v>
      </c>
      <c r="K69">
        <v>167.99999999999997</v>
      </c>
      <c r="L69" t="s">
        <v>12</v>
      </c>
      <c r="M69" t="s">
        <v>27</v>
      </c>
      <c r="N69">
        <f>MONTH(Table1[[#This Row],[SaleDate]])</f>
        <v>1</v>
      </c>
      <c r="O69" t="str">
        <f>TEXT(Table1[[#This Row],[SaleDate]],"MMM")</f>
        <v>Jan</v>
      </c>
    </row>
    <row r="70" spans="1:15">
      <c r="A70" s="1">
        <v>44935</v>
      </c>
      <c r="B70" t="s">
        <v>25</v>
      </c>
      <c r="C70" t="s">
        <v>21</v>
      </c>
      <c r="D70">
        <v>1</v>
      </c>
      <c r="E70" t="s">
        <v>7</v>
      </c>
      <c r="F70">
        <v>33000</v>
      </c>
      <c r="G70">
        <v>18000</v>
      </c>
      <c r="H70">
        <f>Table1[[#This Row],[Qty]]*Table1[[#This Row],[SellingPrice]]</f>
        <v>33000</v>
      </c>
      <c r="I70">
        <f>Table1[[#This Row],[Qty]]*Table1[[#This Row],[CostPrice]]</f>
        <v>18000</v>
      </c>
      <c r="J70">
        <v>14895</v>
      </c>
      <c r="K70">
        <v>104.99999999999999</v>
      </c>
      <c r="L70" t="s">
        <v>13</v>
      </c>
      <c r="M70" t="s">
        <v>27</v>
      </c>
      <c r="N70">
        <f>MONTH(Table1[[#This Row],[SaleDate]])</f>
        <v>1</v>
      </c>
      <c r="O70" t="str">
        <f>TEXT(Table1[[#This Row],[SaleDate]],"MMM")</f>
        <v>Jan</v>
      </c>
    </row>
    <row r="71" spans="1:15">
      <c r="A71" s="1">
        <v>44935</v>
      </c>
      <c r="B71" t="s">
        <v>25</v>
      </c>
      <c r="C71" t="s">
        <v>21</v>
      </c>
      <c r="D71">
        <v>1</v>
      </c>
      <c r="E71" t="s">
        <v>9</v>
      </c>
      <c r="F71">
        <v>60000</v>
      </c>
      <c r="G71">
        <v>31000</v>
      </c>
      <c r="H71">
        <f>Table1[[#This Row],[Qty]]*Table1[[#This Row],[SellingPrice]]</f>
        <v>60000</v>
      </c>
      <c r="I71">
        <f>Table1[[#This Row],[Qty]]*Table1[[#This Row],[CostPrice]]</f>
        <v>31000</v>
      </c>
      <c r="J71">
        <v>28797</v>
      </c>
      <c r="K71">
        <v>202.99999999999997</v>
      </c>
      <c r="L71" t="s">
        <v>13</v>
      </c>
      <c r="M71" t="s">
        <v>30</v>
      </c>
      <c r="N71">
        <f>MONTH(Table1[[#This Row],[SaleDate]])</f>
        <v>1</v>
      </c>
      <c r="O71" t="str">
        <f>TEXT(Table1[[#This Row],[SaleDate]],"MMM")</f>
        <v>Jan</v>
      </c>
    </row>
    <row r="72" spans="1:15">
      <c r="A72" s="1">
        <v>44935</v>
      </c>
      <c r="B72" t="s">
        <v>25</v>
      </c>
      <c r="C72" t="s">
        <v>21</v>
      </c>
      <c r="D72">
        <v>1</v>
      </c>
      <c r="E72" t="s">
        <v>10</v>
      </c>
      <c r="F72">
        <v>89000</v>
      </c>
      <c r="G72">
        <v>65000</v>
      </c>
      <c r="H72">
        <f>Table1[[#This Row],[Qty]]*Table1[[#This Row],[SellingPrice]]</f>
        <v>89000</v>
      </c>
      <c r="I72">
        <f>Table1[[#This Row],[Qty]]*Table1[[#This Row],[CostPrice]]</f>
        <v>65000</v>
      </c>
      <c r="J72">
        <v>23832</v>
      </c>
      <c r="K72">
        <v>167.99999999999997</v>
      </c>
      <c r="L72" t="s">
        <v>13</v>
      </c>
      <c r="M72" t="s">
        <v>30</v>
      </c>
      <c r="N72">
        <f>MONTH(Table1[[#This Row],[SaleDate]])</f>
        <v>1</v>
      </c>
      <c r="O72" t="str">
        <f>TEXT(Table1[[#This Row],[SaleDate]],"MMM")</f>
        <v>Jan</v>
      </c>
    </row>
    <row r="73" spans="1:15">
      <c r="A73" s="1">
        <v>44936</v>
      </c>
      <c r="B73" t="s">
        <v>23</v>
      </c>
      <c r="C73" t="s">
        <v>19</v>
      </c>
      <c r="D73">
        <v>1</v>
      </c>
      <c r="E73" t="s">
        <v>7</v>
      </c>
      <c r="F73">
        <v>33000</v>
      </c>
      <c r="G73">
        <v>18000</v>
      </c>
      <c r="H73">
        <f>Table1[[#This Row],[Qty]]*Table1[[#This Row],[SellingPrice]]</f>
        <v>33000</v>
      </c>
      <c r="I73">
        <f>Table1[[#This Row],[Qty]]*Table1[[#This Row],[CostPrice]]</f>
        <v>18000</v>
      </c>
      <c r="J73">
        <v>14895</v>
      </c>
      <c r="K73">
        <v>104.99999999999999</v>
      </c>
      <c r="L73" t="s">
        <v>8</v>
      </c>
      <c r="M73" t="s">
        <v>30</v>
      </c>
      <c r="N73">
        <f>MONTH(Table1[[#This Row],[SaleDate]])</f>
        <v>1</v>
      </c>
      <c r="O73" t="str">
        <f>TEXT(Table1[[#This Row],[SaleDate]],"MMM")</f>
        <v>Jan</v>
      </c>
    </row>
    <row r="74" spans="1:15">
      <c r="A74" s="1">
        <v>44936</v>
      </c>
      <c r="B74" t="s">
        <v>23</v>
      </c>
      <c r="C74" t="s">
        <v>19</v>
      </c>
      <c r="D74">
        <v>1</v>
      </c>
      <c r="E74" t="s">
        <v>9</v>
      </c>
      <c r="F74">
        <v>60000</v>
      </c>
      <c r="G74">
        <v>31000</v>
      </c>
      <c r="H74">
        <f>Table1[[#This Row],[Qty]]*Table1[[#This Row],[SellingPrice]]</f>
        <v>60000</v>
      </c>
      <c r="I74">
        <f>Table1[[#This Row],[Qty]]*Table1[[#This Row],[CostPrice]]</f>
        <v>31000</v>
      </c>
      <c r="J74">
        <v>28797</v>
      </c>
      <c r="K74">
        <v>202.99999999999997</v>
      </c>
      <c r="L74" t="s">
        <v>8</v>
      </c>
      <c r="M74" t="s">
        <v>29</v>
      </c>
      <c r="N74">
        <f>MONTH(Table1[[#This Row],[SaleDate]])</f>
        <v>1</v>
      </c>
      <c r="O74" t="str">
        <f>TEXT(Table1[[#This Row],[SaleDate]],"MMM")</f>
        <v>Jan</v>
      </c>
    </row>
    <row r="75" spans="1:15">
      <c r="A75" s="1">
        <v>44936</v>
      </c>
      <c r="B75" t="s">
        <v>23</v>
      </c>
      <c r="C75" t="s">
        <v>19</v>
      </c>
      <c r="D75">
        <v>1</v>
      </c>
      <c r="E75" t="s">
        <v>10</v>
      </c>
      <c r="F75">
        <v>89000</v>
      </c>
      <c r="G75">
        <v>65000</v>
      </c>
      <c r="H75">
        <f>Table1[[#This Row],[Qty]]*Table1[[#This Row],[SellingPrice]]</f>
        <v>89000</v>
      </c>
      <c r="I75">
        <f>Table1[[#This Row],[Qty]]*Table1[[#This Row],[CostPrice]]</f>
        <v>65000</v>
      </c>
      <c r="J75">
        <v>23832</v>
      </c>
      <c r="K75">
        <v>167.99999999999997</v>
      </c>
      <c r="L75" t="s">
        <v>8</v>
      </c>
      <c r="M75" t="s">
        <v>27</v>
      </c>
      <c r="N75">
        <f>MONTH(Table1[[#This Row],[SaleDate]])</f>
        <v>1</v>
      </c>
      <c r="O75" t="str">
        <f>TEXT(Table1[[#This Row],[SaleDate]],"MMM")</f>
        <v>Jan</v>
      </c>
    </row>
    <row r="76" spans="1:15">
      <c r="A76" s="1">
        <v>44936</v>
      </c>
      <c r="B76" t="s">
        <v>24</v>
      </c>
      <c r="C76" t="s">
        <v>22</v>
      </c>
      <c r="D76">
        <v>1</v>
      </c>
      <c r="E76" t="s">
        <v>7</v>
      </c>
      <c r="F76">
        <v>33000</v>
      </c>
      <c r="G76">
        <v>18000</v>
      </c>
      <c r="H76">
        <f>Table1[[#This Row],[Qty]]*Table1[[#This Row],[SellingPrice]]</f>
        <v>33000</v>
      </c>
      <c r="I76">
        <f>Table1[[#This Row],[Qty]]*Table1[[#This Row],[CostPrice]]</f>
        <v>18000</v>
      </c>
      <c r="J76">
        <v>14895</v>
      </c>
      <c r="K76">
        <v>104.99999999999999</v>
      </c>
      <c r="L76" t="s">
        <v>12</v>
      </c>
      <c r="M76" t="s">
        <v>30</v>
      </c>
      <c r="N76">
        <f>MONTH(Table1[[#This Row],[SaleDate]])</f>
        <v>1</v>
      </c>
      <c r="O76" t="str">
        <f>TEXT(Table1[[#This Row],[SaleDate]],"MMM")</f>
        <v>Jan</v>
      </c>
    </row>
    <row r="77" spans="1:15">
      <c r="A77" s="1">
        <v>44936</v>
      </c>
      <c r="B77" t="s">
        <v>24</v>
      </c>
      <c r="C77" t="s">
        <v>22</v>
      </c>
      <c r="D77">
        <v>1</v>
      </c>
      <c r="E77" t="s">
        <v>9</v>
      </c>
      <c r="F77">
        <v>60000</v>
      </c>
      <c r="G77">
        <v>31000</v>
      </c>
      <c r="H77">
        <f>Table1[[#This Row],[Qty]]*Table1[[#This Row],[SellingPrice]]</f>
        <v>60000</v>
      </c>
      <c r="I77">
        <f>Table1[[#This Row],[Qty]]*Table1[[#This Row],[CostPrice]]</f>
        <v>31000</v>
      </c>
      <c r="J77">
        <v>28797</v>
      </c>
      <c r="K77">
        <v>202.99999999999997</v>
      </c>
      <c r="L77" t="s">
        <v>12</v>
      </c>
      <c r="M77" t="s">
        <v>27</v>
      </c>
      <c r="N77">
        <f>MONTH(Table1[[#This Row],[SaleDate]])</f>
        <v>1</v>
      </c>
      <c r="O77" t="str">
        <f>TEXT(Table1[[#This Row],[SaleDate]],"MMM")</f>
        <v>Jan</v>
      </c>
    </row>
    <row r="78" spans="1:15">
      <c r="A78" s="1">
        <v>44936</v>
      </c>
      <c r="B78" t="s">
        <v>24</v>
      </c>
      <c r="C78" t="s">
        <v>22</v>
      </c>
      <c r="D78">
        <v>1</v>
      </c>
      <c r="E78" t="s">
        <v>10</v>
      </c>
      <c r="F78">
        <v>89000</v>
      </c>
      <c r="G78">
        <v>65000</v>
      </c>
      <c r="H78">
        <f>Table1[[#This Row],[Qty]]*Table1[[#This Row],[SellingPrice]]</f>
        <v>89000</v>
      </c>
      <c r="I78">
        <f>Table1[[#This Row],[Qty]]*Table1[[#This Row],[CostPrice]]</f>
        <v>65000</v>
      </c>
      <c r="J78">
        <v>23832</v>
      </c>
      <c r="K78">
        <v>167.99999999999997</v>
      </c>
      <c r="L78" t="s">
        <v>12</v>
      </c>
      <c r="M78" t="s">
        <v>29</v>
      </c>
      <c r="N78">
        <f>MONTH(Table1[[#This Row],[SaleDate]])</f>
        <v>1</v>
      </c>
      <c r="O78" t="str">
        <f>TEXT(Table1[[#This Row],[SaleDate]],"MMM")</f>
        <v>Jan</v>
      </c>
    </row>
    <row r="79" spans="1:15">
      <c r="A79" s="1">
        <v>44936</v>
      </c>
      <c r="B79" t="s">
        <v>25</v>
      </c>
      <c r="C79" t="s">
        <v>21</v>
      </c>
      <c r="D79">
        <v>1</v>
      </c>
      <c r="E79" t="s">
        <v>7</v>
      </c>
      <c r="F79">
        <v>33000</v>
      </c>
      <c r="G79">
        <v>18000</v>
      </c>
      <c r="H79">
        <f>Table1[[#This Row],[Qty]]*Table1[[#This Row],[SellingPrice]]</f>
        <v>33000</v>
      </c>
      <c r="I79">
        <f>Table1[[#This Row],[Qty]]*Table1[[#This Row],[CostPrice]]</f>
        <v>18000</v>
      </c>
      <c r="J79">
        <v>14895</v>
      </c>
      <c r="K79">
        <v>104.99999999999999</v>
      </c>
      <c r="L79" t="s">
        <v>13</v>
      </c>
      <c r="M79" t="s">
        <v>30</v>
      </c>
      <c r="N79">
        <f>MONTH(Table1[[#This Row],[SaleDate]])</f>
        <v>1</v>
      </c>
      <c r="O79" t="str">
        <f>TEXT(Table1[[#This Row],[SaleDate]],"MMM")</f>
        <v>Jan</v>
      </c>
    </row>
    <row r="80" spans="1:15">
      <c r="A80" s="1">
        <v>44936</v>
      </c>
      <c r="B80" t="s">
        <v>25</v>
      </c>
      <c r="C80" t="s">
        <v>21</v>
      </c>
      <c r="D80">
        <v>1</v>
      </c>
      <c r="E80" t="s">
        <v>9</v>
      </c>
      <c r="F80">
        <v>60000</v>
      </c>
      <c r="G80">
        <v>31000</v>
      </c>
      <c r="H80">
        <f>Table1[[#This Row],[Qty]]*Table1[[#This Row],[SellingPrice]]</f>
        <v>60000</v>
      </c>
      <c r="I80">
        <f>Table1[[#This Row],[Qty]]*Table1[[#This Row],[CostPrice]]</f>
        <v>31000</v>
      </c>
      <c r="J80">
        <v>28797</v>
      </c>
      <c r="K80">
        <v>202.99999999999997</v>
      </c>
      <c r="L80" t="s">
        <v>13</v>
      </c>
      <c r="M80" t="s">
        <v>28</v>
      </c>
      <c r="N80">
        <f>MONTH(Table1[[#This Row],[SaleDate]])</f>
        <v>1</v>
      </c>
      <c r="O80" t="str">
        <f>TEXT(Table1[[#This Row],[SaleDate]],"MMM")</f>
        <v>Jan</v>
      </c>
    </row>
    <row r="81" spans="1:15">
      <c r="A81" s="1">
        <v>44936</v>
      </c>
      <c r="B81" t="s">
        <v>25</v>
      </c>
      <c r="C81" t="s">
        <v>21</v>
      </c>
      <c r="D81">
        <v>1</v>
      </c>
      <c r="E81" t="s">
        <v>10</v>
      </c>
      <c r="F81">
        <v>89000</v>
      </c>
      <c r="G81">
        <v>65000</v>
      </c>
      <c r="H81">
        <f>Table1[[#This Row],[Qty]]*Table1[[#This Row],[SellingPrice]]</f>
        <v>89000</v>
      </c>
      <c r="I81">
        <f>Table1[[#This Row],[Qty]]*Table1[[#This Row],[CostPrice]]</f>
        <v>65000</v>
      </c>
      <c r="J81">
        <v>23832</v>
      </c>
      <c r="K81">
        <v>167.99999999999997</v>
      </c>
      <c r="L81" t="s">
        <v>13</v>
      </c>
      <c r="M81" t="s">
        <v>28</v>
      </c>
      <c r="N81">
        <f>MONTH(Table1[[#This Row],[SaleDate]])</f>
        <v>1</v>
      </c>
      <c r="O81" t="str">
        <f>TEXT(Table1[[#This Row],[SaleDate]],"MMM")</f>
        <v>Jan</v>
      </c>
    </row>
    <row r="82" spans="1:15">
      <c r="A82" s="1">
        <v>44937</v>
      </c>
      <c r="B82" t="s">
        <v>23</v>
      </c>
      <c r="C82" t="s">
        <v>19</v>
      </c>
      <c r="D82">
        <v>1</v>
      </c>
      <c r="E82" t="s">
        <v>7</v>
      </c>
      <c r="F82">
        <v>33000</v>
      </c>
      <c r="G82">
        <v>18000</v>
      </c>
      <c r="H82">
        <f>Table1[[#This Row],[Qty]]*Table1[[#This Row],[SellingPrice]]</f>
        <v>33000</v>
      </c>
      <c r="I82">
        <f>Table1[[#This Row],[Qty]]*Table1[[#This Row],[CostPrice]]</f>
        <v>18000</v>
      </c>
      <c r="J82">
        <v>14895</v>
      </c>
      <c r="K82">
        <v>104.99999999999999</v>
      </c>
      <c r="L82" t="s">
        <v>8</v>
      </c>
      <c r="M82" t="s">
        <v>30</v>
      </c>
      <c r="N82">
        <f>MONTH(Table1[[#This Row],[SaleDate]])</f>
        <v>1</v>
      </c>
      <c r="O82" t="str">
        <f>TEXT(Table1[[#This Row],[SaleDate]],"MMM")</f>
        <v>Jan</v>
      </c>
    </row>
    <row r="83" spans="1:15">
      <c r="A83" s="1">
        <v>44937</v>
      </c>
      <c r="B83" t="s">
        <v>23</v>
      </c>
      <c r="C83" t="s">
        <v>19</v>
      </c>
      <c r="D83">
        <v>1</v>
      </c>
      <c r="E83" t="s">
        <v>9</v>
      </c>
      <c r="F83">
        <v>60000</v>
      </c>
      <c r="G83">
        <v>31000</v>
      </c>
      <c r="H83">
        <f>Table1[[#This Row],[Qty]]*Table1[[#This Row],[SellingPrice]]</f>
        <v>60000</v>
      </c>
      <c r="I83">
        <f>Table1[[#This Row],[Qty]]*Table1[[#This Row],[CostPrice]]</f>
        <v>31000</v>
      </c>
      <c r="J83">
        <v>28797</v>
      </c>
      <c r="K83">
        <v>202.99999999999997</v>
      </c>
      <c r="L83" t="s">
        <v>8</v>
      </c>
      <c r="M83" t="s">
        <v>29</v>
      </c>
      <c r="N83">
        <f>MONTH(Table1[[#This Row],[SaleDate]])</f>
        <v>1</v>
      </c>
      <c r="O83" t="str">
        <f>TEXT(Table1[[#This Row],[SaleDate]],"MMM")</f>
        <v>Jan</v>
      </c>
    </row>
    <row r="84" spans="1:15">
      <c r="A84" s="1">
        <v>44937</v>
      </c>
      <c r="B84" t="s">
        <v>23</v>
      </c>
      <c r="C84" t="s">
        <v>19</v>
      </c>
      <c r="D84">
        <v>1</v>
      </c>
      <c r="E84" t="s">
        <v>10</v>
      </c>
      <c r="F84">
        <v>89000</v>
      </c>
      <c r="G84">
        <v>65000</v>
      </c>
      <c r="H84">
        <f>Table1[[#This Row],[Qty]]*Table1[[#This Row],[SellingPrice]]</f>
        <v>89000</v>
      </c>
      <c r="I84">
        <f>Table1[[#This Row],[Qty]]*Table1[[#This Row],[CostPrice]]</f>
        <v>65000</v>
      </c>
      <c r="J84">
        <v>23832</v>
      </c>
      <c r="K84">
        <v>167.99999999999997</v>
      </c>
      <c r="L84" t="s">
        <v>8</v>
      </c>
      <c r="M84" t="s">
        <v>28</v>
      </c>
      <c r="N84">
        <f>MONTH(Table1[[#This Row],[SaleDate]])</f>
        <v>1</v>
      </c>
      <c r="O84" t="str">
        <f>TEXT(Table1[[#This Row],[SaleDate]],"MMM")</f>
        <v>Jan</v>
      </c>
    </row>
    <row r="85" spans="1:15">
      <c r="A85" s="1">
        <v>44937</v>
      </c>
      <c r="B85" t="s">
        <v>24</v>
      </c>
      <c r="C85" t="s">
        <v>22</v>
      </c>
      <c r="D85">
        <v>1</v>
      </c>
      <c r="E85" t="s">
        <v>7</v>
      </c>
      <c r="F85">
        <v>33000</v>
      </c>
      <c r="G85">
        <v>18000</v>
      </c>
      <c r="H85">
        <f>Table1[[#This Row],[Qty]]*Table1[[#This Row],[SellingPrice]]</f>
        <v>33000</v>
      </c>
      <c r="I85">
        <f>Table1[[#This Row],[Qty]]*Table1[[#This Row],[CostPrice]]</f>
        <v>18000</v>
      </c>
      <c r="J85">
        <v>14895</v>
      </c>
      <c r="K85">
        <v>104.99999999999999</v>
      </c>
      <c r="L85" t="s">
        <v>12</v>
      </c>
      <c r="M85" t="s">
        <v>30</v>
      </c>
      <c r="N85">
        <f>MONTH(Table1[[#This Row],[SaleDate]])</f>
        <v>1</v>
      </c>
      <c r="O85" t="str">
        <f>TEXT(Table1[[#This Row],[SaleDate]],"MMM")</f>
        <v>Jan</v>
      </c>
    </row>
    <row r="86" spans="1:15">
      <c r="A86" s="1">
        <v>44937</v>
      </c>
      <c r="B86" t="s">
        <v>24</v>
      </c>
      <c r="C86" t="s">
        <v>22</v>
      </c>
      <c r="D86">
        <v>1</v>
      </c>
      <c r="E86" t="s">
        <v>9</v>
      </c>
      <c r="F86">
        <v>60000</v>
      </c>
      <c r="G86">
        <v>31000</v>
      </c>
      <c r="H86">
        <f>Table1[[#This Row],[Qty]]*Table1[[#This Row],[SellingPrice]]</f>
        <v>60000</v>
      </c>
      <c r="I86">
        <f>Table1[[#This Row],[Qty]]*Table1[[#This Row],[CostPrice]]</f>
        <v>31000</v>
      </c>
      <c r="J86">
        <v>28797</v>
      </c>
      <c r="K86">
        <v>202.99999999999997</v>
      </c>
      <c r="L86" t="s">
        <v>12</v>
      </c>
      <c r="M86" t="s">
        <v>29</v>
      </c>
      <c r="N86">
        <f>MONTH(Table1[[#This Row],[SaleDate]])</f>
        <v>1</v>
      </c>
      <c r="O86" t="str">
        <f>TEXT(Table1[[#This Row],[SaleDate]],"MMM")</f>
        <v>Jan</v>
      </c>
    </row>
    <row r="87" spans="1:15">
      <c r="A87" s="1">
        <v>44937</v>
      </c>
      <c r="B87" t="s">
        <v>24</v>
      </c>
      <c r="C87" t="s">
        <v>22</v>
      </c>
      <c r="D87">
        <v>1</v>
      </c>
      <c r="E87" t="s">
        <v>10</v>
      </c>
      <c r="F87">
        <v>89000</v>
      </c>
      <c r="G87">
        <v>65000</v>
      </c>
      <c r="H87">
        <f>Table1[[#This Row],[Qty]]*Table1[[#This Row],[SellingPrice]]</f>
        <v>89000</v>
      </c>
      <c r="I87">
        <f>Table1[[#This Row],[Qty]]*Table1[[#This Row],[CostPrice]]</f>
        <v>65000</v>
      </c>
      <c r="J87">
        <v>23832</v>
      </c>
      <c r="K87">
        <v>167.99999999999997</v>
      </c>
      <c r="L87" t="s">
        <v>12</v>
      </c>
      <c r="M87" t="s">
        <v>30</v>
      </c>
      <c r="N87">
        <f>MONTH(Table1[[#This Row],[SaleDate]])</f>
        <v>1</v>
      </c>
      <c r="O87" t="str">
        <f>TEXT(Table1[[#This Row],[SaleDate]],"MMM")</f>
        <v>Jan</v>
      </c>
    </row>
    <row r="88" spans="1:15">
      <c r="A88" s="1">
        <v>44937</v>
      </c>
      <c r="B88" t="s">
        <v>25</v>
      </c>
      <c r="C88" t="s">
        <v>21</v>
      </c>
      <c r="D88">
        <v>1</v>
      </c>
      <c r="E88" t="s">
        <v>7</v>
      </c>
      <c r="F88">
        <v>33000</v>
      </c>
      <c r="G88">
        <v>18000</v>
      </c>
      <c r="H88">
        <f>Table1[[#This Row],[Qty]]*Table1[[#This Row],[SellingPrice]]</f>
        <v>33000</v>
      </c>
      <c r="I88">
        <f>Table1[[#This Row],[Qty]]*Table1[[#This Row],[CostPrice]]</f>
        <v>18000</v>
      </c>
      <c r="J88">
        <v>14895</v>
      </c>
      <c r="K88">
        <v>104.99999999999999</v>
      </c>
      <c r="L88" t="s">
        <v>13</v>
      </c>
      <c r="M88" t="s">
        <v>29</v>
      </c>
      <c r="N88">
        <f>MONTH(Table1[[#This Row],[SaleDate]])</f>
        <v>1</v>
      </c>
      <c r="O88" t="str">
        <f>TEXT(Table1[[#This Row],[SaleDate]],"MMM")</f>
        <v>Jan</v>
      </c>
    </row>
    <row r="89" spans="1:15">
      <c r="A89" s="1">
        <v>44937</v>
      </c>
      <c r="B89" t="s">
        <v>25</v>
      </c>
      <c r="C89" t="s">
        <v>21</v>
      </c>
      <c r="D89">
        <v>1</v>
      </c>
      <c r="E89" t="s">
        <v>9</v>
      </c>
      <c r="F89">
        <v>60000</v>
      </c>
      <c r="G89">
        <v>31000</v>
      </c>
      <c r="H89">
        <f>Table1[[#This Row],[Qty]]*Table1[[#This Row],[SellingPrice]]</f>
        <v>60000</v>
      </c>
      <c r="I89">
        <f>Table1[[#This Row],[Qty]]*Table1[[#This Row],[CostPrice]]</f>
        <v>31000</v>
      </c>
      <c r="J89">
        <v>28797</v>
      </c>
      <c r="K89">
        <v>202.99999999999997</v>
      </c>
      <c r="L89" t="s">
        <v>13</v>
      </c>
      <c r="M89" t="s">
        <v>29</v>
      </c>
      <c r="N89">
        <f>MONTH(Table1[[#This Row],[SaleDate]])</f>
        <v>1</v>
      </c>
      <c r="O89" t="str">
        <f>TEXT(Table1[[#This Row],[SaleDate]],"MMM")</f>
        <v>Jan</v>
      </c>
    </row>
    <row r="90" spans="1:15">
      <c r="A90" s="1">
        <v>44938</v>
      </c>
      <c r="B90" t="s">
        <v>23</v>
      </c>
      <c r="C90" t="s">
        <v>19</v>
      </c>
      <c r="D90">
        <v>1</v>
      </c>
      <c r="E90" t="s">
        <v>7</v>
      </c>
      <c r="F90">
        <v>33000</v>
      </c>
      <c r="G90">
        <v>18000</v>
      </c>
      <c r="H90">
        <f>Table1[[#This Row],[Qty]]*Table1[[#This Row],[SellingPrice]]</f>
        <v>33000</v>
      </c>
      <c r="I90">
        <f>Table1[[#This Row],[Qty]]*Table1[[#This Row],[CostPrice]]</f>
        <v>18000</v>
      </c>
      <c r="J90">
        <v>14895</v>
      </c>
      <c r="K90">
        <v>104.99999999999999</v>
      </c>
      <c r="L90" t="s">
        <v>8</v>
      </c>
      <c r="M90" t="s">
        <v>27</v>
      </c>
      <c r="N90">
        <f>MONTH(Table1[[#This Row],[SaleDate]])</f>
        <v>1</v>
      </c>
      <c r="O90" t="str">
        <f>TEXT(Table1[[#This Row],[SaleDate]],"MMM")</f>
        <v>Jan</v>
      </c>
    </row>
    <row r="91" spans="1:15">
      <c r="A91" s="1">
        <v>44938</v>
      </c>
      <c r="B91" t="s">
        <v>23</v>
      </c>
      <c r="C91" t="s">
        <v>19</v>
      </c>
      <c r="D91">
        <v>1</v>
      </c>
      <c r="E91" t="s">
        <v>9</v>
      </c>
      <c r="F91">
        <v>60000</v>
      </c>
      <c r="G91">
        <v>31000</v>
      </c>
      <c r="H91">
        <f>Table1[[#This Row],[Qty]]*Table1[[#This Row],[SellingPrice]]</f>
        <v>60000</v>
      </c>
      <c r="I91">
        <f>Table1[[#This Row],[Qty]]*Table1[[#This Row],[CostPrice]]</f>
        <v>31000</v>
      </c>
      <c r="J91">
        <v>28797</v>
      </c>
      <c r="K91">
        <v>202.99999999999997</v>
      </c>
      <c r="L91" t="s">
        <v>8</v>
      </c>
      <c r="M91" t="s">
        <v>30</v>
      </c>
      <c r="N91">
        <f>MONTH(Table1[[#This Row],[SaleDate]])</f>
        <v>1</v>
      </c>
      <c r="O91" t="str">
        <f>TEXT(Table1[[#This Row],[SaleDate]],"MMM")</f>
        <v>Jan</v>
      </c>
    </row>
    <row r="92" spans="1:15">
      <c r="A92" s="1">
        <v>44938</v>
      </c>
      <c r="B92" t="s">
        <v>23</v>
      </c>
      <c r="C92" t="s">
        <v>19</v>
      </c>
      <c r="D92">
        <v>1</v>
      </c>
      <c r="E92" t="s">
        <v>10</v>
      </c>
      <c r="F92">
        <v>89000</v>
      </c>
      <c r="G92">
        <v>65000</v>
      </c>
      <c r="H92">
        <f>Table1[[#This Row],[Qty]]*Table1[[#This Row],[SellingPrice]]</f>
        <v>89000</v>
      </c>
      <c r="I92">
        <f>Table1[[#This Row],[Qty]]*Table1[[#This Row],[CostPrice]]</f>
        <v>65000</v>
      </c>
      <c r="J92">
        <v>23832</v>
      </c>
      <c r="K92">
        <v>167.99999999999997</v>
      </c>
      <c r="L92" t="s">
        <v>8</v>
      </c>
      <c r="M92" t="s">
        <v>30</v>
      </c>
      <c r="N92">
        <f>MONTH(Table1[[#This Row],[SaleDate]])</f>
        <v>1</v>
      </c>
      <c r="O92" t="str">
        <f>TEXT(Table1[[#This Row],[SaleDate]],"MMM")</f>
        <v>Jan</v>
      </c>
    </row>
    <row r="93" spans="1:15">
      <c r="A93" s="1">
        <v>44938</v>
      </c>
      <c r="B93" t="s">
        <v>24</v>
      </c>
      <c r="C93" t="s">
        <v>22</v>
      </c>
      <c r="D93">
        <v>1</v>
      </c>
      <c r="E93" t="s">
        <v>7</v>
      </c>
      <c r="F93">
        <v>33000</v>
      </c>
      <c r="G93">
        <v>18000</v>
      </c>
      <c r="H93">
        <f>Table1[[#This Row],[Qty]]*Table1[[#This Row],[SellingPrice]]</f>
        <v>33000</v>
      </c>
      <c r="I93">
        <f>Table1[[#This Row],[Qty]]*Table1[[#This Row],[CostPrice]]</f>
        <v>18000</v>
      </c>
      <c r="J93">
        <v>14895</v>
      </c>
      <c r="K93">
        <v>104.99999999999999</v>
      </c>
      <c r="L93" t="s">
        <v>12</v>
      </c>
      <c r="M93" t="s">
        <v>27</v>
      </c>
      <c r="N93">
        <f>MONTH(Table1[[#This Row],[SaleDate]])</f>
        <v>1</v>
      </c>
      <c r="O93" t="str">
        <f>TEXT(Table1[[#This Row],[SaleDate]],"MMM")</f>
        <v>Jan</v>
      </c>
    </row>
    <row r="94" spans="1:15">
      <c r="A94" s="1">
        <v>44938</v>
      </c>
      <c r="B94" t="s">
        <v>24</v>
      </c>
      <c r="C94" t="s">
        <v>22</v>
      </c>
      <c r="D94">
        <v>1</v>
      </c>
      <c r="E94" t="s">
        <v>9</v>
      </c>
      <c r="F94">
        <v>60000</v>
      </c>
      <c r="G94">
        <v>31000</v>
      </c>
      <c r="H94">
        <f>Table1[[#This Row],[Qty]]*Table1[[#This Row],[SellingPrice]]</f>
        <v>60000</v>
      </c>
      <c r="I94">
        <f>Table1[[#This Row],[Qty]]*Table1[[#This Row],[CostPrice]]</f>
        <v>31000</v>
      </c>
      <c r="J94">
        <v>28797</v>
      </c>
      <c r="K94">
        <v>202.99999999999997</v>
      </c>
      <c r="L94" t="s">
        <v>12</v>
      </c>
      <c r="M94" t="s">
        <v>27</v>
      </c>
      <c r="N94">
        <f>MONTH(Table1[[#This Row],[SaleDate]])</f>
        <v>1</v>
      </c>
      <c r="O94" t="str">
        <f>TEXT(Table1[[#This Row],[SaleDate]],"MMM")</f>
        <v>Jan</v>
      </c>
    </row>
    <row r="95" spans="1:15">
      <c r="A95" s="1">
        <v>44938</v>
      </c>
      <c r="B95" t="s">
        <v>24</v>
      </c>
      <c r="C95" t="s">
        <v>22</v>
      </c>
      <c r="D95">
        <v>1</v>
      </c>
      <c r="E95" t="s">
        <v>10</v>
      </c>
      <c r="F95">
        <v>89000</v>
      </c>
      <c r="G95">
        <v>65000</v>
      </c>
      <c r="H95">
        <f>Table1[[#This Row],[Qty]]*Table1[[#This Row],[SellingPrice]]</f>
        <v>89000</v>
      </c>
      <c r="I95">
        <f>Table1[[#This Row],[Qty]]*Table1[[#This Row],[CostPrice]]</f>
        <v>65000</v>
      </c>
      <c r="J95">
        <v>23832</v>
      </c>
      <c r="K95">
        <v>167.99999999999997</v>
      </c>
      <c r="L95" t="s">
        <v>12</v>
      </c>
      <c r="M95" t="s">
        <v>30</v>
      </c>
      <c r="N95">
        <f>MONTH(Table1[[#This Row],[SaleDate]])</f>
        <v>1</v>
      </c>
      <c r="O95" t="str">
        <f>TEXT(Table1[[#This Row],[SaleDate]],"MMM")</f>
        <v>Jan</v>
      </c>
    </row>
    <row r="96" spans="1:15">
      <c r="A96" s="1">
        <v>44938</v>
      </c>
      <c r="B96" t="s">
        <v>25</v>
      </c>
      <c r="C96" t="s">
        <v>21</v>
      </c>
      <c r="D96">
        <v>1</v>
      </c>
      <c r="E96" t="s">
        <v>7</v>
      </c>
      <c r="F96">
        <v>33000</v>
      </c>
      <c r="G96">
        <v>18000</v>
      </c>
      <c r="H96">
        <f>Table1[[#This Row],[Qty]]*Table1[[#This Row],[SellingPrice]]</f>
        <v>33000</v>
      </c>
      <c r="I96">
        <f>Table1[[#This Row],[Qty]]*Table1[[#This Row],[CostPrice]]</f>
        <v>18000</v>
      </c>
      <c r="J96">
        <v>14895</v>
      </c>
      <c r="K96">
        <v>104.99999999999999</v>
      </c>
      <c r="L96" t="s">
        <v>13</v>
      </c>
      <c r="M96" t="s">
        <v>28</v>
      </c>
      <c r="N96">
        <f>MONTH(Table1[[#This Row],[SaleDate]])</f>
        <v>1</v>
      </c>
      <c r="O96" t="str">
        <f>TEXT(Table1[[#This Row],[SaleDate]],"MMM")</f>
        <v>Jan</v>
      </c>
    </row>
    <row r="97" spans="1:15">
      <c r="A97" s="1">
        <v>44938</v>
      </c>
      <c r="B97" t="s">
        <v>25</v>
      </c>
      <c r="C97" t="s">
        <v>21</v>
      </c>
      <c r="D97">
        <v>1</v>
      </c>
      <c r="E97" t="s">
        <v>9</v>
      </c>
      <c r="F97">
        <v>60000</v>
      </c>
      <c r="G97">
        <v>31000</v>
      </c>
      <c r="H97">
        <f>Table1[[#This Row],[Qty]]*Table1[[#This Row],[SellingPrice]]</f>
        <v>60000</v>
      </c>
      <c r="I97">
        <f>Table1[[#This Row],[Qty]]*Table1[[#This Row],[CostPrice]]</f>
        <v>31000</v>
      </c>
      <c r="J97">
        <v>28797</v>
      </c>
      <c r="K97">
        <v>202.99999999999997</v>
      </c>
      <c r="L97" t="s">
        <v>13</v>
      </c>
      <c r="M97" t="s">
        <v>29</v>
      </c>
      <c r="N97">
        <f>MONTH(Table1[[#This Row],[SaleDate]])</f>
        <v>1</v>
      </c>
      <c r="O97" t="str">
        <f>TEXT(Table1[[#This Row],[SaleDate]],"MMM")</f>
        <v>Jan</v>
      </c>
    </row>
    <row r="98" spans="1:15">
      <c r="A98" s="1">
        <v>44939</v>
      </c>
      <c r="B98" t="s">
        <v>23</v>
      </c>
      <c r="C98" t="s">
        <v>19</v>
      </c>
      <c r="D98">
        <v>2</v>
      </c>
      <c r="E98" t="s">
        <v>7</v>
      </c>
      <c r="F98">
        <v>33000</v>
      </c>
      <c r="G98">
        <v>18000</v>
      </c>
      <c r="H98">
        <f>Table1[[#This Row],[Qty]]*Table1[[#This Row],[SellingPrice]]</f>
        <v>66000</v>
      </c>
      <c r="I98">
        <f>Table1[[#This Row],[Qty]]*Table1[[#This Row],[CostPrice]]</f>
        <v>36000</v>
      </c>
      <c r="J98">
        <v>29790</v>
      </c>
      <c r="K98">
        <v>209.99999999999997</v>
      </c>
      <c r="L98" t="s">
        <v>8</v>
      </c>
      <c r="M98" t="s">
        <v>29</v>
      </c>
      <c r="N98">
        <f>MONTH(Table1[[#This Row],[SaleDate]])</f>
        <v>1</v>
      </c>
      <c r="O98" t="str">
        <f>TEXT(Table1[[#This Row],[SaleDate]],"MMM")</f>
        <v>Jan</v>
      </c>
    </row>
    <row r="99" spans="1:15">
      <c r="A99" s="1">
        <v>44939</v>
      </c>
      <c r="B99" t="s">
        <v>23</v>
      </c>
      <c r="C99" t="s">
        <v>19</v>
      </c>
      <c r="D99">
        <v>2</v>
      </c>
      <c r="E99" t="s">
        <v>9</v>
      </c>
      <c r="F99">
        <v>60000</v>
      </c>
      <c r="G99">
        <v>31000</v>
      </c>
      <c r="H99">
        <f>Table1[[#This Row],[Qty]]*Table1[[#This Row],[SellingPrice]]</f>
        <v>120000</v>
      </c>
      <c r="I99">
        <f>Table1[[#This Row],[Qty]]*Table1[[#This Row],[CostPrice]]</f>
        <v>62000</v>
      </c>
      <c r="J99">
        <v>57594</v>
      </c>
      <c r="K99">
        <v>405.99999999999994</v>
      </c>
      <c r="L99" t="s">
        <v>8</v>
      </c>
      <c r="M99" t="s">
        <v>28</v>
      </c>
      <c r="N99">
        <f>MONTH(Table1[[#This Row],[SaleDate]])</f>
        <v>1</v>
      </c>
      <c r="O99" t="str">
        <f>TEXT(Table1[[#This Row],[SaleDate]],"MMM")</f>
        <v>Jan</v>
      </c>
    </row>
    <row r="100" spans="1:15">
      <c r="A100" s="1">
        <v>44939</v>
      </c>
      <c r="B100" t="s">
        <v>24</v>
      </c>
      <c r="C100" t="s">
        <v>22</v>
      </c>
      <c r="D100">
        <v>2</v>
      </c>
      <c r="E100" t="s">
        <v>9</v>
      </c>
      <c r="F100">
        <v>60000</v>
      </c>
      <c r="G100">
        <v>31000</v>
      </c>
      <c r="H100">
        <f>Table1[[#This Row],[Qty]]*Table1[[#This Row],[SellingPrice]]</f>
        <v>120000</v>
      </c>
      <c r="I100">
        <f>Table1[[#This Row],[Qty]]*Table1[[#This Row],[CostPrice]]</f>
        <v>62000</v>
      </c>
      <c r="J100">
        <v>57594</v>
      </c>
      <c r="K100">
        <v>405.99999999999994</v>
      </c>
      <c r="L100" t="s">
        <v>12</v>
      </c>
      <c r="M100" t="s">
        <v>27</v>
      </c>
      <c r="N100">
        <f>MONTH(Table1[[#This Row],[SaleDate]])</f>
        <v>1</v>
      </c>
      <c r="O100" t="str">
        <f>TEXT(Table1[[#This Row],[SaleDate]],"MMM")</f>
        <v>Jan</v>
      </c>
    </row>
    <row r="101" spans="1:15">
      <c r="A101" s="1">
        <v>44939</v>
      </c>
      <c r="B101" t="s">
        <v>25</v>
      </c>
      <c r="C101" t="s">
        <v>21</v>
      </c>
      <c r="D101">
        <v>2</v>
      </c>
      <c r="E101" t="s">
        <v>9</v>
      </c>
      <c r="F101">
        <v>60000</v>
      </c>
      <c r="G101">
        <v>31000</v>
      </c>
      <c r="H101">
        <f>Table1[[#This Row],[Qty]]*Table1[[#This Row],[SellingPrice]]</f>
        <v>120000</v>
      </c>
      <c r="I101">
        <f>Table1[[#This Row],[Qty]]*Table1[[#This Row],[CostPrice]]</f>
        <v>62000</v>
      </c>
      <c r="J101">
        <v>57594</v>
      </c>
      <c r="K101">
        <v>405.99999999999994</v>
      </c>
      <c r="L101" t="s">
        <v>13</v>
      </c>
      <c r="M101" t="s">
        <v>29</v>
      </c>
      <c r="N101">
        <f>MONTH(Table1[[#This Row],[SaleDate]])</f>
        <v>1</v>
      </c>
      <c r="O101" t="str">
        <f>TEXT(Table1[[#This Row],[SaleDate]],"MMM")</f>
        <v>Jan</v>
      </c>
    </row>
    <row r="102" spans="1:15">
      <c r="A102" s="1">
        <v>44940</v>
      </c>
      <c r="B102" t="s">
        <v>23</v>
      </c>
      <c r="C102" t="s">
        <v>19</v>
      </c>
      <c r="D102">
        <v>1</v>
      </c>
      <c r="E102" t="s">
        <v>7</v>
      </c>
      <c r="F102">
        <v>33000</v>
      </c>
      <c r="G102">
        <v>18000</v>
      </c>
      <c r="H102">
        <f>Table1[[#This Row],[Qty]]*Table1[[#This Row],[SellingPrice]]</f>
        <v>33000</v>
      </c>
      <c r="I102">
        <f>Table1[[#This Row],[Qty]]*Table1[[#This Row],[CostPrice]]</f>
        <v>18000</v>
      </c>
      <c r="J102">
        <v>14895</v>
      </c>
      <c r="K102">
        <v>104.99999999999999</v>
      </c>
      <c r="L102" t="s">
        <v>8</v>
      </c>
      <c r="M102" t="s">
        <v>27</v>
      </c>
      <c r="N102">
        <f>MONTH(Table1[[#This Row],[SaleDate]])</f>
        <v>1</v>
      </c>
      <c r="O102" t="str">
        <f>TEXT(Table1[[#This Row],[SaleDate]],"MMM")</f>
        <v>Jan</v>
      </c>
    </row>
    <row r="103" spans="1:15">
      <c r="A103" s="1">
        <v>44940</v>
      </c>
      <c r="B103" t="s">
        <v>23</v>
      </c>
      <c r="C103" t="s">
        <v>19</v>
      </c>
      <c r="D103">
        <v>1</v>
      </c>
      <c r="E103" t="s">
        <v>9</v>
      </c>
      <c r="F103">
        <v>60000</v>
      </c>
      <c r="G103">
        <v>31000</v>
      </c>
      <c r="H103">
        <f>Table1[[#This Row],[Qty]]*Table1[[#This Row],[SellingPrice]]</f>
        <v>60000</v>
      </c>
      <c r="I103">
        <f>Table1[[#This Row],[Qty]]*Table1[[#This Row],[CostPrice]]</f>
        <v>31000</v>
      </c>
      <c r="J103">
        <v>28797</v>
      </c>
      <c r="K103">
        <v>202.99999999999997</v>
      </c>
      <c r="L103" t="s">
        <v>8</v>
      </c>
      <c r="M103" t="s">
        <v>29</v>
      </c>
      <c r="N103">
        <f>MONTH(Table1[[#This Row],[SaleDate]])</f>
        <v>1</v>
      </c>
      <c r="O103" t="str">
        <f>TEXT(Table1[[#This Row],[SaleDate]],"MMM")</f>
        <v>Jan</v>
      </c>
    </row>
    <row r="104" spans="1:15">
      <c r="A104" s="1">
        <v>44940</v>
      </c>
      <c r="B104" t="s">
        <v>24</v>
      </c>
      <c r="C104" t="s">
        <v>22</v>
      </c>
      <c r="D104">
        <v>1</v>
      </c>
      <c r="E104" t="s">
        <v>7</v>
      </c>
      <c r="F104">
        <v>33000</v>
      </c>
      <c r="G104">
        <v>18000</v>
      </c>
      <c r="H104">
        <f>Table1[[#This Row],[Qty]]*Table1[[#This Row],[SellingPrice]]</f>
        <v>33000</v>
      </c>
      <c r="I104">
        <f>Table1[[#This Row],[Qty]]*Table1[[#This Row],[CostPrice]]</f>
        <v>18000</v>
      </c>
      <c r="J104">
        <v>14895</v>
      </c>
      <c r="K104">
        <v>104.99999999999999</v>
      </c>
      <c r="L104" t="s">
        <v>12</v>
      </c>
      <c r="M104" t="s">
        <v>30</v>
      </c>
      <c r="N104">
        <f>MONTH(Table1[[#This Row],[SaleDate]])</f>
        <v>1</v>
      </c>
      <c r="O104" t="str">
        <f>TEXT(Table1[[#This Row],[SaleDate]],"MMM")</f>
        <v>Jan</v>
      </c>
    </row>
    <row r="105" spans="1:15">
      <c r="A105" s="1">
        <v>44940</v>
      </c>
      <c r="B105" t="s">
        <v>24</v>
      </c>
      <c r="C105" t="s">
        <v>22</v>
      </c>
      <c r="D105">
        <v>1</v>
      </c>
      <c r="E105" t="s">
        <v>9</v>
      </c>
      <c r="F105">
        <v>60000</v>
      </c>
      <c r="G105">
        <v>31000</v>
      </c>
      <c r="H105">
        <f>Table1[[#This Row],[Qty]]*Table1[[#This Row],[SellingPrice]]</f>
        <v>60000</v>
      </c>
      <c r="I105">
        <f>Table1[[#This Row],[Qty]]*Table1[[#This Row],[CostPrice]]</f>
        <v>31000</v>
      </c>
      <c r="J105">
        <v>28797</v>
      </c>
      <c r="K105">
        <v>202.99999999999997</v>
      </c>
      <c r="L105" t="s">
        <v>12</v>
      </c>
      <c r="M105" t="s">
        <v>27</v>
      </c>
      <c r="N105">
        <f>MONTH(Table1[[#This Row],[SaleDate]])</f>
        <v>1</v>
      </c>
      <c r="O105" t="str">
        <f>TEXT(Table1[[#This Row],[SaleDate]],"MMM")</f>
        <v>Jan</v>
      </c>
    </row>
    <row r="106" spans="1:15">
      <c r="A106" s="1">
        <v>44940</v>
      </c>
      <c r="B106" t="s">
        <v>25</v>
      </c>
      <c r="C106" t="s">
        <v>21</v>
      </c>
      <c r="D106">
        <v>1</v>
      </c>
      <c r="E106" t="s">
        <v>9</v>
      </c>
      <c r="F106">
        <v>60000</v>
      </c>
      <c r="G106">
        <v>31000</v>
      </c>
      <c r="H106">
        <f>Table1[[#This Row],[Qty]]*Table1[[#This Row],[SellingPrice]]</f>
        <v>60000</v>
      </c>
      <c r="I106">
        <f>Table1[[#This Row],[Qty]]*Table1[[#This Row],[CostPrice]]</f>
        <v>31000</v>
      </c>
      <c r="J106">
        <v>28797</v>
      </c>
      <c r="K106">
        <v>202.99999999999997</v>
      </c>
      <c r="L106" t="s">
        <v>13</v>
      </c>
      <c r="M106" t="s">
        <v>27</v>
      </c>
      <c r="N106">
        <f>MONTH(Table1[[#This Row],[SaleDate]])</f>
        <v>1</v>
      </c>
      <c r="O106" t="str">
        <f>TEXT(Table1[[#This Row],[SaleDate]],"MMM")</f>
        <v>Jan</v>
      </c>
    </row>
    <row r="107" spans="1:15">
      <c r="A107" s="1">
        <v>44941</v>
      </c>
      <c r="B107" t="s">
        <v>23</v>
      </c>
      <c r="C107" t="s">
        <v>19</v>
      </c>
      <c r="D107">
        <v>1</v>
      </c>
      <c r="E107" t="s">
        <v>7</v>
      </c>
      <c r="F107">
        <v>33000</v>
      </c>
      <c r="G107">
        <v>18000</v>
      </c>
      <c r="H107">
        <f>Table1[[#This Row],[Qty]]*Table1[[#This Row],[SellingPrice]]</f>
        <v>33000</v>
      </c>
      <c r="I107">
        <f>Table1[[#This Row],[Qty]]*Table1[[#This Row],[CostPrice]]</f>
        <v>18000</v>
      </c>
      <c r="J107">
        <v>14895</v>
      </c>
      <c r="K107">
        <v>104.99999999999999</v>
      </c>
      <c r="L107" t="s">
        <v>8</v>
      </c>
      <c r="M107" t="s">
        <v>29</v>
      </c>
      <c r="N107">
        <f>MONTH(Table1[[#This Row],[SaleDate]])</f>
        <v>1</v>
      </c>
      <c r="O107" t="str">
        <f>TEXT(Table1[[#This Row],[SaleDate]],"MMM")</f>
        <v>Jan</v>
      </c>
    </row>
    <row r="108" spans="1:15">
      <c r="A108" s="1">
        <v>44941</v>
      </c>
      <c r="B108" t="s">
        <v>24</v>
      </c>
      <c r="C108" t="s">
        <v>22</v>
      </c>
      <c r="D108">
        <v>1</v>
      </c>
      <c r="E108" t="s">
        <v>7</v>
      </c>
      <c r="F108">
        <v>33000</v>
      </c>
      <c r="G108">
        <v>18000</v>
      </c>
      <c r="H108">
        <f>Table1[[#This Row],[Qty]]*Table1[[#This Row],[SellingPrice]]</f>
        <v>33000</v>
      </c>
      <c r="I108">
        <f>Table1[[#This Row],[Qty]]*Table1[[#This Row],[CostPrice]]</f>
        <v>18000</v>
      </c>
      <c r="J108">
        <v>14895</v>
      </c>
      <c r="K108">
        <v>104.99999999999999</v>
      </c>
      <c r="L108" t="s">
        <v>12</v>
      </c>
      <c r="M108" t="s">
        <v>27</v>
      </c>
      <c r="N108">
        <f>MONTH(Table1[[#This Row],[SaleDate]])</f>
        <v>1</v>
      </c>
      <c r="O108" t="str">
        <f>TEXT(Table1[[#This Row],[SaleDate]],"MMM")</f>
        <v>Jan</v>
      </c>
    </row>
    <row r="109" spans="1:15">
      <c r="A109" s="1">
        <v>44942</v>
      </c>
      <c r="B109" t="s">
        <v>23</v>
      </c>
      <c r="C109" t="s">
        <v>19</v>
      </c>
      <c r="D109">
        <v>1</v>
      </c>
      <c r="E109" t="s">
        <v>7</v>
      </c>
      <c r="F109">
        <v>33000</v>
      </c>
      <c r="G109">
        <v>18000</v>
      </c>
      <c r="H109">
        <f>Table1[[#This Row],[Qty]]*Table1[[#This Row],[SellingPrice]]</f>
        <v>33000</v>
      </c>
      <c r="I109">
        <f>Table1[[#This Row],[Qty]]*Table1[[#This Row],[CostPrice]]</f>
        <v>18000</v>
      </c>
      <c r="J109">
        <v>14895</v>
      </c>
      <c r="K109">
        <v>104.99999999999999</v>
      </c>
      <c r="L109" t="s">
        <v>8</v>
      </c>
      <c r="M109" t="s">
        <v>29</v>
      </c>
      <c r="N109">
        <f>MONTH(Table1[[#This Row],[SaleDate]])</f>
        <v>1</v>
      </c>
      <c r="O109" t="str">
        <f>TEXT(Table1[[#This Row],[SaleDate]],"MMM")</f>
        <v>Jan</v>
      </c>
    </row>
    <row r="110" spans="1:15">
      <c r="A110" s="1">
        <v>44942</v>
      </c>
      <c r="B110" t="s">
        <v>23</v>
      </c>
      <c r="C110" t="s">
        <v>19</v>
      </c>
      <c r="D110">
        <v>1</v>
      </c>
      <c r="E110" t="s">
        <v>9</v>
      </c>
      <c r="F110">
        <v>60000</v>
      </c>
      <c r="G110">
        <v>31000</v>
      </c>
      <c r="H110">
        <f>Table1[[#This Row],[Qty]]*Table1[[#This Row],[SellingPrice]]</f>
        <v>60000</v>
      </c>
      <c r="I110">
        <f>Table1[[#This Row],[Qty]]*Table1[[#This Row],[CostPrice]]</f>
        <v>31000</v>
      </c>
      <c r="J110">
        <v>28797</v>
      </c>
      <c r="K110">
        <v>202.99999999999997</v>
      </c>
      <c r="L110" t="s">
        <v>8</v>
      </c>
      <c r="M110" t="s">
        <v>29</v>
      </c>
      <c r="N110">
        <f>MONTH(Table1[[#This Row],[SaleDate]])</f>
        <v>1</v>
      </c>
      <c r="O110" t="str">
        <f>TEXT(Table1[[#This Row],[SaleDate]],"MMM")</f>
        <v>Jan</v>
      </c>
    </row>
    <row r="111" spans="1:15">
      <c r="A111" s="1">
        <v>44942</v>
      </c>
      <c r="B111" t="s">
        <v>24</v>
      </c>
      <c r="C111" t="s">
        <v>22</v>
      </c>
      <c r="D111">
        <v>1</v>
      </c>
      <c r="E111" t="s">
        <v>7</v>
      </c>
      <c r="F111">
        <v>33000</v>
      </c>
      <c r="G111">
        <v>18000</v>
      </c>
      <c r="H111">
        <f>Table1[[#This Row],[Qty]]*Table1[[#This Row],[SellingPrice]]</f>
        <v>33000</v>
      </c>
      <c r="I111">
        <f>Table1[[#This Row],[Qty]]*Table1[[#This Row],[CostPrice]]</f>
        <v>18000</v>
      </c>
      <c r="J111">
        <v>14895</v>
      </c>
      <c r="K111">
        <v>104.99999999999999</v>
      </c>
      <c r="L111" t="s">
        <v>12</v>
      </c>
      <c r="M111" t="s">
        <v>30</v>
      </c>
      <c r="N111">
        <f>MONTH(Table1[[#This Row],[SaleDate]])</f>
        <v>1</v>
      </c>
      <c r="O111" t="str">
        <f>TEXT(Table1[[#This Row],[SaleDate]],"MMM")</f>
        <v>Jan</v>
      </c>
    </row>
    <row r="112" spans="1:15">
      <c r="A112" s="1">
        <v>44942</v>
      </c>
      <c r="B112" t="s">
        <v>24</v>
      </c>
      <c r="C112" t="s">
        <v>22</v>
      </c>
      <c r="D112">
        <v>1</v>
      </c>
      <c r="E112" t="s">
        <v>9</v>
      </c>
      <c r="F112">
        <v>60000</v>
      </c>
      <c r="G112">
        <v>31000</v>
      </c>
      <c r="H112">
        <f>Table1[[#This Row],[Qty]]*Table1[[#This Row],[SellingPrice]]</f>
        <v>60000</v>
      </c>
      <c r="I112">
        <f>Table1[[#This Row],[Qty]]*Table1[[#This Row],[CostPrice]]</f>
        <v>31000</v>
      </c>
      <c r="J112">
        <v>28797</v>
      </c>
      <c r="K112">
        <v>202.99999999999997</v>
      </c>
      <c r="L112" t="s">
        <v>12</v>
      </c>
      <c r="M112" t="s">
        <v>28</v>
      </c>
      <c r="N112">
        <f>MONTH(Table1[[#This Row],[SaleDate]])</f>
        <v>1</v>
      </c>
      <c r="O112" t="str">
        <f>TEXT(Table1[[#This Row],[SaleDate]],"MMM")</f>
        <v>Jan</v>
      </c>
    </row>
    <row r="113" spans="1:15">
      <c r="A113" s="1">
        <v>44942</v>
      </c>
      <c r="B113" t="s">
        <v>25</v>
      </c>
      <c r="C113" t="s">
        <v>21</v>
      </c>
      <c r="D113">
        <v>1</v>
      </c>
      <c r="E113" t="s">
        <v>9</v>
      </c>
      <c r="F113">
        <v>60000</v>
      </c>
      <c r="G113">
        <v>31000</v>
      </c>
      <c r="H113">
        <f>Table1[[#This Row],[Qty]]*Table1[[#This Row],[SellingPrice]]</f>
        <v>60000</v>
      </c>
      <c r="I113">
        <f>Table1[[#This Row],[Qty]]*Table1[[#This Row],[CostPrice]]</f>
        <v>31000</v>
      </c>
      <c r="J113">
        <v>28797</v>
      </c>
      <c r="K113">
        <v>202.99999999999997</v>
      </c>
      <c r="L113" t="s">
        <v>13</v>
      </c>
      <c r="M113" t="s">
        <v>29</v>
      </c>
      <c r="N113">
        <f>MONTH(Table1[[#This Row],[SaleDate]])</f>
        <v>1</v>
      </c>
      <c r="O113" t="str">
        <f>TEXT(Table1[[#This Row],[SaleDate]],"MMM")</f>
        <v>Jan</v>
      </c>
    </row>
    <row r="114" spans="1:15">
      <c r="A114" s="1">
        <v>44943</v>
      </c>
      <c r="B114" t="s">
        <v>23</v>
      </c>
      <c r="C114" t="s">
        <v>19</v>
      </c>
      <c r="D114">
        <v>1</v>
      </c>
      <c r="E114" t="s">
        <v>7</v>
      </c>
      <c r="F114">
        <v>33000</v>
      </c>
      <c r="G114">
        <v>18000</v>
      </c>
      <c r="H114">
        <f>Table1[[#This Row],[Qty]]*Table1[[#This Row],[SellingPrice]]</f>
        <v>33000</v>
      </c>
      <c r="I114">
        <f>Table1[[#This Row],[Qty]]*Table1[[#This Row],[CostPrice]]</f>
        <v>18000</v>
      </c>
      <c r="J114">
        <v>14895</v>
      </c>
      <c r="K114">
        <v>104.99999999999999</v>
      </c>
      <c r="L114" t="s">
        <v>8</v>
      </c>
      <c r="M114" t="s">
        <v>29</v>
      </c>
      <c r="N114">
        <f>MONTH(Table1[[#This Row],[SaleDate]])</f>
        <v>1</v>
      </c>
      <c r="O114" t="str">
        <f>TEXT(Table1[[#This Row],[SaleDate]],"MMM")</f>
        <v>Jan</v>
      </c>
    </row>
    <row r="115" spans="1:15">
      <c r="A115" s="1">
        <v>44943</v>
      </c>
      <c r="B115" t="s">
        <v>24</v>
      </c>
      <c r="C115" t="s">
        <v>22</v>
      </c>
      <c r="D115">
        <v>1</v>
      </c>
      <c r="E115" t="s">
        <v>7</v>
      </c>
      <c r="F115">
        <v>33000</v>
      </c>
      <c r="G115">
        <v>18000</v>
      </c>
      <c r="H115">
        <f>Table1[[#This Row],[Qty]]*Table1[[#This Row],[SellingPrice]]</f>
        <v>33000</v>
      </c>
      <c r="I115">
        <f>Table1[[#This Row],[Qty]]*Table1[[#This Row],[CostPrice]]</f>
        <v>18000</v>
      </c>
      <c r="J115">
        <v>14895</v>
      </c>
      <c r="K115">
        <v>104.99999999999999</v>
      </c>
      <c r="L115" t="s">
        <v>12</v>
      </c>
      <c r="M115" t="s">
        <v>28</v>
      </c>
      <c r="N115">
        <f>MONTH(Table1[[#This Row],[SaleDate]])</f>
        <v>1</v>
      </c>
      <c r="O115" t="str">
        <f>TEXT(Table1[[#This Row],[SaleDate]],"MMM")</f>
        <v>Jan</v>
      </c>
    </row>
    <row r="116" spans="1:15">
      <c r="A116" s="1">
        <v>44944</v>
      </c>
      <c r="B116" t="s">
        <v>23</v>
      </c>
      <c r="C116" t="s">
        <v>19</v>
      </c>
      <c r="D116">
        <v>1</v>
      </c>
      <c r="E116" t="s">
        <v>7</v>
      </c>
      <c r="F116">
        <v>33000</v>
      </c>
      <c r="G116">
        <v>18000</v>
      </c>
      <c r="H116">
        <f>Table1[[#This Row],[Qty]]*Table1[[#This Row],[SellingPrice]]</f>
        <v>33000</v>
      </c>
      <c r="I116">
        <f>Table1[[#This Row],[Qty]]*Table1[[#This Row],[CostPrice]]</f>
        <v>18000</v>
      </c>
      <c r="J116">
        <v>14895</v>
      </c>
      <c r="K116">
        <v>104.99999999999999</v>
      </c>
      <c r="L116" t="s">
        <v>8</v>
      </c>
      <c r="M116" t="s">
        <v>29</v>
      </c>
      <c r="N116">
        <f>MONTH(Table1[[#This Row],[SaleDate]])</f>
        <v>1</v>
      </c>
      <c r="O116" t="str">
        <f>TEXT(Table1[[#This Row],[SaleDate]],"MMM")</f>
        <v>Jan</v>
      </c>
    </row>
    <row r="117" spans="1:15">
      <c r="A117" s="1">
        <v>44944</v>
      </c>
      <c r="B117" t="s">
        <v>23</v>
      </c>
      <c r="C117" t="s">
        <v>19</v>
      </c>
      <c r="D117">
        <v>1</v>
      </c>
      <c r="E117" t="s">
        <v>9</v>
      </c>
      <c r="F117">
        <v>60000</v>
      </c>
      <c r="G117">
        <v>31000</v>
      </c>
      <c r="H117">
        <f>Table1[[#This Row],[Qty]]*Table1[[#This Row],[SellingPrice]]</f>
        <v>60000</v>
      </c>
      <c r="I117">
        <f>Table1[[#This Row],[Qty]]*Table1[[#This Row],[CostPrice]]</f>
        <v>31000</v>
      </c>
      <c r="J117">
        <v>28797</v>
      </c>
      <c r="K117">
        <v>202.99999999999997</v>
      </c>
      <c r="L117" t="s">
        <v>8</v>
      </c>
      <c r="M117" t="s">
        <v>29</v>
      </c>
      <c r="N117">
        <f>MONTH(Table1[[#This Row],[SaleDate]])</f>
        <v>1</v>
      </c>
      <c r="O117" t="str">
        <f>TEXT(Table1[[#This Row],[SaleDate]],"MMM")</f>
        <v>Jan</v>
      </c>
    </row>
    <row r="118" spans="1:15">
      <c r="A118" s="1">
        <v>44944</v>
      </c>
      <c r="B118" t="s">
        <v>24</v>
      </c>
      <c r="C118" t="s">
        <v>22</v>
      </c>
      <c r="D118">
        <v>1</v>
      </c>
      <c r="E118" t="s">
        <v>7</v>
      </c>
      <c r="F118">
        <v>33000</v>
      </c>
      <c r="G118">
        <v>18000</v>
      </c>
      <c r="H118">
        <f>Table1[[#This Row],[Qty]]*Table1[[#This Row],[SellingPrice]]</f>
        <v>33000</v>
      </c>
      <c r="I118">
        <f>Table1[[#This Row],[Qty]]*Table1[[#This Row],[CostPrice]]</f>
        <v>18000</v>
      </c>
      <c r="J118">
        <v>14895</v>
      </c>
      <c r="K118">
        <v>104.99999999999999</v>
      </c>
      <c r="L118" t="s">
        <v>12</v>
      </c>
      <c r="M118" t="s">
        <v>27</v>
      </c>
      <c r="N118">
        <f>MONTH(Table1[[#This Row],[SaleDate]])</f>
        <v>1</v>
      </c>
      <c r="O118" t="str">
        <f>TEXT(Table1[[#This Row],[SaleDate]],"MMM")</f>
        <v>Jan</v>
      </c>
    </row>
    <row r="119" spans="1:15">
      <c r="A119" s="1">
        <v>44944</v>
      </c>
      <c r="B119" t="s">
        <v>24</v>
      </c>
      <c r="C119" t="s">
        <v>22</v>
      </c>
      <c r="D119">
        <v>1</v>
      </c>
      <c r="E119" t="s">
        <v>9</v>
      </c>
      <c r="F119">
        <v>60000</v>
      </c>
      <c r="G119">
        <v>31000</v>
      </c>
      <c r="H119">
        <f>Table1[[#This Row],[Qty]]*Table1[[#This Row],[SellingPrice]]</f>
        <v>60000</v>
      </c>
      <c r="I119">
        <f>Table1[[#This Row],[Qty]]*Table1[[#This Row],[CostPrice]]</f>
        <v>31000</v>
      </c>
      <c r="J119">
        <v>28797</v>
      </c>
      <c r="K119">
        <v>202.99999999999997</v>
      </c>
      <c r="L119" t="s">
        <v>12</v>
      </c>
      <c r="M119" t="s">
        <v>29</v>
      </c>
      <c r="N119">
        <f>MONTH(Table1[[#This Row],[SaleDate]])</f>
        <v>1</v>
      </c>
      <c r="O119" t="str">
        <f>TEXT(Table1[[#This Row],[SaleDate]],"MMM")</f>
        <v>Jan</v>
      </c>
    </row>
    <row r="120" spans="1:15">
      <c r="A120" s="1">
        <v>44944</v>
      </c>
      <c r="B120" t="s">
        <v>25</v>
      </c>
      <c r="C120" t="s">
        <v>21</v>
      </c>
      <c r="D120">
        <v>1</v>
      </c>
      <c r="E120" t="s">
        <v>9</v>
      </c>
      <c r="F120">
        <v>60000</v>
      </c>
      <c r="G120">
        <v>31000</v>
      </c>
      <c r="H120">
        <f>Table1[[#This Row],[Qty]]*Table1[[#This Row],[SellingPrice]]</f>
        <v>60000</v>
      </c>
      <c r="I120">
        <f>Table1[[#This Row],[Qty]]*Table1[[#This Row],[CostPrice]]</f>
        <v>31000</v>
      </c>
      <c r="J120">
        <v>28797</v>
      </c>
      <c r="K120">
        <v>202.99999999999997</v>
      </c>
      <c r="L120" t="s">
        <v>13</v>
      </c>
      <c r="M120" t="s">
        <v>29</v>
      </c>
      <c r="N120">
        <f>MONTH(Table1[[#This Row],[SaleDate]])</f>
        <v>1</v>
      </c>
      <c r="O120" t="str">
        <f>TEXT(Table1[[#This Row],[SaleDate]],"MMM")</f>
        <v>Jan</v>
      </c>
    </row>
    <row r="121" spans="1:15">
      <c r="A121" s="1">
        <v>44945</v>
      </c>
      <c r="B121" t="s">
        <v>23</v>
      </c>
      <c r="C121" t="s">
        <v>19</v>
      </c>
      <c r="D121">
        <v>1</v>
      </c>
      <c r="E121" t="s">
        <v>7</v>
      </c>
      <c r="F121">
        <v>33000</v>
      </c>
      <c r="G121">
        <v>18000</v>
      </c>
      <c r="H121">
        <f>Table1[[#This Row],[Qty]]*Table1[[#This Row],[SellingPrice]]</f>
        <v>33000</v>
      </c>
      <c r="I121">
        <f>Table1[[#This Row],[Qty]]*Table1[[#This Row],[CostPrice]]</f>
        <v>18000</v>
      </c>
      <c r="J121">
        <v>14895</v>
      </c>
      <c r="K121">
        <v>104.99999999999999</v>
      </c>
      <c r="L121" t="s">
        <v>8</v>
      </c>
      <c r="M121" t="s">
        <v>27</v>
      </c>
      <c r="N121">
        <f>MONTH(Table1[[#This Row],[SaleDate]])</f>
        <v>1</v>
      </c>
      <c r="O121" t="str">
        <f>TEXT(Table1[[#This Row],[SaleDate]],"MMM")</f>
        <v>Jan</v>
      </c>
    </row>
    <row r="122" spans="1:15">
      <c r="A122" s="1">
        <v>44945</v>
      </c>
      <c r="B122" t="s">
        <v>24</v>
      </c>
      <c r="C122" t="s">
        <v>22</v>
      </c>
      <c r="D122">
        <v>1</v>
      </c>
      <c r="E122" t="s">
        <v>7</v>
      </c>
      <c r="F122">
        <v>33000</v>
      </c>
      <c r="G122">
        <v>18000</v>
      </c>
      <c r="H122">
        <f>Table1[[#This Row],[Qty]]*Table1[[#This Row],[SellingPrice]]</f>
        <v>33000</v>
      </c>
      <c r="I122">
        <f>Table1[[#This Row],[Qty]]*Table1[[#This Row],[CostPrice]]</f>
        <v>18000</v>
      </c>
      <c r="J122">
        <v>14895</v>
      </c>
      <c r="K122">
        <v>104.99999999999999</v>
      </c>
      <c r="L122" t="s">
        <v>12</v>
      </c>
      <c r="M122" t="s">
        <v>29</v>
      </c>
      <c r="N122">
        <f>MONTH(Table1[[#This Row],[SaleDate]])</f>
        <v>1</v>
      </c>
      <c r="O122" t="str">
        <f>TEXT(Table1[[#This Row],[SaleDate]],"MMM")</f>
        <v>Jan</v>
      </c>
    </row>
    <row r="123" spans="1:15">
      <c r="A123" s="1">
        <v>44946</v>
      </c>
      <c r="B123" t="s">
        <v>23</v>
      </c>
      <c r="C123" t="s">
        <v>19</v>
      </c>
      <c r="D123">
        <v>1</v>
      </c>
      <c r="E123" t="s">
        <v>7</v>
      </c>
      <c r="F123">
        <v>33000</v>
      </c>
      <c r="G123">
        <v>18000</v>
      </c>
      <c r="H123">
        <f>Table1[[#This Row],[Qty]]*Table1[[#This Row],[SellingPrice]]</f>
        <v>33000</v>
      </c>
      <c r="I123">
        <f>Table1[[#This Row],[Qty]]*Table1[[#This Row],[CostPrice]]</f>
        <v>18000</v>
      </c>
      <c r="J123">
        <v>14895</v>
      </c>
      <c r="K123">
        <v>104.99999999999999</v>
      </c>
      <c r="L123" t="s">
        <v>8</v>
      </c>
      <c r="M123" t="s">
        <v>30</v>
      </c>
      <c r="N123">
        <f>MONTH(Table1[[#This Row],[SaleDate]])</f>
        <v>1</v>
      </c>
      <c r="O123" t="str">
        <f>TEXT(Table1[[#This Row],[SaleDate]],"MMM")</f>
        <v>Jan</v>
      </c>
    </row>
    <row r="124" spans="1:15">
      <c r="A124" s="1">
        <v>44946</v>
      </c>
      <c r="B124" t="s">
        <v>23</v>
      </c>
      <c r="C124" t="s">
        <v>19</v>
      </c>
      <c r="D124">
        <v>1</v>
      </c>
      <c r="E124" t="s">
        <v>9</v>
      </c>
      <c r="F124">
        <v>60000</v>
      </c>
      <c r="G124">
        <v>31000</v>
      </c>
      <c r="H124">
        <f>Table1[[#This Row],[Qty]]*Table1[[#This Row],[SellingPrice]]</f>
        <v>60000</v>
      </c>
      <c r="I124">
        <f>Table1[[#This Row],[Qty]]*Table1[[#This Row],[CostPrice]]</f>
        <v>31000</v>
      </c>
      <c r="J124">
        <v>28797</v>
      </c>
      <c r="K124">
        <v>202.99999999999997</v>
      </c>
      <c r="L124" t="s">
        <v>8</v>
      </c>
      <c r="M124" t="s">
        <v>27</v>
      </c>
      <c r="N124">
        <f>MONTH(Table1[[#This Row],[SaleDate]])</f>
        <v>1</v>
      </c>
      <c r="O124" t="str">
        <f>TEXT(Table1[[#This Row],[SaleDate]],"MMM")</f>
        <v>Jan</v>
      </c>
    </row>
    <row r="125" spans="1:15">
      <c r="A125" s="1">
        <v>44946</v>
      </c>
      <c r="B125" t="s">
        <v>24</v>
      </c>
      <c r="C125" t="s">
        <v>22</v>
      </c>
      <c r="D125">
        <v>1</v>
      </c>
      <c r="E125" t="s">
        <v>7</v>
      </c>
      <c r="F125">
        <v>33000</v>
      </c>
      <c r="G125">
        <v>18000</v>
      </c>
      <c r="H125">
        <f>Table1[[#This Row],[Qty]]*Table1[[#This Row],[SellingPrice]]</f>
        <v>33000</v>
      </c>
      <c r="I125">
        <f>Table1[[#This Row],[Qty]]*Table1[[#This Row],[CostPrice]]</f>
        <v>18000</v>
      </c>
      <c r="J125">
        <v>14895</v>
      </c>
      <c r="K125">
        <v>104.99999999999999</v>
      </c>
      <c r="L125" t="s">
        <v>12</v>
      </c>
      <c r="M125" t="s">
        <v>30</v>
      </c>
      <c r="N125">
        <f>MONTH(Table1[[#This Row],[SaleDate]])</f>
        <v>1</v>
      </c>
      <c r="O125" t="str">
        <f>TEXT(Table1[[#This Row],[SaleDate]],"MMM")</f>
        <v>Jan</v>
      </c>
    </row>
    <row r="126" spans="1:15">
      <c r="A126" s="1">
        <v>44946</v>
      </c>
      <c r="B126" t="s">
        <v>24</v>
      </c>
      <c r="C126" t="s">
        <v>22</v>
      </c>
      <c r="D126">
        <v>1</v>
      </c>
      <c r="E126" t="s">
        <v>9</v>
      </c>
      <c r="F126">
        <v>60000</v>
      </c>
      <c r="G126">
        <v>31000</v>
      </c>
      <c r="H126">
        <f>Table1[[#This Row],[Qty]]*Table1[[#This Row],[SellingPrice]]</f>
        <v>60000</v>
      </c>
      <c r="I126">
        <f>Table1[[#This Row],[Qty]]*Table1[[#This Row],[CostPrice]]</f>
        <v>31000</v>
      </c>
      <c r="J126">
        <v>28797</v>
      </c>
      <c r="K126">
        <v>202.99999999999997</v>
      </c>
      <c r="L126" t="s">
        <v>12</v>
      </c>
      <c r="M126" t="s">
        <v>30</v>
      </c>
      <c r="N126">
        <f>MONTH(Table1[[#This Row],[SaleDate]])</f>
        <v>1</v>
      </c>
      <c r="O126" t="str">
        <f>TEXT(Table1[[#This Row],[SaleDate]],"MMM")</f>
        <v>Jan</v>
      </c>
    </row>
    <row r="127" spans="1:15">
      <c r="A127" s="1">
        <v>44946</v>
      </c>
      <c r="B127" t="s">
        <v>25</v>
      </c>
      <c r="C127" t="s">
        <v>21</v>
      </c>
      <c r="D127">
        <v>1</v>
      </c>
      <c r="E127" t="s">
        <v>9</v>
      </c>
      <c r="F127">
        <v>60000</v>
      </c>
      <c r="G127">
        <v>31000</v>
      </c>
      <c r="H127">
        <f>Table1[[#This Row],[Qty]]*Table1[[#This Row],[SellingPrice]]</f>
        <v>60000</v>
      </c>
      <c r="I127">
        <f>Table1[[#This Row],[Qty]]*Table1[[#This Row],[CostPrice]]</f>
        <v>31000</v>
      </c>
      <c r="J127">
        <v>28797</v>
      </c>
      <c r="K127">
        <v>202.99999999999997</v>
      </c>
      <c r="L127" t="s">
        <v>13</v>
      </c>
      <c r="M127" t="s">
        <v>29</v>
      </c>
      <c r="N127">
        <f>MONTH(Table1[[#This Row],[SaleDate]])</f>
        <v>1</v>
      </c>
      <c r="O127" t="str">
        <f>TEXT(Table1[[#This Row],[SaleDate]],"MMM")</f>
        <v>Jan</v>
      </c>
    </row>
    <row r="128" spans="1:15">
      <c r="A128" s="1">
        <v>44947</v>
      </c>
      <c r="B128" t="s">
        <v>23</v>
      </c>
      <c r="C128" t="s">
        <v>19</v>
      </c>
      <c r="D128">
        <v>1</v>
      </c>
      <c r="E128" t="s">
        <v>7</v>
      </c>
      <c r="F128">
        <v>33000</v>
      </c>
      <c r="G128">
        <v>18000</v>
      </c>
      <c r="H128">
        <f>Table1[[#This Row],[Qty]]*Table1[[#This Row],[SellingPrice]]</f>
        <v>33000</v>
      </c>
      <c r="I128">
        <f>Table1[[#This Row],[Qty]]*Table1[[#This Row],[CostPrice]]</f>
        <v>18000</v>
      </c>
      <c r="J128">
        <v>14895</v>
      </c>
      <c r="K128">
        <v>104.99999999999999</v>
      </c>
      <c r="L128" t="s">
        <v>8</v>
      </c>
      <c r="M128" t="s">
        <v>29</v>
      </c>
      <c r="N128">
        <f>MONTH(Table1[[#This Row],[SaleDate]])</f>
        <v>1</v>
      </c>
      <c r="O128" t="str">
        <f>TEXT(Table1[[#This Row],[SaleDate]],"MMM")</f>
        <v>Jan</v>
      </c>
    </row>
    <row r="129" spans="1:15">
      <c r="A129" s="1">
        <v>44947</v>
      </c>
      <c r="B129" t="s">
        <v>24</v>
      </c>
      <c r="C129" t="s">
        <v>22</v>
      </c>
      <c r="D129">
        <v>1</v>
      </c>
      <c r="E129" t="s">
        <v>7</v>
      </c>
      <c r="F129">
        <v>33000</v>
      </c>
      <c r="G129">
        <v>18000</v>
      </c>
      <c r="H129">
        <f>Table1[[#This Row],[Qty]]*Table1[[#This Row],[SellingPrice]]</f>
        <v>33000</v>
      </c>
      <c r="I129">
        <f>Table1[[#This Row],[Qty]]*Table1[[#This Row],[CostPrice]]</f>
        <v>18000</v>
      </c>
      <c r="J129">
        <v>14895</v>
      </c>
      <c r="K129">
        <v>104.99999999999999</v>
      </c>
      <c r="L129" t="s">
        <v>12</v>
      </c>
      <c r="M129" t="s">
        <v>30</v>
      </c>
      <c r="N129">
        <f>MONTH(Table1[[#This Row],[SaleDate]])</f>
        <v>1</v>
      </c>
      <c r="O129" t="str">
        <f>TEXT(Table1[[#This Row],[SaleDate]],"MMM")</f>
        <v>Jan</v>
      </c>
    </row>
    <row r="130" spans="1:15">
      <c r="A130" s="1">
        <v>44948</v>
      </c>
      <c r="B130" t="s">
        <v>23</v>
      </c>
      <c r="C130" t="s">
        <v>19</v>
      </c>
      <c r="D130">
        <v>1</v>
      </c>
      <c r="E130" t="s">
        <v>7</v>
      </c>
      <c r="F130">
        <v>33000</v>
      </c>
      <c r="G130">
        <v>18000</v>
      </c>
      <c r="H130">
        <f>Table1[[#This Row],[Qty]]*Table1[[#This Row],[SellingPrice]]</f>
        <v>33000</v>
      </c>
      <c r="I130">
        <f>Table1[[#This Row],[Qty]]*Table1[[#This Row],[CostPrice]]</f>
        <v>18000</v>
      </c>
      <c r="J130">
        <v>14895</v>
      </c>
      <c r="K130">
        <v>104.99999999999999</v>
      </c>
      <c r="L130" t="s">
        <v>8</v>
      </c>
      <c r="M130" t="s">
        <v>29</v>
      </c>
      <c r="N130">
        <f>MONTH(Table1[[#This Row],[SaleDate]])</f>
        <v>1</v>
      </c>
      <c r="O130" t="str">
        <f>TEXT(Table1[[#This Row],[SaleDate]],"MMM")</f>
        <v>Jan</v>
      </c>
    </row>
    <row r="131" spans="1:15">
      <c r="A131" s="1">
        <v>44948</v>
      </c>
      <c r="B131" t="s">
        <v>24</v>
      </c>
      <c r="C131" t="s">
        <v>22</v>
      </c>
      <c r="D131">
        <v>1</v>
      </c>
      <c r="E131" t="s">
        <v>7</v>
      </c>
      <c r="F131">
        <v>33000</v>
      </c>
      <c r="G131">
        <v>18000</v>
      </c>
      <c r="H131">
        <f>Table1[[#This Row],[Qty]]*Table1[[#This Row],[SellingPrice]]</f>
        <v>33000</v>
      </c>
      <c r="I131">
        <f>Table1[[#This Row],[Qty]]*Table1[[#This Row],[CostPrice]]</f>
        <v>18000</v>
      </c>
      <c r="J131">
        <v>14895</v>
      </c>
      <c r="K131">
        <v>104.99999999999999</v>
      </c>
      <c r="L131" t="s">
        <v>12</v>
      </c>
      <c r="M131" t="s">
        <v>30</v>
      </c>
      <c r="N131">
        <f>MONTH(Table1[[#This Row],[SaleDate]])</f>
        <v>1</v>
      </c>
      <c r="O131" t="str">
        <f>TEXT(Table1[[#This Row],[SaleDate]],"MMM")</f>
        <v>Jan</v>
      </c>
    </row>
    <row r="132" spans="1:15">
      <c r="A132" s="1">
        <v>44949</v>
      </c>
      <c r="B132" t="s">
        <v>23</v>
      </c>
      <c r="C132" t="s">
        <v>19</v>
      </c>
      <c r="D132">
        <v>1</v>
      </c>
      <c r="E132" t="s">
        <v>7</v>
      </c>
      <c r="F132">
        <v>33000</v>
      </c>
      <c r="G132">
        <v>18000</v>
      </c>
      <c r="H132">
        <f>Table1[[#This Row],[Qty]]*Table1[[#This Row],[SellingPrice]]</f>
        <v>33000</v>
      </c>
      <c r="I132">
        <f>Table1[[#This Row],[Qty]]*Table1[[#This Row],[CostPrice]]</f>
        <v>18000</v>
      </c>
      <c r="J132">
        <v>14895</v>
      </c>
      <c r="K132">
        <v>104.99999999999999</v>
      </c>
      <c r="L132" t="s">
        <v>8</v>
      </c>
      <c r="M132" t="s">
        <v>27</v>
      </c>
      <c r="N132">
        <f>MONTH(Table1[[#This Row],[SaleDate]])</f>
        <v>1</v>
      </c>
      <c r="O132" t="str">
        <f>TEXT(Table1[[#This Row],[SaleDate]],"MMM")</f>
        <v>Jan</v>
      </c>
    </row>
    <row r="133" spans="1:15">
      <c r="A133" s="1">
        <v>44949</v>
      </c>
      <c r="B133" t="s">
        <v>24</v>
      </c>
      <c r="C133" t="s">
        <v>22</v>
      </c>
      <c r="D133">
        <v>1</v>
      </c>
      <c r="E133" t="s">
        <v>7</v>
      </c>
      <c r="F133">
        <v>33000</v>
      </c>
      <c r="G133">
        <v>18000</v>
      </c>
      <c r="H133">
        <f>Table1[[#This Row],[Qty]]*Table1[[#This Row],[SellingPrice]]</f>
        <v>33000</v>
      </c>
      <c r="I133">
        <f>Table1[[#This Row],[Qty]]*Table1[[#This Row],[CostPrice]]</f>
        <v>18000</v>
      </c>
      <c r="J133">
        <v>14895</v>
      </c>
      <c r="K133">
        <v>104.99999999999999</v>
      </c>
      <c r="L133" t="s">
        <v>12</v>
      </c>
      <c r="M133" t="s">
        <v>30</v>
      </c>
      <c r="N133">
        <f>MONTH(Table1[[#This Row],[SaleDate]])</f>
        <v>1</v>
      </c>
      <c r="O133" t="str">
        <f>TEXT(Table1[[#This Row],[SaleDate]],"MMM")</f>
        <v>Jan</v>
      </c>
    </row>
    <row r="134" spans="1:15">
      <c r="A134" s="1">
        <v>44950</v>
      </c>
      <c r="B134" t="s">
        <v>23</v>
      </c>
      <c r="C134" t="s">
        <v>19</v>
      </c>
      <c r="D134">
        <v>1</v>
      </c>
      <c r="E134" t="s">
        <v>7</v>
      </c>
      <c r="F134">
        <v>33000</v>
      </c>
      <c r="G134">
        <v>18000</v>
      </c>
      <c r="H134">
        <f>Table1[[#This Row],[Qty]]*Table1[[#This Row],[SellingPrice]]</f>
        <v>33000</v>
      </c>
      <c r="I134">
        <f>Table1[[#This Row],[Qty]]*Table1[[#This Row],[CostPrice]]</f>
        <v>18000</v>
      </c>
      <c r="J134">
        <v>14895</v>
      </c>
      <c r="K134">
        <v>104.99999999999999</v>
      </c>
      <c r="L134" t="s">
        <v>8</v>
      </c>
      <c r="M134" t="s">
        <v>30</v>
      </c>
      <c r="N134">
        <f>MONTH(Table1[[#This Row],[SaleDate]])</f>
        <v>1</v>
      </c>
      <c r="O134" t="str">
        <f>TEXT(Table1[[#This Row],[SaleDate]],"MMM")</f>
        <v>Jan</v>
      </c>
    </row>
    <row r="135" spans="1:15">
      <c r="A135" s="1">
        <v>44950</v>
      </c>
      <c r="B135" t="s">
        <v>23</v>
      </c>
      <c r="C135" t="s">
        <v>19</v>
      </c>
      <c r="D135">
        <v>1</v>
      </c>
      <c r="E135" t="s">
        <v>9</v>
      </c>
      <c r="F135">
        <v>60000</v>
      </c>
      <c r="G135">
        <v>31000</v>
      </c>
      <c r="H135">
        <f>Table1[[#This Row],[Qty]]*Table1[[#This Row],[SellingPrice]]</f>
        <v>60000</v>
      </c>
      <c r="I135">
        <f>Table1[[#This Row],[Qty]]*Table1[[#This Row],[CostPrice]]</f>
        <v>31000</v>
      </c>
      <c r="J135">
        <v>28797</v>
      </c>
      <c r="K135">
        <v>202.99999999999997</v>
      </c>
      <c r="L135" t="s">
        <v>8</v>
      </c>
      <c r="M135" t="s">
        <v>27</v>
      </c>
      <c r="N135">
        <f>MONTH(Table1[[#This Row],[SaleDate]])</f>
        <v>1</v>
      </c>
      <c r="O135" t="str">
        <f>TEXT(Table1[[#This Row],[SaleDate]],"MMM")</f>
        <v>Jan</v>
      </c>
    </row>
    <row r="136" spans="1:15">
      <c r="A136" s="1">
        <v>44950</v>
      </c>
      <c r="B136" t="s">
        <v>24</v>
      </c>
      <c r="C136" t="s">
        <v>22</v>
      </c>
      <c r="D136">
        <v>1</v>
      </c>
      <c r="E136" t="s">
        <v>7</v>
      </c>
      <c r="F136">
        <v>33000</v>
      </c>
      <c r="G136">
        <v>18000</v>
      </c>
      <c r="H136">
        <f>Table1[[#This Row],[Qty]]*Table1[[#This Row],[SellingPrice]]</f>
        <v>33000</v>
      </c>
      <c r="I136">
        <f>Table1[[#This Row],[Qty]]*Table1[[#This Row],[CostPrice]]</f>
        <v>18000</v>
      </c>
      <c r="J136">
        <v>14895</v>
      </c>
      <c r="K136">
        <v>104.99999999999999</v>
      </c>
      <c r="L136" t="s">
        <v>12</v>
      </c>
      <c r="M136" t="s">
        <v>27</v>
      </c>
      <c r="N136">
        <f>MONTH(Table1[[#This Row],[SaleDate]])</f>
        <v>1</v>
      </c>
      <c r="O136" t="str">
        <f>TEXT(Table1[[#This Row],[SaleDate]],"MMM")</f>
        <v>Jan</v>
      </c>
    </row>
    <row r="137" spans="1:15">
      <c r="A137" s="1">
        <v>44950</v>
      </c>
      <c r="B137" t="s">
        <v>24</v>
      </c>
      <c r="C137" t="s">
        <v>22</v>
      </c>
      <c r="D137">
        <v>1</v>
      </c>
      <c r="E137" t="s">
        <v>9</v>
      </c>
      <c r="F137">
        <v>60000</v>
      </c>
      <c r="G137">
        <v>31000</v>
      </c>
      <c r="H137">
        <f>Table1[[#This Row],[Qty]]*Table1[[#This Row],[SellingPrice]]</f>
        <v>60000</v>
      </c>
      <c r="I137">
        <f>Table1[[#This Row],[Qty]]*Table1[[#This Row],[CostPrice]]</f>
        <v>31000</v>
      </c>
      <c r="J137">
        <v>28797</v>
      </c>
      <c r="K137">
        <v>202.99999999999997</v>
      </c>
      <c r="L137" t="s">
        <v>12</v>
      </c>
      <c r="M137" t="s">
        <v>27</v>
      </c>
      <c r="N137">
        <f>MONTH(Table1[[#This Row],[SaleDate]])</f>
        <v>1</v>
      </c>
      <c r="O137" t="str">
        <f>TEXT(Table1[[#This Row],[SaleDate]],"MMM")</f>
        <v>Jan</v>
      </c>
    </row>
    <row r="138" spans="1:15">
      <c r="A138" s="1">
        <v>44950</v>
      </c>
      <c r="B138" t="s">
        <v>25</v>
      </c>
      <c r="C138" t="s">
        <v>21</v>
      </c>
      <c r="D138">
        <v>1</v>
      </c>
      <c r="E138" t="s">
        <v>9</v>
      </c>
      <c r="F138">
        <v>60000</v>
      </c>
      <c r="G138">
        <v>31000</v>
      </c>
      <c r="H138">
        <f>Table1[[#This Row],[Qty]]*Table1[[#This Row],[SellingPrice]]</f>
        <v>60000</v>
      </c>
      <c r="I138">
        <f>Table1[[#This Row],[Qty]]*Table1[[#This Row],[CostPrice]]</f>
        <v>31000</v>
      </c>
      <c r="J138">
        <v>28797</v>
      </c>
      <c r="K138">
        <v>202.99999999999997</v>
      </c>
      <c r="L138" t="s">
        <v>13</v>
      </c>
      <c r="M138" t="s">
        <v>30</v>
      </c>
      <c r="N138">
        <f>MONTH(Table1[[#This Row],[SaleDate]])</f>
        <v>1</v>
      </c>
      <c r="O138" t="str">
        <f>TEXT(Table1[[#This Row],[SaleDate]],"MMM")</f>
        <v>Jan</v>
      </c>
    </row>
    <row r="139" spans="1:15">
      <c r="A139" s="1">
        <v>44951</v>
      </c>
      <c r="B139" t="s">
        <v>23</v>
      </c>
      <c r="C139" t="s">
        <v>19</v>
      </c>
      <c r="D139">
        <v>1</v>
      </c>
      <c r="E139" t="s">
        <v>7</v>
      </c>
      <c r="F139">
        <v>33000</v>
      </c>
      <c r="G139">
        <v>18000</v>
      </c>
      <c r="H139">
        <f>Table1[[#This Row],[Qty]]*Table1[[#This Row],[SellingPrice]]</f>
        <v>33000</v>
      </c>
      <c r="I139">
        <f>Table1[[#This Row],[Qty]]*Table1[[#This Row],[CostPrice]]</f>
        <v>18000</v>
      </c>
      <c r="J139">
        <v>14895</v>
      </c>
      <c r="K139">
        <v>104.99999999999999</v>
      </c>
      <c r="L139" t="s">
        <v>8</v>
      </c>
      <c r="M139" t="s">
        <v>30</v>
      </c>
      <c r="N139">
        <f>MONTH(Table1[[#This Row],[SaleDate]])</f>
        <v>1</v>
      </c>
      <c r="O139" t="str">
        <f>TEXT(Table1[[#This Row],[SaleDate]],"MMM")</f>
        <v>Jan</v>
      </c>
    </row>
    <row r="140" spans="1:15">
      <c r="A140" s="1">
        <v>44951</v>
      </c>
      <c r="B140" t="s">
        <v>23</v>
      </c>
      <c r="C140" t="s">
        <v>19</v>
      </c>
      <c r="D140">
        <v>1</v>
      </c>
      <c r="E140" t="s">
        <v>9</v>
      </c>
      <c r="F140">
        <v>60000</v>
      </c>
      <c r="G140">
        <v>31000</v>
      </c>
      <c r="H140">
        <f>Table1[[#This Row],[Qty]]*Table1[[#This Row],[SellingPrice]]</f>
        <v>60000</v>
      </c>
      <c r="I140">
        <f>Table1[[#This Row],[Qty]]*Table1[[#This Row],[CostPrice]]</f>
        <v>31000</v>
      </c>
      <c r="J140">
        <v>28797</v>
      </c>
      <c r="K140">
        <v>202.99999999999997</v>
      </c>
      <c r="L140" t="s">
        <v>8</v>
      </c>
      <c r="M140" t="s">
        <v>28</v>
      </c>
      <c r="N140">
        <f>MONTH(Table1[[#This Row],[SaleDate]])</f>
        <v>1</v>
      </c>
      <c r="O140" t="str">
        <f>TEXT(Table1[[#This Row],[SaleDate]],"MMM")</f>
        <v>Jan</v>
      </c>
    </row>
    <row r="141" spans="1:15">
      <c r="A141" s="1">
        <v>44951</v>
      </c>
      <c r="B141" t="s">
        <v>24</v>
      </c>
      <c r="C141" t="s">
        <v>22</v>
      </c>
      <c r="D141">
        <v>1</v>
      </c>
      <c r="E141" t="s">
        <v>7</v>
      </c>
      <c r="F141">
        <v>33000</v>
      </c>
      <c r="G141">
        <v>18000</v>
      </c>
      <c r="H141">
        <f>Table1[[#This Row],[Qty]]*Table1[[#This Row],[SellingPrice]]</f>
        <v>33000</v>
      </c>
      <c r="I141">
        <f>Table1[[#This Row],[Qty]]*Table1[[#This Row],[CostPrice]]</f>
        <v>18000</v>
      </c>
      <c r="J141">
        <v>14895</v>
      </c>
      <c r="K141">
        <v>104.99999999999999</v>
      </c>
      <c r="L141" t="s">
        <v>12</v>
      </c>
      <c r="M141" t="s">
        <v>30</v>
      </c>
      <c r="N141">
        <f>MONTH(Table1[[#This Row],[SaleDate]])</f>
        <v>1</v>
      </c>
      <c r="O141" t="str">
        <f>TEXT(Table1[[#This Row],[SaleDate]],"MMM")</f>
        <v>Jan</v>
      </c>
    </row>
    <row r="142" spans="1:15">
      <c r="A142" s="1">
        <v>44951</v>
      </c>
      <c r="B142" t="s">
        <v>24</v>
      </c>
      <c r="C142" t="s">
        <v>22</v>
      </c>
      <c r="D142">
        <v>1</v>
      </c>
      <c r="E142" t="s">
        <v>9</v>
      </c>
      <c r="F142">
        <v>60000</v>
      </c>
      <c r="G142">
        <v>31000</v>
      </c>
      <c r="H142">
        <f>Table1[[#This Row],[Qty]]*Table1[[#This Row],[SellingPrice]]</f>
        <v>60000</v>
      </c>
      <c r="I142">
        <f>Table1[[#This Row],[Qty]]*Table1[[#This Row],[CostPrice]]</f>
        <v>31000</v>
      </c>
      <c r="J142">
        <v>28797</v>
      </c>
      <c r="K142">
        <v>202.99999999999997</v>
      </c>
      <c r="L142" t="s">
        <v>12</v>
      </c>
      <c r="M142" t="s">
        <v>27</v>
      </c>
      <c r="N142">
        <f>MONTH(Table1[[#This Row],[SaleDate]])</f>
        <v>1</v>
      </c>
      <c r="O142" t="str">
        <f>TEXT(Table1[[#This Row],[SaleDate]],"MMM")</f>
        <v>Jan</v>
      </c>
    </row>
    <row r="143" spans="1:15">
      <c r="A143" s="1">
        <v>44951</v>
      </c>
      <c r="B143" t="s">
        <v>25</v>
      </c>
      <c r="C143" t="s">
        <v>21</v>
      </c>
      <c r="D143">
        <v>1</v>
      </c>
      <c r="E143" t="s">
        <v>9</v>
      </c>
      <c r="F143">
        <v>60000</v>
      </c>
      <c r="G143">
        <v>31000</v>
      </c>
      <c r="H143">
        <f>Table1[[#This Row],[Qty]]*Table1[[#This Row],[SellingPrice]]</f>
        <v>60000</v>
      </c>
      <c r="I143">
        <f>Table1[[#This Row],[Qty]]*Table1[[#This Row],[CostPrice]]</f>
        <v>31000</v>
      </c>
      <c r="J143">
        <v>28797</v>
      </c>
      <c r="K143">
        <v>202.99999999999997</v>
      </c>
      <c r="L143" t="s">
        <v>13</v>
      </c>
      <c r="M143" t="s">
        <v>29</v>
      </c>
      <c r="N143">
        <f>MONTH(Table1[[#This Row],[SaleDate]])</f>
        <v>1</v>
      </c>
      <c r="O143" t="str">
        <f>TEXT(Table1[[#This Row],[SaleDate]],"MMM")</f>
        <v>Jan</v>
      </c>
    </row>
    <row r="144" spans="1:15">
      <c r="A144" s="1">
        <v>44952</v>
      </c>
      <c r="B144" t="s">
        <v>23</v>
      </c>
      <c r="C144" t="s">
        <v>19</v>
      </c>
      <c r="D144">
        <v>2</v>
      </c>
      <c r="E144" t="s">
        <v>7</v>
      </c>
      <c r="F144">
        <v>33000</v>
      </c>
      <c r="G144">
        <v>18000</v>
      </c>
      <c r="H144">
        <f>Table1[[#This Row],[Qty]]*Table1[[#This Row],[SellingPrice]]</f>
        <v>66000</v>
      </c>
      <c r="I144">
        <f>Table1[[#This Row],[Qty]]*Table1[[#This Row],[CostPrice]]</f>
        <v>36000</v>
      </c>
      <c r="J144">
        <v>29790</v>
      </c>
      <c r="K144">
        <v>209.99999999999997</v>
      </c>
      <c r="L144" t="s">
        <v>8</v>
      </c>
      <c r="M144" t="s">
        <v>29</v>
      </c>
      <c r="N144">
        <f>MONTH(Table1[[#This Row],[SaleDate]])</f>
        <v>1</v>
      </c>
      <c r="O144" t="str">
        <f>TEXT(Table1[[#This Row],[SaleDate]],"MMM")</f>
        <v>Jan</v>
      </c>
    </row>
    <row r="145" spans="1:15">
      <c r="A145" s="1">
        <v>44952</v>
      </c>
      <c r="B145" t="s">
        <v>26</v>
      </c>
      <c r="C145" t="s">
        <v>20</v>
      </c>
      <c r="D145">
        <v>2</v>
      </c>
      <c r="E145" t="s">
        <v>7</v>
      </c>
      <c r="F145">
        <v>33000</v>
      </c>
      <c r="G145">
        <v>18000</v>
      </c>
      <c r="H145">
        <f>Table1[[#This Row],[Qty]]*Table1[[#This Row],[SellingPrice]]</f>
        <v>66000</v>
      </c>
      <c r="I145">
        <f>Table1[[#This Row],[Qty]]*Table1[[#This Row],[CostPrice]]</f>
        <v>36000</v>
      </c>
      <c r="J145">
        <v>29790</v>
      </c>
      <c r="K145">
        <v>209.99999999999997</v>
      </c>
      <c r="L145" t="s">
        <v>11</v>
      </c>
      <c r="M145" t="s">
        <v>27</v>
      </c>
      <c r="N145">
        <f>MONTH(Table1[[#This Row],[SaleDate]])</f>
        <v>1</v>
      </c>
      <c r="O145" t="str">
        <f>TEXT(Table1[[#This Row],[SaleDate]],"MMM")</f>
        <v>Jan</v>
      </c>
    </row>
    <row r="146" spans="1:15">
      <c r="A146" s="1">
        <v>44952</v>
      </c>
      <c r="B146" t="s">
        <v>24</v>
      </c>
      <c r="C146" t="s">
        <v>22</v>
      </c>
      <c r="D146">
        <v>2</v>
      </c>
      <c r="E146" t="s">
        <v>7</v>
      </c>
      <c r="F146">
        <v>33000</v>
      </c>
      <c r="G146">
        <v>18000</v>
      </c>
      <c r="H146">
        <f>Table1[[#This Row],[Qty]]*Table1[[#This Row],[SellingPrice]]</f>
        <v>66000</v>
      </c>
      <c r="I146">
        <f>Table1[[#This Row],[Qty]]*Table1[[#This Row],[CostPrice]]</f>
        <v>36000</v>
      </c>
      <c r="J146">
        <v>29790</v>
      </c>
      <c r="K146">
        <v>209.99999999999997</v>
      </c>
      <c r="L146" t="s">
        <v>12</v>
      </c>
      <c r="M146" t="s">
        <v>29</v>
      </c>
      <c r="N146">
        <f>MONTH(Table1[[#This Row],[SaleDate]])</f>
        <v>1</v>
      </c>
      <c r="O146" t="str">
        <f>TEXT(Table1[[#This Row],[SaleDate]],"MMM")</f>
        <v>Jan</v>
      </c>
    </row>
    <row r="147" spans="1:15">
      <c r="A147" s="1">
        <v>44953</v>
      </c>
      <c r="B147" t="s">
        <v>23</v>
      </c>
      <c r="C147" t="s">
        <v>19</v>
      </c>
      <c r="D147">
        <v>1</v>
      </c>
      <c r="E147" t="s">
        <v>7</v>
      </c>
      <c r="F147">
        <v>33000</v>
      </c>
      <c r="G147">
        <v>18000</v>
      </c>
      <c r="H147">
        <f>Table1[[#This Row],[Qty]]*Table1[[#This Row],[SellingPrice]]</f>
        <v>33000</v>
      </c>
      <c r="I147">
        <f>Table1[[#This Row],[Qty]]*Table1[[#This Row],[CostPrice]]</f>
        <v>18000</v>
      </c>
      <c r="J147">
        <v>14895</v>
      </c>
      <c r="K147">
        <v>104.99999999999999</v>
      </c>
      <c r="L147" t="s">
        <v>8</v>
      </c>
      <c r="M147" t="s">
        <v>29</v>
      </c>
      <c r="N147">
        <f>MONTH(Table1[[#This Row],[SaleDate]])</f>
        <v>1</v>
      </c>
      <c r="O147" t="str">
        <f>TEXT(Table1[[#This Row],[SaleDate]],"MMM")</f>
        <v>Jan</v>
      </c>
    </row>
    <row r="148" spans="1:15">
      <c r="A148" s="1">
        <v>44953</v>
      </c>
      <c r="B148" t="s">
        <v>23</v>
      </c>
      <c r="C148" t="s">
        <v>19</v>
      </c>
      <c r="D148">
        <v>1</v>
      </c>
      <c r="E148" t="s">
        <v>9</v>
      </c>
      <c r="F148">
        <v>60000</v>
      </c>
      <c r="G148">
        <v>31000</v>
      </c>
      <c r="H148">
        <f>Table1[[#This Row],[Qty]]*Table1[[#This Row],[SellingPrice]]</f>
        <v>60000</v>
      </c>
      <c r="I148">
        <f>Table1[[#This Row],[Qty]]*Table1[[#This Row],[CostPrice]]</f>
        <v>31000</v>
      </c>
      <c r="J148">
        <v>28797</v>
      </c>
      <c r="K148">
        <v>202.99999999999997</v>
      </c>
      <c r="L148" t="s">
        <v>8</v>
      </c>
      <c r="M148" t="s">
        <v>30</v>
      </c>
      <c r="N148">
        <f>MONTH(Table1[[#This Row],[SaleDate]])</f>
        <v>1</v>
      </c>
      <c r="O148" t="str">
        <f>TEXT(Table1[[#This Row],[SaleDate]],"MMM")</f>
        <v>Jan</v>
      </c>
    </row>
    <row r="149" spans="1:15">
      <c r="A149" s="1">
        <v>44953</v>
      </c>
      <c r="B149" t="s">
        <v>26</v>
      </c>
      <c r="C149" t="s">
        <v>20</v>
      </c>
      <c r="D149">
        <v>1</v>
      </c>
      <c r="E149" t="s">
        <v>7</v>
      </c>
      <c r="F149">
        <v>33000</v>
      </c>
      <c r="G149">
        <v>18000</v>
      </c>
      <c r="H149">
        <f>Table1[[#This Row],[Qty]]*Table1[[#This Row],[SellingPrice]]</f>
        <v>33000</v>
      </c>
      <c r="I149">
        <f>Table1[[#This Row],[Qty]]*Table1[[#This Row],[CostPrice]]</f>
        <v>18000</v>
      </c>
      <c r="J149">
        <v>14895</v>
      </c>
      <c r="K149">
        <v>104.99999999999999</v>
      </c>
      <c r="L149" t="s">
        <v>11</v>
      </c>
      <c r="M149" t="s">
        <v>30</v>
      </c>
      <c r="N149">
        <f>MONTH(Table1[[#This Row],[SaleDate]])</f>
        <v>1</v>
      </c>
      <c r="O149" t="str">
        <f>TEXT(Table1[[#This Row],[SaleDate]],"MMM")</f>
        <v>Jan</v>
      </c>
    </row>
    <row r="150" spans="1:15">
      <c r="A150" s="1">
        <v>44953</v>
      </c>
      <c r="B150" t="s">
        <v>24</v>
      </c>
      <c r="C150" t="s">
        <v>22</v>
      </c>
      <c r="D150">
        <v>1</v>
      </c>
      <c r="E150" t="s">
        <v>7</v>
      </c>
      <c r="F150">
        <v>33000</v>
      </c>
      <c r="G150">
        <v>18000</v>
      </c>
      <c r="H150">
        <f>Table1[[#This Row],[Qty]]*Table1[[#This Row],[SellingPrice]]</f>
        <v>33000</v>
      </c>
      <c r="I150">
        <f>Table1[[#This Row],[Qty]]*Table1[[#This Row],[CostPrice]]</f>
        <v>18000</v>
      </c>
      <c r="J150">
        <v>14895</v>
      </c>
      <c r="K150">
        <v>104.99999999999999</v>
      </c>
      <c r="L150" t="s">
        <v>12</v>
      </c>
      <c r="M150" t="s">
        <v>30</v>
      </c>
      <c r="N150">
        <f>MONTH(Table1[[#This Row],[SaleDate]])</f>
        <v>1</v>
      </c>
      <c r="O150" t="str">
        <f>TEXT(Table1[[#This Row],[SaleDate]],"MMM")</f>
        <v>Jan</v>
      </c>
    </row>
    <row r="151" spans="1:15">
      <c r="A151" s="1">
        <v>44953</v>
      </c>
      <c r="B151" t="s">
        <v>24</v>
      </c>
      <c r="C151" t="s">
        <v>22</v>
      </c>
      <c r="D151">
        <v>1</v>
      </c>
      <c r="E151" t="s">
        <v>9</v>
      </c>
      <c r="F151">
        <v>60000</v>
      </c>
      <c r="G151">
        <v>31000</v>
      </c>
      <c r="H151">
        <f>Table1[[#This Row],[Qty]]*Table1[[#This Row],[SellingPrice]]</f>
        <v>60000</v>
      </c>
      <c r="I151">
        <f>Table1[[#This Row],[Qty]]*Table1[[#This Row],[CostPrice]]</f>
        <v>31000</v>
      </c>
      <c r="J151">
        <v>28797</v>
      </c>
      <c r="K151">
        <v>202.99999999999997</v>
      </c>
      <c r="L151" t="s">
        <v>12</v>
      </c>
      <c r="M151" t="s">
        <v>28</v>
      </c>
      <c r="N151">
        <f>MONTH(Table1[[#This Row],[SaleDate]])</f>
        <v>1</v>
      </c>
      <c r="O151" t="str">
        <f>TEXT(Table1[[#This Row],[SaleDate]],"MMM")</f>
        <v>Jan</v>
      </c>
    </row>
    <row r="152" spans="1:15">
      <c r="A152" s="1">
        <v>44953</v>
      </c>
      <c r="B152" t="s">
        <v>25</v>
      </c>
      <c r="C152" t="s">
        <v>21</v>
      </c>
      <c r="D152">
        <v>1</v>
      </c>
      <c r="E152" t="s">
        <v>9</v>
      </c>
      <c r="F152">
        <v>60000</v>
      </c>
      <c r="G152">
        <v>31000</v>
      </c>
      <c r="H152">
        <f>Table1[[#This Row],[Qty]]*Table1[[#This Row],[SellingPrice]]</f>
        <v>60000</v>
      </c>
      <c r="I152">
        <f>Table1[[#This Row],[Qty]]*Table1[[#This Row],[CostPrice]]</f>
        <v>31000</v>
      </c>
      <c r="J152">
        <v>28797</v>
      </c>
      <c r="K152">
        <v>202.99999999999997</v>
      </c>
      <c r="L152" t="s">
        <v>13</v>
      </c>
      <c r="M152" t="s">
        <v>30</v>
      </c>
      <c r="N152">
        <f>MONTH(Table1[[#This Row],[SaleDate]])</f>
        <v>1</v>
      </c>
      <c r="O152" t="str">
        <f>TEXT(Table1[[#This Row],[SaleDate]],"MMM")</f>
        <v>Jan</v>
      </c>
    </row>
    <row r="153" spans="1:15">
      <c r="A153" s="1">
        <v>44954</v>
      </c>
      <c r="B153" t="s">
        <v>23</v>
      </c>
      <c r="C153" t="s">
        <v>19</v>
      </c>
      <c r="D153">
        <v>2</v>
      </c>
      <c r="E153" t="s">
        <v>7</v>
      </c>
      <c r="F153">
        <v>33000</v>
      </c>
      <c r="G153">
        <v>18000</v>
      </c>
      <c r="H153">
        <f>Table1[[#This Row],[Qty]]*Table1[[#This Row],[SellingPrice]]</f>
        <v>66000</v>
      </c>
      <c r="I153">
        <f>Table1[[#This Row],[Qty]]*Table1[[#This Row],[CostPrice]]</f>
        <v>36000</v>
      </c>
      <c r="J153">
        <v>29790</v>
      </c>
      <c r="K153">
        <v>209.99999999999997</v>
      </c>
      <c r="L153" t="s">
        <v>8</v>
      </c>
      <c r="M153" t="s">
        <v>28</v>
      </c>
      <c r="N153">
        <f>MONTH(Table1[[#This Row],[SaleDate]])</f>
        <v>1</v>
      </c>
      <c r="O153" t="str">
        <f>TEXT(Table1[[#This Row],[SaleDate]],"MMM")</f>
        <v>Jan</v>
      </c>
    </row>
    <row r="154" spans="1:15">
      <c r="A154" s="1">
        <v>44954</v>
      </c>
      <c r="B154" t="s">
        <v>26</v>
      </c>
      <c r="C154" t="s">
        <v>20</v>
      </c>
      <c r="D154">
        <v>2</v>
      </c>
      <c r="E154" t="s">
        <v>7</v>
      </c>
      <c r="F154">
        <v>33000</v>
      </c>
      <c r="G154">
        <v>18000</v>
      </c>
      <c r="H154">
        <f>Table1[[#This Row],[Qty]]*Table1[[#This Row],[SellingPrice]]</f>
        <v>66000</v>
      </c>
      <c r="I154">
        <f>Table1[[#This Row],[Qty]]*Table1[[#This Row],[CostPrice]]</f>
        <v>36000</v>
      </c>
      <c r="J154">
        <v>29790</v>
      </c>
      <c r="K154">
        <v>209.99999999999997</v>
      </c>
      <c r="L154" t="s">
        <v>11</v>
      </c>
      <c r="M154" t="s">
        <v>30</v>
      </c>
      <c r="N154">
        <f>MONTH(Table1[[#This Row],[SaleDate]])</f>
        <v>1</v>
      </c>
      <c r="O154" t="str">
        <f>TEXT(Table1[[#This Row],[SaleDate]],"MMM")</f>
        <v>Jan</v>
      </c>
    </row>
    <row r="155" spans="1:15">
      <c r="A155" s="1">
        <v>44954</v>
      </c>
      <c r="B155" t="s">
        <v>24</v>
      </c>
      <c r="C155" t="s">
        <v>22</v>
      </c>
      <c r="D155">
        <v>2</v>
      </c>
      <c r="E155" t="s">
        <v>7</v>
      </c>
      <c r="F155">
        <v>33000</v>
      </c>
      <c r="G155">
        <v>18000</v>
      </c>
      <c r="H155">
        <f>Table1[[#This Row],[Qty]]*Table1[[#This Row],[SellingPrice]]</f>
        <v>66000</v>
      </c>
      <c r="I155">
        <f>Table1[[#This Row],[Qty]]*Table1[[#This Row],[CostPrice]]</f>
        <v>36000</v>
      </c>
      <c r="J155">
        <v>29790</v>
      </c>
      <c r="K155">
        <v>209.99999999999997</v>
      </c>
      <c r="L155" t="s">
        <v>12</v>
      </c>
      <c r="M155" t="s">
        <v>29</v>
      </c>
      <c r="N155">
        <f>MONTH(Table1[[#This Row],[SaleDate]])</f>
        <v>1</v>
      </c>
      <c r="O155" t="str">
        <f>TEXT(Table1[[#This Row],[SaleDate]],"MMM")</f>
        <v>Jan</v>
      </c>
    </row>
    <row r="156" spans="1:15">
      <c r="A156" s="1">
        <v>44955</v>
      </c>
      <c r="B156" t="s">
        <v>23</v>
      </c>
      <c r="C156" t="s">
        <v>19</v>
      </c>
      <c r="D156">
        <v>1</v>
      </c>
      <c r="E156" t="s">
        <v>7</v>
      </c>
      <c r="F156">
        <v>33000</v>
      </c>
      <c r="G156">
        <v>18000</v>
      </c>
      <c r="H156">
        <f>Table1[[#This Row],[Qty]]*Table1[[#This Row],[SellingPrice]]</f>
        <v>33000</v>
      </c>
      <c r="I156">
        <f>Table1[[#This Row],[Qty]]*Table1[[#This Row],[CostPrice]]</f>
        <v>18000</v>
      </c>
      <c r="J156">
        <v>14895</v>
      </c>
      <c r="K156">
        <v>104.99999999999999</v>
      </c>
      <c r="L156" t="s">
        <v>8</v>
      </c>
      <c r="M156" t="s">
        <v>29</v>
      </c>
      <c r="N156">
        <f>MONTH(Table1[[#This Row],[SaleDate]])</f>
        <v>1</v>
      </c>
      <c r="O156" t="str">
        <f>TEXT(Table1[[#This Row],[SaleDate]],"MMM")</f>
        <v>Jan</v>
      </c>
    </row>
    <row r="157" spans="1:15">
      <c r="A157" s="1">
        <v>44955</v>
      </c>
      <c r="B157" t="s">
        <v>23</v>
      </c>
      <c r="C157" t="s">
        <v>19</v>
      </c>
      <c r="D157">
        <v>1</v>
      </c>
      <c r="E157" t="s">
        <v>9</v>
      </c>
      <c r="F157">
        <v>60000</v>
      </c>
      <c r="G157">
        <v>31000</v>
      </c>
      <c r="H157">
        <f>Table1[[#This Row],[Qty]]*Table1[[#This Row],[SellingPrice]]</f>
        <v>60000</v>
      </c>
      <c r="I157">
        <f>Table1[[#This Row],[Qty]]*Table1[[#This Row],[CostPrice]]</f>
        <v>31000</v>
      </c>
      <c r="J157">
        <v>28797</v>
      </c>
      <c r="K157">
        <v>202.99999999999997</v>
      </c>
      <c r="L157" t="s">
        <v>8</v>
      </c>
      <c r="M157" t="s">
        <v>29</v>
      </c>
      <c r="N157">
        <f>MONTH(Table1[[#This Row],[SaleDate]])</f>
        <v>1</v>
      </c>
      <c r="O157" t="str">
        <f>TEXT(Table1[[#This Row],[SaleDate]],"MMM")</f>
        <v>Jan</v>
      </c>
    </row>
    <row r="158" spans="1:15">
      <c r="A158" s="1">
        <v>44955</v>
      </c>
      <c r="B158" t="s">
        <v>23</v>
      </c>
      <c r="C158" t="s">
        <v>19</v>
      </c>
      <c r="D158">
        <v>1</v>
      </c>
      <c r="E158" t="s">
        <v>10</v>
      </c>
      <c r="F158">
        <v>89000</v>
      </c>
      <c r="G158">
        <v>65000</v>
      </c>
      <c r="H158">
        <f>Table1[[#This Row],[Qty]]*Table1[[#This Row],[SellingPrice]]</f>
        <v>89000</v>
      </c>
      <c r="I158">
        <f>Table1[[#This Row],[Qty]]*Table1[[#This Row],[CostPrice]]</f>
        <v>65000</v>
      </c>
      <c r="J158">
        <v>23832</v>
      </c>
      <c r="K158">
        <v>167.99999999999997</v>
      </c>
      <c r="L158" t="s">
        <v>8</v>
      </c>
      <c r="M158" t="s">
        <v>30</v>
      </c>
      <c r="N158">
        <f>MONTH(Table1[[#This Row],[SaleDate]])</f>
        <v>1</v>
      </c>
      <c r="O158" t="str">
        <f>TEXT(Table1[[#This Row],[SaleDate]],"MMM")</f>
        <v>Jan</v>
      </c>
    </row>
    <row r="159" spans="1:15">
      <c r="A159" s="1">
        <v>44955</v>
      </c>
      <c r="B159" t="s">
        <v>26</v>
      </c>
      <c r="C159" t="s">
        <v>20</v>
      </c>
      <c r="D159">
        <v>1</v>
      </c>
      <c r="E159" t="s">
        <v>7</v>
      </c>
      <c r="F159">
        <v>33000</v>
      </c>
      <c r="G159">
        <v>18000</v>
      </c>
      <c r="H159">
        <f>Table1[[#This Row],[Qty]]*Table1[[#This Row],[SellingPrice]]</f>
        <v>33000</v>
      </c>
      <c r="I159">
        <f>Table1[[#This Row],[Qty]]*Table1[[#This Row],[CostPrice]]</f>
        <v>18000</v>
      </c>
      <c r="J159">
        <v>14895</v>
      </c>
      <c r="K159">
        <v>104.99999999999999</v>
      </c>
      <c r="L159" t="s">
        <v>11</v>
      </c>
      <c r="M159" t="s">
        <v>29</v>
      </c>
      <c r="N159">
        <f>MONTH(Table1[[#This Row],[SaleDate]])</f>
        <v>1</v>
      </c>
      <c r="O159" t="str">
        <f>TEXT(Table1[[#This Row],[SaleDate]],"MMM")</f>
        <v>Jan</v>
      </c>
    </row>
    <row r="160" spans="1:15">
      <c r="A160" s="1">
        <v>44955</v>
      </c>
      <c r="B160" t="s">
        <v>24</v>
      </c>
      <c r="C160" t="s">
        <v>22</v>
      </c>
      <c r="D160">
        <v>1</v>
      </c>
      <c r="E160" t="s">
        <v>7</v>
      </c>
      <c r="F160">
        <v>33000</v>
      </c>
      <c r="G160">
        <v>18000</v>
      </c>
      <c r="H160">
        <f>Table1[[#This Row],[Qty]]*Table1[[#This Row],[SellingPrice]]</f>
        <v>33000</v>
      </c>
      <c r="I160">
        <f>Table1[[#This Row],[Qty]]*Table1[[#This Row],[CostPrice]]</f>
        <v>18000</v>
      </c>
      <c r="J160">
        <v>14895</v>
      </c>
      <c r="K160">
        <v>104.99999999999999</v>
      </c>
      <c r="L160" t="s">
        <v>12</v>
      </c>
      <c r="M160" t="s">
        <v>27</v>
      </c>
      <c r="N160">
        <f>MONTH(Table1[[#This Row],[SaleDate]])</f>
        <v>1</v>
      </c>
      <c r="O160" t="str">
        <f>TEXT(Table1[[#This Row],[SaleDate]],"MMM")</f>
        <v>Jan</v>
      </c>
    </row>
    <row r="161" spans="1:15">
      <c r="A161" s="1">
        <v>44955</v>
      </c>
      <c r="B161" t="s">
        <v>24</v>
      </c>
      <c r="C161" t="s">
        <v>22</v>
      </c>
      <c r="D161">
        <v>1</v>
      </c>
      <c r="E161" t="s">
        <v>9</v>
      </c>
      <c r="F161">
        <v>60000</v>
      </c>
      <c r="G161">
        <v>31000</v>
      </c>
      <c r="H161">
        <f>Table1[[#This Row],[Qty]]*Table1[[#This Row],[SellingPrice]]</f>
        <v>60000</v>
      </c>
      <c r="I161">
        <f>Table1[[#This Row],[Qty]]*Table1[[#This Row],[CostPrice]]</f>
        <v>31000</v>
      </c>
      <c r="J161">
        <v>28797</v>
      </c>
      <c r="K161">
        <v>202.99999999999997</v>
      </c>
      <c r="L161" t="s">
        <v>12</v>
      </c>
      <c r="M161" t="s">
        <v>27</v>
      </c>
      <c r="N161">
        <f>MONTH(Table1[[#This Row],[SaleDate]])</f>
        <v>1</v>
      </c>
      <c r="O161" t="str">
        <f>TEXT(Table1[[#This Row],[SaleDate]],"MMM")</f>
        <v>Jan</v>
      </c>
    </row>
    <row r="162" spans="1:15">
      <c r="A162" s="1">
        <v>44955</v>
      </c>
      <c r="B162" t="s">
        <v>24</v>
      </c>
      <c r="C162" t="s">
        <v>22</v>
      </c>
      <c r="D162">
        <v>1</v>
      </c>
      <c r="E162" t="s">
        <v>10</v>
      </c>
      <c r="F162">
        <v>89000</v>
      </c>
      <c r="G162">
        <v>65000</v>
      </c>
      <c r="H162">
        <f>Table1[[#This Row],[Qty]]*Table1[[#This Row],[SellingPrice]]</f>
        <v>89000</v>
      </c>
      <c r="I162">
        <f>Table1[[#This Row],[Qty]]*Table1[[#This Row],[CostPrice]]</f>
        <v>65000</v>
      </c>
      <c r="J162">
        <v>23832</v>
      </c>
      <c r="K162">
        <v>167.99999999999997</v>
      </c>
      <c r="L162" t="s">
        <v>12</v>
      </c>
      <c r="M162" t="s">
        <v>30</v>
      </c>
      <c r="N162">
        <f>MONTH(Table1[[#This Row],[SaleDate]])</f>
        <v>1</v>
      </c>
      <c r="O162" t="str">
        <f>TEXT(Table1[[#This Row],[SaleDate]],"MMM")</f>
        <v>Jan</v>
      </c>
    </row>
    <row r="163" spans="1:15">
      <c r="A163" s="1">
        <v>44955</v>
      </c>
      <c r="B163" t="s">
        <v>25</v>
      </c>
      <c r="C163" t="s">
        <v>21</v>
      </c>
      <c r="D163">
        <v>1</v>
      </c>
      <c r="E163" t="s">
        <v>9</v>
      </c>
      <c r="F163">
        <v>60000</v>
      </c>
      <c r="G163">
        <v>31000</v>
      </c>
      <c r="H163">
        <f>Table1[[#This Row],[Qty]]*Table1[[#This Row],[SellingPrice]]</f>
        <v>60000</v>
      </c>
      <c r="I163">
        <f>Table1[[#This Row],[Qty]]*Table1[[#This Row],[CostPrice]]</f>
        <v>31000</v>
      </c>
      <c r="J163">
        <v>28797</v>
      </c>
      <c r="K163">
        <v>202.99999999999997</v>
      </c>
      <c r="L163" t="s">
        <v>13</v>
      </c>
      <c r="M163" t="s">
        <v>29</v>
      </c>
      <c r="N163">
        <f>MONTH(Table1[[#This Row],[SaleDate]])</f>
        <v>1</v>
      </c>
      <c r="O163" t="str">
        <f>TEXT(Table1[[#This Row],[SaleDate]],"MMM")</f>
        <v>Jan</v>
      </c>
    </row>
    <row r="164" spans="1:15">
      <c r="A164" s="1">
        <v>44956</v>
      </c>
      <c r="B164" t="s">
        <v>23</v>
      </c>
      <c r="C164" t="s">
        <v>19</v>
      </c>
      <c r="D164">
        <v>2</v>
      </c>
      <c r="E164" t="s">
        <v>7</v>
      </c>
      <c r="F164">
        <v>33000</v>
      </c>
      <c r="G164">
        <v>18000</v>
      </c>
      <c r="H164">
        <f>Table1[[#This Row],[Qty]]*Table1[[#This Row],[SellingPrice]]</f>
        <v>66000</v>
      </c>
      <c r="I164">
        <f>Table1[[#This Row],[Qty]]*Table1[[#This Row],[CostPrice]]</f>
        <v>36000</v>
      </c>
      <c r="J164">
        <v>29790</v>
      </c>
      <c r="K164">
        <v>209.99999999999997</v>
      </c>
      <c r="L164" t="s">
        <v>8</v>
      </c>
      <c r="M164" t="s">
        <v>29</v>
      </c>
      <c r="N164">
        <f>MONTH(Table1[[#This Row],[SaleDate]])</f>
        <v>1</v>
      </c>
      <c r="O164" t="str">
        <f>TEXT(Table1[[#This Row],[SaleDate]],"MMM")</f>
        <v>Jan</v>
      </c>
    </row>
    <row r="165" spans="1:15">
      <c r="A165" s="1">
        <v>44956</v>
      </c>
      <c r="B165" t="s">
        <v>23</v>
      </c>
      <c r="C165" t="s">
        <v>19</v>
      </c>
      <c r="D165">
        <v>2</v>
      </c>
      <c r="E165" t="s">
        <v>9</v>
      </c>
      <c r="F165">
        <v>60000</v>
      </c>
      <c r="G165">
        <v>31000</v>
      </c>
      <c r="H165">
        <f>Table1[[#This Row],[Qty]]*Table1[[#This Row],[SellingPrice]]</f>
        <v>120000</v>
      </c>
      <c r="I165">
        <f>Table1[[#This Row],[Qty]]*Table1[[#This Row],[CostPrice]]</f>
        <v>62000</v>
      </c>
      <c r="J165">
        <v>57594</v>
      </c>
      <c r="K165">
        <v>405.99999999999994</v>
      </c>
      <c r="L165" t="s">
        <v>8</v>
      </c>
      <c r="M165" t="s">
        <v>30</v>
      </c>
      <c r="N165">
        <f>MONTH(Table1[[#This Row],[SaleDate]])</f>
        <v>1</v>
      </c>
      <c r="O165" t="str">
        <f>TEXT(Table1[[#This Row],[SaleDate]],"MMM")</f>
        <v>Jan</v>
      </c>
    </row>
    <row r="166" spans="1:15">
      <c r="A166" s="1">
        <v>44956</v>
      </c>
      <c r="B166" t="s">
        <v>23</v>
      </c>
      <c r="C166" t="s">
        <v>19</v>
      </c>
      <c r="D166">
        <v>2</v>
      </c>
      <c r="E166" t="s">
        <v>10</v>
      </c>
      <c r="F166">
        <v>89000</v>
      </c>
      <c r="G166">
        <v>65000</v>
      </c>
      <c r="H166">
        <f>Table1[[#This Row],[Qty]]*Table1[[#This Row],[SellingPrice]]</f>
        <v>178000</v>
      </c>
      <c r="I166">
        <f>Table1[[#This Row],[Qty]]*Table1[[#This Row],[CostPrice]]</f>
        <v>130000</v>
      </c>
      <c r="J166">
        <v>47664</v>
      </c>
      <c r="K166">
        <v>335.99999999999994</v>
      </c>
      <c r="L166" t="s">
        <v>8</v>
      </c>
      <c r="M166" t="s">
        <v>29</v>
      </c>
      <c r="N166">
        <f>MONTH(Table1[[#This Row],[SaleDate]])</f>
        <v>1</v>
      </c>
      <c r="O166" t="str">
        <f>TEXT(Table1[[#This Row],[SaleDate]],"MMM")</f>
        <v>Jan</v>
      </c>
    </row>
    <row r="167" spans="1:15">
      <c r="A167" s="1">
        <v>44956</v>
      </c>
      <c r="B167" t="s">
        <v>26</v>
      </c>
      <c r="C167" t="s">
        <v>20</v>
      </c>
      <c r="D167">
        <v>2</v>
      </c>
      <c r="E167" t="s">
        <v>7</v>
      </c>
      <c r="F167">
        <v>33000</v>
      </c>
      <c r="G167">
        <v>18000</v>
      </c>
      <c r="H167">
        <f>Table1[[#This Row],[Qty]]*Table1[[#This Row],[SellingPrice]]</f>
        <v>66000</v>
      </c>
      <c r="I167">
        <f>Table1[[#This Row],[Qty]]*Table1[[#This Row],[CostPrice]]</f>
        <v>36000</v>
      </c>
      <c r="J167">
        <v>29790</v>
      </c>
      <c r="K167">
        <v>209.99999999999997</v>
      </c>
      <c r="L167" t="s">
        <v>11</v>
      </c>
      <c r="M167" t="s">
        <v>29</v>
      </c>
      <c r="N167">
        <f>MONTH(Table1[[#This Row],[SaleDate]])</f>
        <v>1</v>
      </c>
      <c r="O167" t="str">
        <f>TEXT(Table1[[#This Row],[SaleDate]],"MMM")</f>
        <v>Jan</v>
      </c>
    </row>
    <row r="168" spans="1:15">
      <c r="A168" s="1">
        <v>44956</v>
      </c>
      <c r="B168" t="s">
        <v>24</v>
      </c>
      <c r="C168" t="s">
        <v>22</v>
      </c>
      <c r="D168">
        <v>2</v>
      </c>
      <c r="E168" t="s">
        <v>7</v>
      </c>
      <c r="F168">
        <v>33000</v>
      </c>
      <c r="G168">
        <v>18000</v>
      </c>
      <c r="H168">
        <f>Table1[[#This Row],[Qty]]*Table1[[#This Row],[SellingPrice]]</f>
        <v>66000</v>
      </c>
      <c r="I168">
        <f>Table1[[#This Row],[Qty]]*Table1[[#This Row],[CostPrice]]</f>
        <v>36000</v>
      </c>
      <c r="J168">
        <v>29790</v>
      </c>
      <c r="K168">
        <v>209.99999999999997</v>
      </c>
      <c r="L168" t="s">
        <v>12</v>
      </c>
      <c r="M168" t="s">
        <v>29</v>
      </c>
      <c r="N168">
        <f>MONTH(Table1[[#This Row],[SaleDate]])</f>
        <v>1</v>
      </c>
      <c r="O168" t="str">
        <f>TEXT(Table1[[#This Row],[SaleDate]],"MMM")</f>
        <v>Jan</v>
      </c>
    </row>
    <row r="169" spans="1:15">
      <c r="A169" s="1">
        <v>44956</v>
      </c>
      <c r="B169" t="s">
        <v>24</v>
      </c>
      <c r="C169" t="s">
        <v>22</v>
      </c>
      <c r="D169">
        <v>2</v>
      </c>
      <c r="E169" t="s">
        <v>9</v>
      </c>
      <c r="F169">
        <v>60000</v>
      </c>
      <c r="G169">
        <v>31000</v>
      </c>
      <c r="H169">
        <f>Table1[[#This Row],[Qty]]*Table1[[#This Row],[SellingPrice]]</f>
        <v>120000</v>
      </c>
      <c r="I169">
        <f>Table1[[#This Row],[Qty]]*Table1[[#This Row],[CostPrice]]</f>
        <v>62000</v>
      </c>
      <c r="J169">
        <v>57594</v>
      </c>
      <c r="K169">
        <v>405.99999999999994</v>
      </c>
      <c r="L169" t="s">
        <v>12</v>
      </c>
      <c r="M169" t="s">
        <v>30</v>
      </c>
      <c r="N169">
        <f>MONTH(Table1[[#This Row],[SaleDate]])</f>
        <v>1</v>
      </c>
      <c r="O169" t="str">
        <f>TEXT(Table1[[#This Row],[SaleDate]],"MMM")</f>
        <v>Jan</v>
      </c>
    </row>
    <row r="170" spans="1:15">
      <c r="A170" s="1">
        <v>44956</v>
      </c>
      <c r="B170" t="s">
        <v>24</v>
      </c>
      <c r="C170" t="s">
        <v>22</v>
      </c>
      <c r="D170">
        <v>2</v>
      </c>
      <c r="E170" t="s">
        <v>10</v>
      </c>
      <c r="F170">
        <v>89000</v>
      </c>
      <c r="G170">
        <v>65000</v>
      </c>
      <c r="H170">
        <f>Table1[[#This Row],[Qty]]*Table1[[#This Row],[SellingPrice]]</f>
        <v>178000</v>
      </c>
      <c r="I170">
        <f>Table1[[#This Row],[Qty]]*Table1[[#This Row],[CostPrice]]</f>
        <v>130000</v>
      </c>
      <c r="J170">
        <v>47664</v>
      </c>
      <c r="K170">
        <v>335.99999999999994</v>
      </c>
      <c r="L170" t="s">
        <v>12</v>
      </c>
      <c r="M170" t="s">
        <v>29</v>
      </c>
      <c r="N170">
        <f>MONTH(Table1[[#This Row],[SaleDate]])</f>
        <v>1</v>
      </c>
      <c r="O170" t="str">
        <f>TEXT(Table1[[#This Row],[SaleDate]],"MMM")</f>
        <v>Jan</v>
      </c>
    </row>
    <row r="171" spans="1:15">
      <c r="A171" s="1">
        <v>44956</v>
      </c>
      <c r="B171" t="s">
        <v>25</v>
      </c>
      <c r="C171" t="s">
        <v>21</v>
      </c>
      <c r="D171">
        <v>2</v>
      </c>
      <c r="E171" t="s">
        <v>7</v>
      </c>
      <c r="F171">
        <v>33000</v>
      </c>
      <c r="G171">
        <v>18000</v>
      </c>
      <c r="H171">
        <f>Table1[[#This Row],[Qty]]*Table1[[#This Row],[SellingPrice]]</f>
        <v>66000</v>
      </c>
      <c r="I171">
        <f>Table1[[#This Row],[Qty]]*Table1[[#This Row],[CostPrice]]</f>
        <v>36000</v>
      </c>
      <c r="J171">
        <v>29790</v>
      </c>
      <c r="K171">
        <v>209.99999999999997</v>
      </c>
      <c r="L171" t="s">
        <v>13</v>
      </c>
      <c r="M171" t="s">
        <v>27</v>
      </c>
      <c r="N171">
        <f>MONTH(Table1[[#This Row],[SaleDate]])</f>
        <v>1</v>
      </c>
      <c r="O171" t="str">
        <f>TEXT(Table1[[#This Row],[SaleDate]],"MMM")</f>
        <v>Jan</v>
      </c>
    </row>
    <row r="172" spans="1:15">
      <c r="A172" s="1">
        <v>44956</v>
      </c>
      <c r="B172" t="s">
        <v>25</v>
      </c>
      <c r="C172" t="s">
        <v>21</v>
      </c>
      <c r="D172">
        <v>2</v>
      </c>
      <c r="E172" t="s">
        <v>9</v>
      </c>
      <c r="F172">
        <v>60000</v>
      </c>
      <c r="G172">
        <v>31000</v>
      </c>
      <c r="H172">
        <f>Table1[[#This Row],[Qty]]*Table1[[#This Row],[SellingPrice]]</f>
        <v>120000</v>
      </c>
      <c r="I172">
        <f>Table1[[#This Row],[Qty]]*Table1[[#This Row],[CostPrice]]</f>
        <v>62000</v>
      </c>
      <c r="J172">
        <v>57594</v>
      </c>
      <c r="K172">
        <v>405.99999999999994</v>
      </c>
      <c r="L172" t="s">
        <v>13</v>
      </c>
      <c r="M172" t="s">
        <v>28</v>
      </c>
      <c r="N172">
        <f>MONTH(Table1[[#This Row],[SaleDate]])</f>
        <v>1</v>
      </c>
      <c r="O172" t="str">
        <f>TEXT(Table1[[#This Row],[SaleDate]],"MMM")</f>
        <v>Jan</v>
      </c>
    </row>
    <row r="173" spans="1:15">
      <c r="A173" s="1">
        <v>44957</v>
      </c>
      <c r="B173" t="s">
        <v>23</v>
      </c>
      <c r="C173" t="s">
        <v>19</v>
      </c>
      <c r="D173">
        <v>1</v>
      </c>
      <c r="E173" t="s">
        <v>7</v>
      </c>
      <c r="F173">
        <v>33000</v>
      </c>
      <c r="G173">
        <v>18000</v>
      </c>
      <c r="H173">
        <f>Table1[[#This Row],[Qty]]*Table1[[#This Row],[SellingPrice]]</f>
        <v>33000</v>
      </c>
      <c r="I173">
        <f>Table1[[#This Row],[Qty]]*Table1[[#This Row],[CostPrice]]</f>
        <v>18000</v>
      </c>
      <c r="J173">
        <v>14895</v>
      </c>
      <c r="K173">
        <v>104.99999999999999</v>
      </c>
      <c r="L173" t="s">
        <v>8</v>
      </c>
      <c r="M173" t="s">
        <v>29</v>
      </c>
      <c r="N173">
        <f>MONTH(Table1[[#This Row],[SaleDate]])</f>
        <v>1</v>
      </c>
      <c r="O173" t="str">
        <f>TEXT(Table1[[#This Row],[SaleDate]],"MMM")</f>
        <v>Jan</v>
      </c>
    </row>
    <row r="174" spans="1:15">
      <c r="A174" s="1">
        <v>44957</v>
      </c>
      <c r="B174" t="s">
        <v>23</v>
      </c>
      <c r="C174" t="s">
        <v>19</v>
      </c>
      <c r="D174">
        <v>1</v>
      </c>
      <c r="E174" t="s">
        <v>9</v>
      </c>
      <c r="F174">
        <v>60000</v>
      </c>
      <c r="G174">
        <v>31000</v>
      </c>
      <c r="H174">
        <f>Table1[[#This Row],[Qty]]*Table1[[#This Row],[SellingPrice]]</f>
        <v>60000</v>
      </c>
      <c r="I174">
        <f>Table1[[#This Row],[Qty]]*Table1[[#This Row],[CostPrice]]</f>
        <v>31000</v>
      </c>
      <c r="J174">
        <v>28797</v>
      </c>
      <c r="K174">
        <v>202.99999999999997</v>
      </c>
      <c r="L174" t="s">
        <v>8</v>
      </c>
      <c r="M174" t="s">
        <v>29</v>
      </c>
      <c r="N174">
        <f>MONTH(Table1[[#This Row],[SaleDate]])</f>
        <v>1</v>
      </c>
      <c r="O174" t="str">
        <f>TEXT(Table1[[#This Row],[SaleDate]],"MMM")</f>
        <v>Jan</v>
      </c>
    </row>
    <row r="175" spans="1:15">
      <c r="A175" s="1">
        <v>44957</v>
      </c>
      <c r="B175" t="s">
        <v>23</v>
      </c>
      <c r="C175" t="s">
        <v>19</v>
      </c>
      <c r="D175">
        <v>1</v>
      </c>
      <c r="E175" t="s">
        <v>10</v>
      </c>
      <c r="F175">
        <v>89000</v>
      </c>
      <c r="G175">
        <v>65000</v>
      </c>
      <c r="H175">
        <f>Table1[[#This Row],[Qty]]*Table1[[#This Row],[SellingPrice]]</f>
        <v>89000</v>
      </c>
      <c r="I175">
        <f>Table1[[#This Row],[Qty]]*Table1[[#This Row],[CostPrice]]</f>
        <v>65000</v>
      </c>
      <c r="J175">
        <v>23832</v>
      </c>
      <c r="K175">
        <v>167.99999999999997</v>
      </c>
      <c r="L175" t="s">
        <v>8</v>
      </c>
      <c r="M175" t="s">
        <v>27</v>
      </c>
      <c r="N175">
        <f>MONTH(Table1[[#This Row],[SaleDate]])</f>
        <v>1</v>
      </c>
      <c r="O175" t="str">
        <f>TEXT(Table1[[#This Row],[SaleDate]],"MMM")</f>
        <v>Jan</v>
      </c>
    </row>
    <row r="176" spans="1:15">
      <c r="A176" s="1">
        <v>44957</v>
      </c>
      <c r="B176" t="s">
        <v>26</v>
      </c>
      <c r="C176" t="s">
        <v>20</v>
      </c>
      <c r="D176">
        <v>1</v>
      </c>
      <c r="E176" t="s">
        <v>7</v>
      </c>
      <c r="F176">
        <v>33000</v>
      </c>
      <c r="G176">
        <v>18000</v>
      </c>
      <c r="H176">
        <f>Table1[[#This Row],[Qty]]*Table1[[#This Row],[SellingPrice]]</f>
        <v>33000</v>
      </c>
      <c r="I176">
        <f>Table1[[#This Row],[Qty]]*Table1[[#This Row],[CostPrice]]</f>
        <v>18000</v>
      </c>
      <c r="J176">
        <v>14895</v>
      </c>
      <c r="K176">
        <v>104.99999999999999</v>
      </c>
      <c r="L176" t="s">
        <v>11</v>
      </c>
      <c r="M176" t="s">
        <v>30</v>
      </c>
      <c r="N176">
        <f>MONTH(Table1[[#This Row],[SaleDate]])</f>
        <v>1</v>
      </c>
      <c r="O176" t="str">
        <f>TEXT(Table1[[#This Row],[SaleDate]],"MMM")</f>
        <v>Jan</v>
      </c>
    </row>
    <row r="177" spans="1:15">
      <c r="A177" s="1">
        <v>44957</v>
      </c>
      <c r="B177" t="s">
        <v>24</v>
      </c>
      <c r="C177" t="s">
        <v>22</v>
      </c>
      <c r="D177">
        <v>1</v>
      </c>
      <c r="E177" t="s">
        <v>7</v>
      </c>
      <c r="F177">
        <v>33000</v>
      </c>
      <c r="G177">
        <v>18000</v>
      </c>
      <c r="H177">
        <f>Table1[[#This Row],[Qty]]*Table1[[#This Row],[SellingPrice]]</f>
        <v>33000</v>
      </c>
      <c r="I177">
        <f>Table1[[#This Row],[Qty]]*Table1[[#This Row],[CostPrice]]</f>
        <v>18000</v>
      </c>
      <c r="J177">
        <v>14895</v>
      </c>
      <c r="K177">
        <v>104.99999999999999</v>
      </c>
      <c r="L177" t="s">
        <v>12</v>
      </c>
      <c r="M177" t="s">
        <v>30</v>
      </c>
      <c r="N177">
        <f>MONTH(Table1[[#This Row],[SaleDate]])</f>
        <v>1</v>
      </c>
      <c r="O177" t="str">
        <f>TEXT(Table1[[#This Row],[SaleDate]],"MMM")</f>
        <v>Jan</v>
      </c>
    </row>
    <row r="178" spans="1:15">
      <c r="A178" s="1">
        <v>44957</v>
      </c>
      <c r="B178" t="s">
        <v>24</v>
      </c>
      <c r="C178" t="s">
        <v>22</v>
      </c>
      <c r="D178">
        <v>1</v>
      </c>
      <c r="E178" t="s">
        <v>9</v>
      </c>
      <c r="F178">
        <v>60000</v>
      </c>
      <c r="G178">
        <v>31000</v>
      </c>
      <c r="H178">
        <f>Table1[[#This Row],[Qty]]*Table1[[#This Row],[SellingPrice]]</f>
        <v>60000</v>
      </c>
      <c r="I178">
        <f>Table1[[#This Row],[Qty]]*Table1[[#This Row],[CostPrice]]</f>
        <v>31000</v>
      </c>
      <c r="J178">
        <v>28797</v>
      </c>
      <c r="K178">
        <v>202.99999999999997</v>
      </c>
      <c r="L178" t="s">
        <v>12</v>
      </c>
      <c r="M178" t="s">
        <v>30</v>
      </c>
      <c r="N178">
        <f>MONTH(Table1[[#This Row],[SaleDate]])</f>
        <v>1</v>
      </c>
      <c r="O178" t="str">
        <f>TEXT(Table1[[#This Row],[SaleDate]],"MMM")</f>
        <v>Jan</v>
      </c>
    </row>
    <row r="179" spans="1:15">
      <c r="A179" s="1">
        <v>44957</v>
      </c>
      <c r="B179" t="s">
        <v>24</v>
      </c>
      <c r="C179" t="s">
        <v>22</v>
      </c>
      <c r="D179">
        <v>1</v>
      </c>
      <c r="E179" t="s">
        <v>10</v>
      </c>
      <c r="F179">
        <v>89000</v>
      </c>
      <c r="G179">
        <v>65000</v>
      </c>
      <c r="H179">
        <f>Table1[[#This Row],[Qty]]*Table1[[#This Row],[SellingPrice]]</f>
        <v>89000</v>
      </c>
      <c r="I179">
        <f>Table1[[#This Row],[Qty]]*Table1[[#This Row],[CostPrice]]</f>
        <v>65000</v>
      </c>
      <c r="J179">
        <v>23832</v>
      </c>
      <c r="K179">
        <v>167.99999999999997</v>
      </c>
      <c r="L179" t="s">
        <v>12</v>
      </c>
      <c r="M179" t="s">
        <v>29</v>
      </c>
      <c r="N179">
        <f>MONTH(Table1[[#This Row],[SaleDate]])</f>
        <v>1</v>
      </c>
      <c r="O179" t="str">
        <f>TEXT(Table1[[#This Row],[SaleDate]],"MMM")</f>
        <v>Jan</v>
      </c>
    </row>
    <row r="180" spans="1:15">
      <c r="A180" s="1">
        <v>44957</v>
      </c>
      <c r="B180" t="s">
        <v>25</v>
      </c>
      <c r="C180" t="s">
        <v>21</v>
      </c>
      <c r="D180">
        <v>1</v>
      </c>
      <c r="E180" t="s">
        <v>7</v>
      </c>
      <c r="F180">
        <v>33000</v>
      </c>
      <c r="G180">
        <v>18000</v>
      </c>
      <c r="H180">
        <f>Table1[[#This Row],[Qty]]*Table1[[#This Row],[SellingPrice]]</f>
        <v>33000</v>
      </c>
      <c r="I180">
        <f>Table1[[#This Row],[Qty]]*Table1[[#This Row],[CostPrice]]</f>
        <v>18000</v>
      </c>
      <c r="J180">
        <v>14895</v>
      </c>
      <c r="K180">
        <v>104.99999999999999</v>
      </c>
      <c r="L180" t="s">
        <v>13</v>
      </c>
      <c r="M180" t="s">
        <v>27</v>
      </c>
      <c r="N180">
        <f>MONTH(Table1[[#This Row],[SaleDate]])</f>
        <v>1</v>
      </c>
      <c r="O180" t="str">
        <f>TEXT(Table1[[#This Row],[SaleDate]],"MMM")</f>
        <v>Jan</v>
      </c>
    </row>
    <row r="181" spans="1:15">
      <c r="A181" s="1">
        <v>44957</v>
      </c>
      <c r="B181" t="s">
        <v>25</v>
      </c>
      <c r="C181" t="s">
        <v>21</v>
      </c>
      <c r="D181">
        <v>1</v>
      </c>
      <c r="E181" t="s">
        <v>9</v>
      </c>
      <c r="F181">
        <v>60000</v>
      </c>
      <c r="G181">
        <v>31000</v>
      </c>
      <c r="H181">
        <f>Table1[[#This Row],[Qty]]*Table1[[#This Row],[SellingPrice]]</f>
        <v>60000</v>
      </c>
      <c r="I181">
        <f>Table1[[#This Row],[Qty]]*Table1[[#This Row],[CostPrice]]</f>
        <v>31000</v>
      </c>
      <c r="J181">
        <v>28797</v>
      </c>
      <c r="K181">
        <v>202.99999999999997</v>
      </c>
      <c r="L181" t="s">
        <v>13</v>
      </c>
      <c r="M181" t="s">
        <v>30</v>
      </c>
      <c r="N181">
        <f>MONTH(Table1[[#This Row],[SaleDate]])</f>
        <v>1</v>
      </c>
      <c r="O181" t="str">
        <f>TEXT(Table1[[#This Row],[SaleDate]],"MMM")</f>
        <v>Jan</v>
      </c>
    </row>
    <row r="182" spans="1:15">
      <c r="A182" s="1">
        <v>44957</v>
      </c>
      <c r="B182" t="s">
        <v>25</v>
      </c>
      <c r="C182" t="s">
        <v>21</v>
      </c>
      <c r="D182">
        <v>1</v>
      </c>
      <c r="E182" t="s">
        <v>10</v>
      </c>
      <c r="F182">
        <v>89000</v>
      </c>
      <c r="G182">
        <v>65000</v>
      </c>
      <c r="H182">
        <f>Table1[[#This Row],[Qty]]*Table1[[#This Row],[SellingPrice]]</f>
        <v>89000</v>
      </c>
      <c r="I182">
        <f>Table1[[#This Row],[Qty]]*Table1[[#This Row],[CostPrice]]</f>
        <v>65000</v>
      </c>
      <c r="J182">
        <v>23832</v>
      </c>
      <c r="K182">
        <v>167.99999999999997</v>
      </c>
      <c r="L182" t="s">
        <v>13</v>
      </c>
      <c r="M182" t="s">
        <v>29</v>
      </c>
      <c r="N182">
        <f>MONTH(Table1[[#This Row],[SaleDate]])</f>
        <v>1</v>
      </c>
      <c r="O182" t="str">
        <f>TEXT(Table1[[#This Row],[SaleDate]],"MMM")</f>
        <v>Jan</v>
      </c>
    </row>
    <row r="183" spans="1:15">
      <c r="A183" s="1">
        <v>44958</v>
      </c>
      <c r="B183" t="s">
        <v>23</v>
      </c>
      <c r="C183" t="s">
        <v>19</v>
      </c>
      <c r="D183">
        <v>1</v>
      </c>
      <c r="E183" t="s">
        <v>7</v>
      </c>
      <c r="F183">
        <v>33000</v>
      </c>
      <c r="G183">
        <v>18000</v>
      </c>
      <c r="H183">
        <f>Table1[[#This Row],[Qty]]*Table1[[#This Row],[SellingPrice]]</f>
        <v>33000</v>
      </c>
      <c r="I183">
        <f>Table1[[#This Row],[Qty]]*Table1[[#This Row],[CostPrice]]</f>
        <v>18000</v>
      </c>
      <c r="J183">
        <v>14895</v>
      </c>
      <c r="K183">
        <v>104.99999999999999</v>
      </c>
      <c r="L183" t="s">
        <v>8</v>
      </c>
      <c r="M183" t="s">
        <v>30</v>
      </c>
      <c r="N183">
        <f>MONTH(Table1[[#This Row],[SaleDate]])</f>
        <v>2</v>
      </c>
      <c r="O183" t="str">
        <f>TEXT(Table1[[#This Row],[SaleDate]],"MMM")</f>
        <v>Feb</v>
      </c>
    </row>
    <row r="184" spans="1:15">
      <c r="A184" s="1">
        <v>44958</v>
      </c>
      <c r="B184" t="s">
        <v>23</v>
      </c>
      <c r="C184" t="s">
        <v>19</v>
      </c>
      <c r="D184">
        <v>1</v>
      </c>
      <c r="E184" t="s">
        <v>9</v>
      </c>
      <c r="F184">
        <v>60000</v>
      </c>
      <c r="G184">
        <v>31000</v>
      </c>
      <c r="H184">
        <f>Table1[[#This Row],[Qty]]*Table1[[#This Row],[SellingPrice]]</f>
        <v>60000</v>
      </c>
      <c r="I184">
        <f>Table1[[#This Row],[Qty]]*Table1[[#This Row],[CostPrice]]</f>
        <v>31000</v>
      </c>
      <c r="J184">
        <v>28797</v>
      </c>
      <c r="K184">
        <v>202.99999999999997</v>
      </c>
      <c r="L184" t="s">
        <v>8</v>
      </c>
      <c r="M184" t="s">
        <v>29</v>
      </c>
      <c r="N184">
        <f>MONTH(Table1[[#This Row],[SaleDate]])</f>
        <v>2</v>
      </c>
      <c r="O184" t="str">
        <f>TEXT(Table1[[#This Row],[SaleDate]],"MMM")</f>
        <v>Feb</v>
      </c>
    </row>
    <row r="185" spans="1:15">
      <c r="A185" s="1">
        <v>44958</v>
      </c>
      <c r="B185" t="s">
        <v>23</v>
      </c>
      <c r="C185" t="s">
        <v>19</v>
      </c>
      <c r="D185">
        <v>1</v>
      </c>
      <c r="E185" t="s">
        <v>10</v>
      </c>
      <c r="F185">
        <v>89000</v>
      </c>
      <c r="G185">
        <v>65000</v>
      </c>
      <c r="H185">
        <f>Table1[[#This Row],[Qty]]*Table1[[#This Row],[SellingPrice]]</f>
        <v>89000</v>
      </c>
      <c r="I185">
        <f>Table1[[#This Row],[Qty]]*Table1[[#This Row],[CostPrice]]</f>
        <v>65000</v>
      </c>
      <c r="J185">
        <v>23832</v>
      </c>
      <c r="K185">
        <v>167.99999999999997</v>
      </c>
      <c r="L185" t="s">
        <v>8</v>
      </c>
      <c r="M185" t="s">
        <v>29</v>
      </c>
      <c r="N185">
        <f>MONTH(Table1[[#This Row],[SaleDate]])</f>
        <v>2</v>
      </c>
      <c r="O185" t="str">
        <f>TEXT(Table1[[#This Row],[SaleDate]],"MMM")</f>
        <v>Feb</v>
      </c>
    </row>
    <row r="186" spans="1:15">
      <c r="A186" s="1">
        <v>44958</v>
      </c>
      <c r="B186" t="s">
        <v>26</v>
      </c>
      <c r="C186" t="s">
        <v>20</v>
      </c>
      <c r="D186">
        <v>1</v>
      </c>
      <c r="E186" t="s">
        <v>7</v>
      </c>
      <c r="F186">
        <v>33000</v>
      </c>
      <c r="G186">
        <v>18000</v>
      </c>
      <c r="H186">
        <f>Table1[[#This Row],[Qty]]*Table1[[#This Row],[SellingPrice]]</f>
        <v>33000</v>
      </c>
      <c r="I186">
        <f>Table1[[#This Row],[Qty]]*Table1[[#This Row],[CostPrice]]</f>
        <v>18000</v>
      </c>
      <c r="J186">
        <v>14895</v>
      </c>
      <c r="K186">
        <v>104.99999999999999</v>
      </c>
      <c r="L186" t="s">
        <v>11</v>
      </c>
      <c r="M186" t="s">
        <v>27</v>
      </c>
      <c r="N186">
        <f>MONTH(Table1[[#This Row],[SaleDate]])</f>
        <v>2</v>
      </c>
      <c r="O186" t="str">
        <f>TEXT(Table1[[#This Row],[SaleDate]],"MMM")</f>
        <v>Feb</v>
      </c>
    </row>
    <row r="187" spans="1:15">
      <c r="A187" s="1">
        <v>44958</v>
      </c>
      <c r="B187" t="s">
        <v>24</v>
      </c>
      <c r="C187" t="s">
        <v>22</v>
      </c>
      <c r="D187">
        <v>1</v>
      </c>
      <c r="E187" t="s">
        <v>7</v>
      </c>
      <c r="F187">
        <v>33000</v>
      </c>
      <c r="G187">
        <v>18000</v>
      </c>
      <c r="H187">
        <f>Table1[[#This Row],[Qty]]*Table1[[#This Row],[SellingPrice]]</f>
        <v>33000</v>
      </c>
      <c r="I187">
        <f>Table1[[#This Row],[Qty]]*Table1[[#This Row],[CostPrice]]</f>
        <v>18000</v>
      </c>
      <c r="J187">
        <v>14895</v>
      </c>
      <c r="K187">
        <v>104.99999999999999</v>
      </c>
      <c r="L187" t="s">
        <v>12</v>
      </c>
      <c r="M187" t="s">
        <v>28</v>
      </c>
      <c r="N187">
        <f>MONTH(Table1[[#This Row],[SaleDate]])</f>
        <v>2</v>
      </c>
      <c r="O187" t="str">
        <f>TEXT(Table1[[#This Row],[SaleDate]],"MMM")</f>
        <v>Feb</v>
      </c>
    </row>
    <row r="188" spans="1:15">
      <c r="A188" s="1">
        <v>44958</v>
      </c>
      <c r="B188" t="s">
        <v>24</v>
      </c>
      <c r="C188" t="s">
        <v>22</v>
      </c>
      <c r="D188">
        <v>1</v>
      </c>
      <c r="E188" t="s">
        <v>9</v>
      </c>
      <c r="F188">
        <v>60000</v>
      </c>
      <c r="G188">
        <v>31000</v>
      </c>
      <c r="H188">
        <f>Table1[[#This Row],[Qty]]*Table1[[#This Row],[SellingPrice]]</f>
        <v>60000</v>
      </c>
      <c r="I188">
        <f>Table1[[#This Row],[Qty]]*Table1[[#This Row],[CostPrice]]</f>
        <v>31000</v>
      </c>
      <c r="J188">
        <v>28797</v>
      </c>
      <c r="K188">
        <v>202.99999999999997</v>
      </c>
      <c r="L188" t="s">
        <v>12</v>
      </c>
      <c r="M188" t="s">
        <v>27</v>
      </c>
      <c r="N188">
        <f>MONTH(Table1[[#This Row],[SaleDate]])</f>
        <v>2</v>
      </c>
      <c r="O188" t="str">
        <f>TEXT(Table1[[#This Row],[SaleDate]],"MMM")</f>
        <v>Feb</v>
      </c>
    </row>
    <row r="189" spans="1:15">
      <c r="A189" s="1">
        <v>44958</v>
      </c>
      <c r="B189" t="s">
        <v>24</v>
      </c>
      <c r="C189" t="s">
        <v>22</v>
      </c>
      <c r="D189">
        <v>1</v>
      </c>
      <c r="E189" t="s">
        <v>10</v>
      </c>
      <c r="F189">
        <v>89000</v>
      </c>
      <c r="G189">
        <v>65000</v>
      </c>
      <c r="H189">
        <f>Table1[[#This Row],[Qty]]*Table1[[#This Row],[SellingPrice]]</f>
        <v>89000</v>
      </c>
      <c r="I189">
        <f>Table1[[#This Row],[Qty]]*Table1[[#This Row],[CostPrice]]</f>
        <v>65000</v>
      </c>
      <c r="J189">
        <v>23832</v>
      </c>
      <c r="K189">
        <v>167.99999999999997</v>
      </c>
      <c r="L189" t="s">
        <v>12</v>
      </c>
      <c r="M189" t="s">
        <v>29</v>
      </c>
      <c r="N189">
        <f>MONTH(Table1[[#This Row],[SaleDate]])</f>
        <v>2</v>
      </c>
      <c r="O189" t="str">
        <f>TEXT(Table1[[#This Row],[SaleDate]],"MMM")</f>
        <v>Feb</v>
      </c>
    </row>
    <row r="190" spans="1:15">
      <c r="A190" s="1">
        <v>44958</v>
      </c>
      <c r="B190" t="s">
        <v>25</v>
      </c>
      <c r="C190" t="s">
        <v>21</v>
      </c>
      <c r="D190">
        <v>1</v>
      </c>
      <c r="E190" t="s">
        <v>7</v>
      </c>
      <c r="F190">
        <v>33000</v>
      </c>
      <c r="G190">
        <v>18000</v>
      </c>
      <c r="H190">
        <f>Table1[[#This Row],[Qty]]*Table1[[#This Row],[SellingPrice]]</f>
        <v>33000</v>
      </c>
      <c r="I190">
        <f>Table1[[#This Row],[Qty]]*Table1[[#This Row],[CostPrice]]</f>
        <v>18000</v>
      </c>
      <c r="J190">
        <v>14895</v>
      </c>
      <c r="K190">
        <v>104.99999999999999</v>
      </c>
      <c r="L190" t="s">
        <v>13</v>
      </c>
      <c r="M190" t="s">
        <v>27</v>
      </c>
      <c r="N190">
        <f>MONTH(Table1[[#This Row],[SaleDate]])</f>
        <v>2</v>
      </c>
      <c r="O190" t="str">
        <f>TEXT(Table1[[#This Row],[SaleDate]],"MMM")</f>
        <v>Feb</v>
      </c>
    </row>
    <row r="191" spans="1:15">
      <c r="A191" s="1">
        <v>44958</v>
      </c>
      <c r="B191" t="s">
        <v>25</v>
      </c>
      <c r="C191" t="s">
        <v>21</v>
      </c>
      <c r="D191">
        <v>1</v>
      </c>
      <c r="E191" t="s">
        <v>9</v>
      </c>
      <c r="F191">
        <v>60000</v>
      </c>
      <c r="G191">
        <v>31000</v>
      </c>
      <c r="H191">
        <f>Table1[[#This Row],[Qty]]*Table1[[#This Row],[SellingPrice]]</f>
        <v>60000</v>
      </c>
      <c r="I191">
        <f>Table1[[#This Row],[Qty]]*Table1[[#This Row],[CostPrice]]</f>
        <v>31000</v>
      </c>
      <c r="J191">
        <v>28797</v>
      </c>
      <c r="K191">
        <v>202.99999999999997</v>
      </c>
      <c r="L191" t="s">
        <v>13</v>
      </c>
      <c r="M191" t="s">
        <v>29</v>
      </c>
      <c r="N191">
        <f>MONTH(Table1[[#This Row],[SaleDate]])</f>
        <v>2</v>
      </c>
      <c r="O191" t="str">
        <f>TEXT(Table1[[#This Row],[SaleDate]],"MMM")</f>
        <v>Feb</v>
      </c>
    </row>
    <row r="192" spans="1:15">
      <c r="A192" s="1">
        <v>44958</v>
      </c>
      <c r="B192" t="s">
        <v>25</v>
      </c>
      <c r="C192" t="s">
        <v>21</v>
      </c>
      <c r="D192">
        <v>1</v>
      </c>
      <c r="E192" t="s">
        <v>10</v>
      </c>
      <c r="F192">
        <v>89000</v>
      </c>
      <c r="G192">
        <v>65000</v>
      </c>
      <c r="H192">
        <f>Table1[[#This Row],[Qty]]*Table1[[#This Row],[SellingPrice]]</f>
        <v>89000</v>
      </c>
      <c r="I192">
        <f>Table1[[#This Row],[Qty]]*Table1[[#This Row],[CostPrice]]</f>
        <v>65000</v>
      </c>
      <c r="J192">
        <v>23832</v>
      </c>
      <c r="K192">
        <v>167.99999999999997</v>
      </c>
      <c r="L192" t="s">
        <v>13</v>
      </c>
      <c r="M192" t="s">
        <v>29</v>
      </c>
      <c r="N192">
        <f>MONTH(Table1[[#This Row],[SaleDate]])</f>
        <v>2</v>
      </c>
      <c r="O192" t="str">
        <f>TEXT(Table1[[#This Row],[SaleDate]],"MMM")</f>
        <v>Feb</v>
      </c>
    </row>
    <row r="193" spans="1:15">
      <c r="A193" s="1">
        <v>44959</v>
      </c>
      <c r="B193" t="s">
        <v>23</v>
      </c>
      <c r="C193" t="s">
        <v>19</v>
      </c>
      <c r="D193">
        <v>1</v>
      </c>
      <c r="E193" t="s">
        <v>7</v>
      </c>
      <c r="F193">
        <v>33000</v>
      </c>
      <c r="G193">
        <v>18000</v>
      </c>
      <c r="H193">
        <f>Table1[[#This Row],[Qty]]*Table1[[#This Row],[SellingPrice]]</f>
        <v>33000</v>
      </c>
      <c r="I193">
        <f>Table1[[#This Row],[Qty]]*Table1[[#This Row],[CostPrice]]</f>
        <v>18000</v>
      </c>
      <c r="J193">
        <v>14895</v>
      </c>
      <c r="K193">
        <v>104.99999999999999</v>
      </c>
      <c r="L193" t="s">
        <v>8</v>
      </c>
      <c r="M193" t="s">
        <v>30</v>
      </c>
      <c r="N193">
        <f>MONTH(Table1[[#This Row],[SaleDate]])</f>
        <v>2</v>
      </c>
      <c r="O193" t="str">
        <f>TEXT(Table1[[#This Row],[SaleDate]],"MMM")</f>
        <v>Feb</v>
      </c>
    </row>
    <row r="194" spans="1:15">
      <c r="A194" s="1">
        <v>44959</v>
      </c>
      <c r="B194" t="s">
        <v>23</v>
      </c>
      <c r="C194" t="s">
        <v>19</v>
      </c>
      <c r="D194">
        <v>1</v>
      </c>
      <c r="E194" t="s">
        <v>9</v>
      </c>
      <c r="F194">
        <v>60000</v>
      </c>
      <c r="G194">
        <v>31000</v>
      </c>
      <c r="H194">
        <f>Table1[[#This Row],[Qty]]*Table1[[#This Row],[SellingPrice]]</f>
        <v>60000</v>
      </c>
      <c r="I194">
        <f>Table1[[#This Row],[Qty]]*Table1[[#This Row],[CostPrice]]</f>
        <v>31000</v>
      </c>
      <c r="J194">
        <v>28797</v>
      </c>
      <c r="K194">
        <v>202.99999999999997</v>
      </c>
      <c r="L194" t="s">
        <v>8</v>
      </c>
      <c r="M194" t="s">
        <v>29</v>
      </c>
      <c r="N194">
        <f>MONTH(Table1[[#This Row],[SaleDate]])</f>
        <v>2</v>
      </c>
      <c r="O194" t="str">
        <f>TEXT(Table1[[#This Row],[SaleDate]],"MMM")</f>
        <v>Feb</v>
      </c>
    </row>
    <row r="195" spans="1:15">
      <c r="A195" s="1">
        <v>44959</v>
      </c>
      <c r="B195" t="s">
        <v>23</v>
      </c>
      <c r="C195" t="s">
        <v>19</v>
      </c>
      <c r="D195">
        <v>1</v>
      </c>
      <c r="E195" t="s">
        <v>10</v>
      </c>
      <c r="F195">
        <v>89000</v>
      </c>
      <c r="G195">
        <v>65000</v>
      </c>
      <c r="H195">
        <f>Table1[[#This Row],[Qty]]*Table1[[#This Row],[SellingPrice]]</f>
        <v>89000</v>
      </c>
      <c r="I195">
        <f>Table1[[#This Row],[Qty]]*Table1[[#This Row],[CostPrice]]</f>
        <v>65000</v>
      </c>
      <c r="J195">
        <v>23832</v>
      </c>
      <c r="K195">
        <v>167.99999999999997</v>
      </c>
      <c r="L195" t="s">
        <v>8</v>
      </c>
      <c r="M195" t="s">
        <v>28</v>
      </c>
      <c r="N195">
        <f>MONTH(Table1[[#This Row],[SaleDate]])</f>
        <v>2</v>
      </c>
      <c r="O195" t="str">
        <f>TEXT(Table1[[#This Row],[SaleDate]],"MMM")</f>
        <v>Feb</v>
      </c>
    </row>
    <row r="196" spans="1:15">
      <c r="A196" s="1">
        <v>44959</v>
      </c>
      <c r="B196" t="s">
        <v>26</v>
      </c>
      <c r="C196" t="s">
        <v>20</v>
      </c>
      <c r="D196">
        <v>1</v>
      </c>
      <c r="E196" t="s">
        <v>7</v>
      </c>
      <c r="F196">
        <v>33000</v>
      </c>
      <c r="G196">
        <v>18000</v>
      </c>
      <c r="H196">
        <f>Table1[[#This Row],[Qty]]*Table1[[#This Row],[SellingPrice]]</f>
        <v>33000</v>
      </c>
      <c r="I196">
        <f>Table1[[#This Row],[Qty]]*Table1[[#This Row],[CostPrice]]</f>
        <v>18000</v>
      </c>
      <c r="J196">
        <v>14895</v>
      </c>
      <c r="K196">
        <v>104.99999999999999</v>
      </c>
      <c r="L196" t="s">
        <v>11</v>
      </c>
      <c r="M196" t="s">
        <v>27</v>
      </c>
      <c r="N196">
        <f>MONTH(Table1[[#This Row],[SaleDate]])</f>
        <v>2</v>
      </c>
      <c r="O196" t="str">
        <f>TEXT(Table1[[#This Row],[SaleDate]],"MMM")</f>
        <v>Feb</v>
      </c>
    </row>
    <row r="197" spans="1:15">
      <c r="A197" s="1">
        <v>44959</v>
      </c>
      <c r="B197" t="s">
        <v>24</v>
      </c>
      <c r="C197" t="s">
        <v>22</v>
      </c>
      <c r="D197">
        <v>1</v>
      </c>
      <c r="E197" t="s">
        <v>7</v>
      </c>
      <c r="F197">
        <v>33000</v>
      </c>
      <c r="G197">
        <v>18000</v>
      </c>
      <c r="H197">
        <f>Table1[[#This Row],[Qty]]*Table1[[#This Row],[SellingPrice]]</f>
        <v>33000</v>
      </c>
      <c r="I197">
        <f>Table1[[#This Row],[Qty]]*Table1[[#This Row],[CostPrice]]</f>
        <v>18000</v>
      </c>
      <c r="J197">
        <v>14895</v>
      </c>
      <c r="K197">
        <v>104.99999999999999</v>
      </c>
      <c r="L197" t="s">
        <v>12</v>
      </c>
      <c r="M197" t="s">
        <v>29</v>
      </c>
      <c r="N197">
        <f>MONTH(Table1[[#This Row],[SaleDate]])</f>
        <v>2</v>
      </c>
      <c r="O197" t="str">
        <f>TEXT(Table1[[#This Row],[SaleDate]],"MMM")</f>
        <v>Feb</v>
      </c>
    </row>
    <row r="198" spans="1:15">
      <c r="A198" s="1">
        <v>44959</v>
      </c>
      <c r="B198" t="s">
        <v>24</v>
      </c>
      <c r="C198" t="s">
        <v>22</v>
      </c>
      <c r="D198">
        <v>1</v>
      </c>
      <c r="E198" t="s">
        <v>9</v>
      </c>
      <c r="F198">
        <v>60000</v>
      </c>
      <c r="G198">
        <v>31000</v>
      </c>
      <c r="H198">
        <f>Table1[[#This Row],[Qty]]*Table1[[#This Row],[SellingPrice]]</f>
        <v>60000</v>
      </c>
      <c r="I198">
        <f>Table1[[#This Row],[Qty]]*Table1[[#This Row],[CostPrice]]</f>
        <v>31000</v>
      </c>
      <c r="J198">
        <v>28797</v>
      </c>
      <c r="K198">
        <v>202.99999999999997</v>
      </c>
      <c r="L198" t="s">
        <v>12</v>
      </c>
      <c r="M198" t="s">
        <v>28</v>
      </c>
      <c r="N198">
        <f>MONTH(Table1[[#This Row],[SaleDate]])</f>
        <v>2</v>
      </c>
      <c r="O198" t="str">
        <f>TEXT(Table1[[#This Row],[SaleDate]],"MMM")</f>
        <v>Feb</v>
      </c>
    </row>
    <row r="199" spans="1:15">
      <c r="A199" s="1">
        <v>44959</v>
      </c>
      <c r="B199" t="s">
        <v>24</v>
      </c>
      <c r="C199" t="s">
        <v>22</v>
      </c>
      <c r="D199">
        <v>1</v>
      </c>
      <c r="E199" t="s">
        <v>10</v>
      </c>
      <c r="F199">
        <v>89000</v>
      </c>
      <c r="G199">
        <v>65000</v>
      </c>
      <c r="H199">
        <f>Table1[[#This Row],[Qty]]*Table1[[#This Row],[SellingPrice]]</f>
        <v>89000</v>
      </c>
      <c r="I199">
        <f>Table1[[#This Row],[Qty]]*Table1[[#This Row],[CostPrice]]</f>
        <v>65000</v>
      </c>
      <c r="J199">
        <v>23832</v>
      </c>
      <c r="K199">
        <v>167.99999999999997</v>
      </c>
      <c r="L199" t="s">
        <v>12</v>
      </c>
      <c r="M199" t="s">
        <v>30</v>
      </c>
      <c r="N199">
        <f>MONTH(Table1[[#This Row],[SaleDate]])</f>
        <v>2</v>
      </c>
      <c r="O199" t="str">
        <f>TEXT(Table1[[#This Row],[SaleDate]],"MMM")</f>
        <v>Feb</v>
      </c>
    </row>
    <row r="200" spans="1:15">
      <c r="A200" s="1">
        <v>44959</v>
      </c>
      <c r="B200" t="s">
        <v>25</v>
      </c>
      <c r="C200" t="s">
        <v>21</v>
      </c>
      <c r="D200">
        <v>1</v>
      </c>
      <c r="E200" t="s">
        <v>7</v>
      </c>
      <c r="F200">
        <v>33000</v>
      </c>
      <c r="G200">
        <v>18000</v>
      </c>
      <c r="H200">
        <f>Table1[[#This Row],[Qty]]*Table1[[#This Row],[SellingPrice]]</f>
        <v>33000</v>
      </c>
      <c r="I200">
        <f>Table1[[#This Row],[Qty]]*Table1[[#This Row],[CostPrice]]</f>
        <v>18000</v>
      </c>
      <c r="J200">
        <v>14895</v>
      </c>
      <c r="K200">
        <v>104.99999999999999</v>
      </c>
      <c r="L200" t="s">
        <v>13</v>
      </c>
      <c r="M200" t="s">
        <v>30</v>
      </c>
      <c r="N200">
        <f>MONTH(Table1[[#This Row],[SaleDate]])</f>
        <v>2</v>
      </c>
      <c r="O200" t="str">
        <f>TEXT(Table1[[#This Row],[SaleDate]],"MMM")</f>
        <v>Feb</v>
      </c>
    </row>
    <row r="201" spans="1:15">
      <c r="A201" s="1">
        <v>44959</v>
      </c>
      <c r="B201" t="s">
        <v>25</v>
      </c>
      <c r="C201" t="s">
        <v>21</v>
      </c>
      <c r="D201">
        <v>1</v>
      </c>
      <c r="E201" t="s">
        <v>9</v>
      </c>
      <c r="F201">
        <v>60000</v>
      </c>
      <c r="G201">
        <v>31000</v>
      </c>
      <c r="H201">
        <f>Table1[[#This Row],[Qty]]*Table1[[#This Row],[SellingPrice]]</f>
        <v>60000</v>
      </c>
      <c r="I201">
        <f>Table1[[#This Row],[Qty]]*Table1[[#This Row],[CostPrice]]</f>
        <v>31000</v>
      </c>
      <c r="J201">
        <v>28797</v>
      </c>
      <c r="K201">
        <v>202.99999999999997</v>
      </c>
      <c r="L201" t="s">
        <v>13</v>
      </c>
      <c r="M201" t="s">
        <v>29</v>
      </c>
      <c r="N201">
        <f>MONTH(Table1[[#This Row],[SaleDate]])</f>
        <v>2</v>
      </c>
      <c r="O201" t="str">
        <f>TEXT(Table1[[#This Row],[SaleDate]],"MMM")</f>
        <v>Feb</v>
      </c>
    </row>
    <row r="202" spans="1:15">
      <c r="A202" s="1">
        <v>44959</v>
      </c>
      <c r="B202" t="s">
        <v>25</v>
      </c>
      <c r="C202" t="s">
        <v>21</v>
      </c>
      <c r="D202">
        <v>1</v>
      </c>
      <c r="E202" t="s">
        <v>10</v>
      </c>
      <c r="F202">
        <v>89000</v>
      </c>
      <c r="G202">
        <v>65000</v>
      </c>
      <c r="H202">
        <f>Table1[[#This Row],[Qty]]*Table1[[#This Row],[SellingPrice]]</f>
        <v>89000</v>
      </c>
      <c r="I202">
        <f>Table1[[#This Row],[Qty]]*Table1[[#This Row],[CostPrice]]</f>
        <v>65000</v>
      </c>
      <c r="J202">
        <v>23832</v>
      </c>
      <c r="K202">
        <v>167.99999999999997</v>
      </c>
      <c r="L202" t="s">
        <v>13</v>
      </c>
      <c r="M202" t="s">
        <v>29</v>
      </c>
      <c r="N202">
        <f>MONTH(Table1[[#This Row],[SaleDate]])</f>
        <v>2</v>
      </c>
      <c r="O202" t="str">
        <f>TEXT(Table1[[#This Row],[SaleDate]],"MMM")</f>
        <v>Feb</v>
      </c>
    </row>
    <row r="203" spans="1:15">
      <c r="A203" s="1">
        <v>44960</v>
      </c>
      <c r="B203" t="s">
        <v>23</v>
      </c>
      <c r="C203" t="s">
        <v>19</v>
      </c>
      <c r="D203">
        <v>2</v>
      </c>
      <c r="E203" t="s">
        <v>7</v>
      </c>
      <c r="F203">
        <v>33000</v>
      </c>
      <c r="G203">
        <v>18000</v>
      </c>
      <c r="H203">
        <f>Table1[[#This Row],[Qty]]*Table1[[#This Row],[SellingPrice]]</f>
        <v>66000</v>
      </c>
      <c r="I203">
        <f>Table1[[#This Row],[Qty]]*Table1[[#This Row],[CostPrice]]</f>
        <v>36000</v>
      </c>
      <c r="J203">
        <v>29790</v>
      </c>
      <c r="K203">
        <v>209.99999999999997</v>
      </c>
      <c r="L203" t="s">
        <v>8</v>
      </c>
      <c r="M203" t="s">
        <v>29</v>
      </c>
      <c r="N203">
        <f>MONTH(Table1[[#This Row],[SaleDate]])</f>
        <v>2</v>
      </c>
      <c r="O203" t="str">
        <f>TEXT(Table1[[#This Row],[SaleDate]],"MMM")</f>
        <v>Feb</v>
      </c>
    </row>
    <row r="204" spans="1:15">
      <c r="A204" s="1">
        <v>44960</v>
      </c>
      <c r="B204" t="s">
        <v>23</v>
      </c>
      <c r="C204" t="s">
        <v>19</v>
      </c>
      <c r="D204">
        <v>2</v>
      </c>
      <c r="E204" t="s">
        <v>9</v>
      </c>
      <c r="F204">
        <v>60000</v>
      </c>
      <c r="G204">
        <v>31000</v>
      </c>
      <c r="H204">
        <f>Table1[[#This Row],[Qty]]*Table1[[#This Row],[SellingPrice]]</f>
        <v>120000</v>
      </c>
      <c r="I204">
        <f>Table1[[#This Row],[Qty]]*Table1[[#This Row],[CostPrice]]</f>
        <v>62000</v>
      </c>
      <c r="J204">
        <v>57594</v>
      </c>
      <c r="K204">
        <v>405.99999999999994</v>
      </c>
      <c r="L204" t="s">
        <v>8</v>
      </c>
      <c r="M204" t="s">
        <v>29</v>
      </c>
      <c r="N204">
        <f>MONTH(Table1[[#This Row],[SaleDate]])</f>
        <v>2</v>
      </c>
      <c r="O204" t="str">
        <f>TEXT(Table1[[#This Row],[SaleDate]],"MMM")</f>
        <v>Feb</v>
      </c>
    </row>
    <row r="205" spans="1:15">
      <c r="A205" s="1">
        <v>44960</v>
      </c>
      <c r="B205" t="s">
        <v>23</v>
      </c>
      <c r="C205" t="s">
        <v>19</v>
      </c>
      <c r="D205">
        <v>2</v>
      </c>
      <c r="E205" t="s">
        <v>10</v>
      </c>
      <c r="F205">
        <v>89000</v>
      </c>
      <c r="G205">
        <v>65000</v>
      </c>
      <c r="H205">
        <f>Table1[[#This Row],[Qty]]*Table1[[#This Row],[SellingPrice]]</f>
        <v>178000</v>
      </c>
      <c r="I205">
        <f>Table1[[#This Row],[Qty]]*Table1[[#This Row],[CostPrice]]</f>
        <v>130000</v>
      </c>
      <c r="J205">
        <v>47664</v>
      </c>
      <c r="K205">
        <v>335.99999999999994</v>
      </c>
      <c r="L205" t="s">
        <v>8</v>
      </c>
      <c r="M205" t="s">
        <v>27</v>
      </c>
      <c r="N205">
        <f>MONTH(Table1[[#This Row],[SaleDate]])</f>
        <v>2</v>
      </c>
      <c r="O205" t="str">
        <f>TEXT(Table1[[#This Row],[SaleDate]],"MMM")</f>
        <v>Feb</v>
      </c>
    </row>
    <row r="206" spans="1:15">
      <c r="A206" s="1">
        <v>44960</v>
      </c>
      <c r="B206" t="s">
        <v>26</v>
      </c>
      <c r="C206" t="s">
        <v>20</v>
      </c>
      <c r="D206">
        <v>2</v>
      </c>
      <c r="E206" t="s">
        <v>7</v>
      </c>
      <c r="F206">
        <v>33000</v>
      </c>
      <c r="G206">
        <v>18000</v>
      </c>
      <c r="H206">
        <f>Table1[[#This Row],[Qty]]*Table1[[#This Row],[SellingPrice]]</f>
        <v>66000</v>
      </c>
      <c r="I206">
        <f>Table1[[#This Row],[Qty]]*Table1[[#This Row],[CostPrice]]</f>
        <v>36000</v>
      </c>
      <c r="J206">
        <v>29790</v>
      </c>
      <c r="K206">
        <v>209.99999999999997</v>
      </c>
      <c r="L206" t="s">
        <v>11</v>
      </c>
      <c r="M206" t="s">
        <v>29</v>
      </c>
      <c r="N206">
        <f>MONTH(Table1[[#This Row],[SaleDate]])</f>
        <v>2</v>
      </c>
      <c r="O206" t="str">
        <f>TEXT(Table1[[#This Row],[SaleDate]],"MMM")</f>
        <v>Feb</v>
      </c>
    </row>
    <row r="207" spans="1:15">
      <c r="A207" s="1">
        <v>44960</v>
      </c>
      <c r="B207" t="s">
        <v>24</v>
      </c>
      <c r="C207" t="s">
        <v>22</v>
      </c>
      <c r="D207">
        <v>2</v>
      </c>
      <c r="E207" t="s">
        <v>7</v>
      </c>
      <c r="F207">
        <v>33000</v>
      </c>
      <c r="G207">
        <v>18000</v>
      </c>
      <c r="H207">
        <f>Table1[[#This Row],[Qty]]*Table1[[#This Row],[SellingPrice]]</f>
        <v>66000</v>
      </c>
      <c r="I207">
        <f>Table1[[#This Row],[Qty]]*Table1[[#This Row],[CostPrice]]</f>
        <v>36000</v>
      </c>
      <c r="J207">
        <v>29790</v>
      </c>
      <c r="K207">
        <v>209.99999999999997</v>
      </c>
      <c r="L207" t="s">
        <v>12</v>
      </c>
      <c r="M207" t="s">
        <v>27</v>
      </c>
      <c r="N207">
        <f>MONTH(Table1[[#This Row],[SaleDate]])</f>
        <v>2</v>
      </c>
      <c r="O207" t="str">
        <f>TEXT(Table1[[#This Row],[SaleDate]],"MMM")</f>
        <v>Feb</v>
      </c>
    </row>
    <row r="208" spans="1:15">
      <c r="A208" s="1">
        <v>44960</v>
      </c>
      <c r="B208" t="s">
        <v>24</v>
      </c>
      <c r="C208" t="s">
        <v>22</v>
      </c>
      <c r="D208">
        <v>2</v>
      </c>
      <c r="E208" t="s">
        <v>9</v>
      </c>
      <c r="F208">
        <v>60000</v>
      </c>
      <c r="G208">
        <v>31000</v>
      </c>
      <c r="H208">
        <f>Table1[[#This Row],[Qty]]*Table1[[#This Row],[SellingPrice]]</f>
        <v>120000</v>
      </c>
      <c r="I208">
        <f>Table1[[#This Row],[Qty]]*Table1[[#This Row],[CostPrice]]</f>
        <v>62000</v>
      </c>
      <c r="J208">
        <v>57594</v>
      </c>
      <c r="K208">
        <v>405.99999999999994</v>
      </c>
      <c r="L208" t="s">
        <v>12</v>
      </c>
      <c r="M208" t="s">
        <v>28</v>
      </c>
      <c r="N208">
        <f>MONTH(Table1[[#This Row],[SaleDate]])</f>
        <v>2</v>
      </c>
      <c r="O208" t="str">
        <f>TEXT(Table1[[#This Row],[SaleDate]],"MMM")</f>
        <v>Feb</v>
      </c>
    </row>
    <row r="209" spans="1:15">
      <c r="A209" s="1">
        <v>44960</v>
      </c>
      <c r="B209" t="s">
        <v>24</v>
      </c>
      <c r="C209" t="s">
        <v>22</v>
      </c>
      <c r="D209">
        <v>2</v>
      </c>
      <c r="E209" t="s">
        <v>10</v>
      </c>
      <c r="F209">
        <v>89000</v>
      </c>
      <c r="G209">
        <v>65000</v>
      </c>
      <c r="H209">
        <f>Table1[[#This Row],[Qty]]*Table1[[#This Row],[SellingPrice]]</f>
        <v>178000</v>
      </c>
      <c r="I209">
        <f>Table1[[#This Row],[Qty]]*Table1[[#This Row],[CostPrice]]</f>
        <v>130000</v>
      </c>
      <c r="J209">
        <v>47664</v>
      </c>
      <c r="K209">
        <v>335.99999999999994</v>
      </c>
      <c r="L209" t="s">
        <v>12</v>
      </c>
      <c r="M209" t="s">
        <v>29</v>
      </c>
      <c r="N209">
        <f>MONTH(Table1[[#This Row],[SaleDate]])</f>
        <v>2</v>
      </c>
      <c r="O209" t="str">
        <f>TEXT(Table1[[#This Row],[SaleDate]],"MMM")</f>
        <v>Feb</v>
      </c>
    </row>
    <row r="210" spans="1:15">
      <c r="A210" s="1">
        <v>44960</v>
      </c>
      <c r="B210" t="s">
        <v>25</v>
      </c>
      <c r="C210" t="s">
        <v>21</v>
      </c>
      <c r="D210">
        <v>2</v>
      </c>
      <c r="E210" t="s">
        <v>7</v>
      </c>
      <c r="F210">
        <v>33000</v>
      </c>
      <c r="G210">
        <v>18000</v>
      </c>
      <c r="H210">
        <f>Table1[[#This Row],[Qty]]*Table1[[#This Row],[SellingPrice]]</f>
        <v>66000</v>
      </c>
      <c r="I210">
        <f>Table1[[#This Row],[Qty]]*Table1[[#This Row],[CostPrice]]</f>
        <v>36000</v>
      </c>
      <c r="J210">
        <v>29790</v>
      </c>
      <c r="K210">
        <v>209.99999999999997</v>
      </c>
      <c r="L210" t="s">
        <v>13</v>
      </c>
      <c r="M210" t="s">
        <v>30</v>
      </c>
      <c r="N210">
        <f>MONTH(Table1[[#This Row],[SaleDate]])</f>
        <v>2</v>
      </c>
      <c r="O210" t="str">
        <f>TEXT(Table1[[#This Row],[SaleDate]],"MMM")</f>
        <v>Feb</v>
      </c>
    </row>
    <row r="211" spans="1:15">
      <c r="A211" s="1">
        <v>44960</v>
      </c>
      <c r="B211" t="s">
        <v>25</v>
      </c>
      <c r="C211" t="s">
        <v>21</v>
      </c>
      <c r="D211">
        <v>2</v>
      </c>
      <c r="E211" t="s">
        <v>9</v>
      </c>
      <c r="F211">
        <v>60000</v>
      </c>
      <c r="G211">
        <v>31000</v>
      </c>
      <c r="H211">
        <f>Table1[[#This Row],[Qty]]*Table1[[#This Row],[SellingPrice]]</f>
        <v>120000</v>
      </c>
      <c r="I211">
        <f>Table1[[#This Row],[Qty]]*Table1[[#This Row],[CostPrice]]</f>
        <v>62000</v>
      </c>
      <c r="J211">
        <v>57594</v>
      </c>
      <c r="K211">
        <v>405.99999999999994</v>
      </c>
      <c r="L211" t="s">
        <v>13</v>
      </c>
      <c r="M211" t="s">
        <v>30</v>
      </c>
      <c r="N211">
        <f>MONTH(Table1[[#This Row],[SaleDate]])</f>
        <v>2</v>
      </c>
      <c r="O211" t="str">
        <f>TEXT(Table1[[#This Row],[SaleDate]],"MMM")</f>
        <v>Feb</v>
      </c>
    </row>
    <row r="212" spans="1:15">
      <c r="A212" s="1">
        <v>44960</v>
      </c>
      <c r="B212" t="s">
        <v>25</v>
      </c>
      <c r="C212" t="s">
        <v>21</v>
      </c>
      <c r="D212">
        <v>2</v>
      </c>
      <c r="E212" t="s">
        <v>10</v>
      </c>
      <c r="F212">
        <v>89000</v>
      </c>
      <c r="G212">
        <v>65000</v>
      </c>
      <c r="H212">
        <f>Table1[[#This Row],[Qty]]*Table1[[#This Row],[SellingPrice]]</f>
        <v>178000</v>
      </c>
      <c r="I212">
        <f>Table1[[#This Row],[Qty]]*Table1[[#This Row],[CostPrice]]</f>
        <v>130000</v>
      </c>
      <c r="J212">
        <v>47664</v>
      </c>
      <c r="K212">
        <v>335.99999999999994</v>
      </c>
      <c r="L212" t="s">
        <v>13</v>
      </c>
      <c r="M212" t="s">
        <v>27</v>
      </c>
      <c r="N212">
        <f>MONTH(Table1[[#This Row],[SaleDate]])</f>
        <v>2</v>
      </c>
      <c r="O212" t="str">
        <f>TEXT(Table1[[#This Row],[SaleDate]],"MMM")</f>
        <v>Feb</v>
      </c>
    </row>
    <row r="213" spans="1:15">
      <c r="A213" s="1">
        <v>44961</v>
      </c>
      <c r="B213" t="s">
        <v>23</v>
      </c>
      <c r="C213" t="s">
        <v>19</v>
      </c>
      <c r="D213">
        <v>2</v>
      </c>
      <c r="E213" t="s">
        <v>7</v>
      </c>
      <c r="F213">
        <v>33000</v>
      </c>
      <c r="G213">
        <v>18000</v>
      </c>
      <c r="H213">
        <f>Table1[[#This Row],[Qty]]*Table1[[#This Row],[SellingPrice]]</f>
        <v>66000</v>
      </c>
      <c r="I213">
        <f>Table1[[#This Row],[Qty]]*Table1[[#This Row],[CostPrice]]</f>
        <v>36000</v>
      </c>
      <c r="J213">
        <v>29790</v>
      </c>
      <c r="K213">
        <v>209.99999999999997</v>
      </c>
      <c r="L213" t="s">
        <v>8</v>
      </c>
      <c r="M213" t="s">
        <v>30</v>
      </c>
      <c r="N213">
        <f>MONTH(Table1[[#This Row],[SaleDate]])</f>
        <v>2</v>
      </c>
      <c r="O213" t="str">
        <f>TEXT(Table1[[#This Row],[SaleDate]],"MMM")</f>
        <v>Feb</v>
      </c>
    </row>
    <row r="214" spans="1:15">
      <c r="A214" s="1">
        <v>44961</v>
      </c>
      <c r="B214" t="s">
        <v>23</v>
      </c>
      <c r="C214" t="s">
        <v>19</v>
      </c>
      <c r="D214">
        <v>2</v>
      </c>
      <c r="E214" t="s">
        <v>9</v>
      </c>
      <c r="F214">
        <v>60000</v>
      </c>
      <c r="G214">
        <v>31000</v>
      </c>
      <c r="H214">
        <f>Table1[[#This Row],[Qty]]*Table1[[#This Row],[SellingPrice]]</f>
        <v>120000</v>
      </c>
      <c r="I214">
        <f>Table1[[#This Row],[Qty]]*Table1[[#This Row],[CostPrice]]</f>
        <v>62000</v>
      </c>
      <c r="J214">
        <v>57594</v>
      </c>
      <c r="K214">
        <v>405.99999999999994</v>
      </c>
      <c r="L214" t="s">
        <v>8</v>
      </c>
      <c r="M214" t="s">
        <v>30</v>
      </c>
      <c r="N214">
        <f>MONTH(Table1[[#This Row],[SaleDate]])</f>
        <v>2</v>
      </c>
      <c r="O214" t="str">
        <f>TEXT(Table1[[#This Row],[SaleDate]],"MMM")</f>
        <v>Feb</v>
      </c>
    </row>
    <row r="215" spans="1:15">
      <c r="A215" s="1">
        <v>44961</v>
      </c>
      <c r="B215" t="s">
        <v>23</v>
      </c>
      <c r="C215" t="s">
        <v>19</v>
      </c>
      <c r="D215">
        <v>2</v>
      </c>
      <c r="E215" t="s">
        <v>10</v>
      </c>
      <c r="F215">
        <v>89000</v>
      </c>
      <c r="G215">
        <v>65000</v>
      </c>
      <c r="H215">
        <f>Table1[[#This Row],[Qty]]*Table1[[#This Row],[SellingPrice]]</f>
        <v>178000</v>
      </c>
      <c r="I215">
        <f>Table1[[#This Row],[Qty]]*Table1[[#This Row],[CostPrice]]</f>
        <v>130000</v>
      </c>
      <c r="J215">
        <v>47664</v>
      </c>
      <c r="K215">
        <v>335.99999999999994</v>
      </c>
      <c r="L215" t="s">
        <v>8</v>
      </c>
      <c r="M215" t="s">
        <v>30</v>
      </c>
      <c r="N215">
        <f>MONTH(Table1[[#This Row],[SaleDate]])</f>
        <v>2</v>
      </c>
      <c r="O215" t="str">
        <f>TEXT(Table1[[#This Row],[SaleDate]],"MMM")</f>
        <v>Feb</v>
      </c>
    </row>
    <row r="216" spans="1:15">
      <c r="A216" s="1">
        <v>44961</v>
      </c>
      <c r="B216" t="s">
        <v>26</v>
      </c>
      <c r="C216" t="s">
        <v>20</v>
      </c>
      <c r="D216">
        <v>2</v>
      </c>
      <c r="E216" t="s">
        <v>7</v>
      </c>
      <c r="F216">
        <v>33000</v>
      </c>
      <c r="G216">
        <v>18000</v>
      </c>
      <c r="H216">
        <f>Table1[[#This Row],[Qty]]*Table1[[#This Row],[SellingPrice]]</f>
        <v>66000</v>
      </c>
      <c r="I216">
        <f>Table1[[#This Row],[Qty]]*Table1[[#This Row],[CostPrice]]</f>
        <v>36000</v>
      </c>
      <c r="J216">
        <v>29790</v>
      </c>
      <c r="K216">
        <v>209.99999999999997</v>
      </c>
      <c r="L216" t="s">
        <v>11</v>
      </c>
      <c r="M216" t="s">
        <v>27</v>
      </c>
      <c r="N216">
        <f>MONTH(Table1[[#This Row],[SaleDate]])</f>
        <v>2</v>
      </c>
      <c r="O216" t="str">
        <f>TEXT(Table1[[#This Row],[SaleDate]],"MMM")</f>
        <v>Feb</v>
      </c>
    </row>
    <row r="217" spans="1:15">
      <c r="A217" s="1">
        <v>44961</v>
      </c>
      <c r="B217" t="s">
        <v>24</v>
      </c>
      <c r="C217" t="s">
        <v>22</v>
      </c>
      <c r="D217">
        <v>2</v>
      </c>
      <c r="E217" t="s">
        <v>7</v>
      </c>
      <c r="F217">
        <v>33000</v>
      </c>
      <c r="G217">
        <v>18000</v>
      </c>
      <c r="H217">
        <f>Table1[[#This Row],[Qty]]*Table1[[#This Row],[SellingPrice]]</f>
        <v>66000</v>
      </c>
      <c r="I217">
        <f>Table1[[#This Row],[Qty]]*Table1[[#This Row],[CostPrice]]</f>
        <v>36000</v>
      </c>
      <c r="J217">
        <v>29790</v>
      </c>
      <c r="K217">
        <v>209.99999999999997</v>
      </c>
      <c r="L217" t="s">
        <v>12</v>
      </c>
      <c r="M217" t="s">
        <v>30</v>
      </c>
      <c r="N217">
        <f>MONTH(Table1[[#This Row],[SaleDate]])</f>
        <v>2</v>
      </c>
      <c r="O217" t="str">
        <f>TEXT(Table1[[#This Row],[SaleDate]],"MMM")</f>
        <v>Feb</v>
      </c>
    </row>
    <row r="218" spans="1:15">
      <c r="A218" s="1">
        <v>44961</v>
      </c>
      <c r="B218" t="s">
        <v>24</v>
      </c>
      <c r="C218" t="s">
        <v>22</v>
      </c>
      <c r="D218">
        <v>2</v>
      </c>
      <c r="E218" t="s">
        <v>9</v>
      </c>
      <c r="F218">
        <v>60000</v>
      </c>
      <c r="G218">
        <v>31000</v>
      </c>
      <c r="H218">
        <f>Table1[[#This Row],[Qty]]*Table1[[#This Row],[SellingPrice]]</f>
        <v>120000</v>
      </c>
      <c r="I218">
        <f>Table1[[#This Row],[Qty]]*Table1[[#This Row],[CostPrice]]</f>
        <v>62000</v>
      </c>
      <c r="J218">
        <v>57594</v>
      </c>
      <c r="K218">
        <v>405.99999999999994</v>
      </c>
      <c r="L218" t="s">
        <v>12</v>
      </c>
      <c r="M218" t="s">
        <v>27</v>
      </c>
      <c r="N218">
        <f>MONTH(Table1[[#This Row],[SaleDate]])</f>
        <v>2</v>
      </c>
      <c r="O218" t="str">
        <f>TEXT(Table1[[#This Row],[SaleDate]],"MMM")</f>
        <v>Feb</v>
      </c>
    </row>
    <row r="219" spans="1:15">
      <c r="A219" s="1">
        <v>44961</v>
      </c>
      <c r="B219" t="s">
        <v>24</v>
      </c>
      <c r="C219" t="s">
        <v>22</v>
      </c>
      <c r="D219">
        <v>2</v>
      </c>
      <c r="E219" t="s">
        <v>10</v>
      </c>
      <c r="F219">
        <v>89000</v>
      </c>
      <c r="G219">
        <v>65000</v>
      </c>
      <c r="H219">
        <f>Table1[[#This Row],[Qty]]*Table1[[#This Row],[SellingPrice]]</f>
        <v>178000</v>
      </c>
      <c r="I219">
        <f>Table1[[#This Row],[Qty]]*Table1[[#This Row],[CostPrice]]</f>
        <v>130000</v>
      </c>
      <c r="J219">
        <v>47664</v>
      </c>
      <c r="K219">
        <v>335.99999999999994</v>
      </c>
      <c r="L219" t="s">
        <v>12</v>
      </c>
      <c r="M219" t="s">
        <v>30</v>
      </c>
      <c r="N219">
        <f>MONTH(Table1[[#This Row],[SaleDate]])</f>
        <v>2</v>
      </c>
      <c r="O219" t="str">
        <f>TEXT(Table1[[#This Row],[SaleDate]],"MMM")</f>
        <v>Feb</v>
      </c>
    </row>
    <row r="220" spans="1:15">
      <c r="A220" s="1">
        <v>44961</v>
      </c>
      <c r="B220" t="s">
        <v>25</v>
      </c>
      <c r="C220" t="s">
        <v>21</v>
      </c>
      <c r="D220">
        <v>2</v>
      </c>
      <c r="E220" t="s">
        <v>7</v>
      </c>
      <c r="F220">
        <v>33000</v>
      </c>
      <c r="G220">
        <v>18000</v>
      </c>
      <c r="H220">
        <f>Table1[[#This Row],[Qty]]*Table1[[#This Row],[SellingPrice]]</f>
        <v>66000</v>
      </c>
      <c r="I220">
        <f>Table1[[#This Row],[Qty]]*Table1[[#This Row],[CostPrice]]</f>
        <v>36000</v>
      </c>
      <c r="J220">
        <v>29790</v>
      </c>
      <c r="K220">
        <v>209.99999999999997</v>
      </c>
      <c r="L220" t="s">
        <v>13</v>
      </c>
      <c r="M220" t="s">
        <v>27</v>
      </c>
      <c r="N220">
        <f>MONTH(Table1[[#This Row],[SaleDate]])</f>
        <v>2</v>
      </c>
      <c r="O220" t="str">
        <f>TEXT(Table1[[#This Row],[SaleDate]],"MMM")</f>
        <v>Feb</v>
      </c>
    </row>
    <row r="221" spans="1:15">
      <c r="A221" s="1">
        <v>44961</v>
      </c>
      <c r="B221" t="s">
        <v>25</v>
      </c>
      <c r="C221" t="s">
        <v>21</v>
      </c>
      <c r="D221">
        <v>2</v>
      </c>
      <c r="E221" t="s">
        <v>9</v>
      </c>
      <c r="F221">
        <v>60000</v>
      </c>
      <c r="G221">
        <v>31000</v>
      </c>
      <c r="H221">
        <f>Table1[[#This Row],[Qty]]*Table1[[#This Row],[SellingPrice]]</f>
        <v>120000</v>
      </c>
      <c r="I221">
        <f>Table1[[#This Row],[Qty]]*Table1[[#This Row],[CostPrice]]</f>
        <v>62000</v>
      </c>
      <c r="J221">
        <v>57594</v>
      </c>
      <c r="K221">
        <v>405.99999999999994</v>
      </c>
      <c r="L221" t="s">
        <v>13</v>
      </c>
      <c r="M221" t="s">
        <v>30</v>
      </c>
      <c r="N221">
        <f>MONTH(Table1[[#This Row],[SaleDate]])</f>
        <v>2</v>
      </c>
      <c r="O221" t="str">
        <f>TEXT(Table1[[#This Row],[SaleDate]],"MMM")</f>
        <v>Feb</v>
      </c>
    </row>
    <row r="222" spans="1:15">
      <c r="A222" s="1">
        <v>44961</v>
      </c>
      <c r="B222" t="s">
        <v>25</v>
      </c>
      <c r="C222" t="s">
        <v>21</v>
      </c>
      <c r="D222">
        <v>2</v>
      </c>
      <c r="E222" t="s">
        <v>10</v>
      </c>
      <c r="F222">
        <v>89000</v>
      </c>
      <c r="G222">
        <v>65000</v>
      </c>
      <c r="H222">
        <f>Table1[[#This Row],[Qty]]*Table1[[#This Row],[SellingPrice]]</f>
        <v>178000</v>
      </c>
      <c r="I222">
        <f>Table1[[#This Row],[Qty]]*Table1[[#This Row],[CostPrice]]</f>
        <v>130000</v>
      </c>
      <c r="J222">
        <v>47664</v>
      </c>
      <c r="K222">
        <v>335.99999999999994</v>
      </c>
      <c r="L222" t="s">
        <v>13</v>
      </c>
      <c r="M222" t="s">
        <v>30</v>
      </c>
      <c r="N222">
        <f>MONTH(Table1[[#This Row],[SaleDate]])</f>
        <v>2</v>
      </c>
      <c r="O222" t="str">
        <f>TEXT(Table1[[#This Row],[SaleDate]],"MMM")</f>
        <v>Feb</v>
      </c>
    </row>
    <row r="223" spans="1:15">
      <c r="A223" s="1">
        <v>44962</v>
      </c>
      <c r="B223" t="s">
        <v>23</v>
      </c>
      <c r="C223" t="s">
        <v>19</v>
      </c>
      <c r="D223">
        <v>1</v>
      </c>
      <c r="E223" t="s">
        <v>7</v>
      </c>
      <c r="F223">
        <v>33000</v>
      </c>
      <c r="G223">
        <v>18000</v>
      </c>
      <c r="H223">
        <f>Table1[[#This Row],[Qty]]*Table1[[#This Row],[SellingPrice]]</f>
        <v>33000</v>
      </c>
      <c r="I223">
        <f>Table1[[#This Row],[Qty]]*Table1[[#This Row],[CostPrice]]</f>
        <v>18000</v>
      </c>
      <c r="J223">
        <v>14895</v>
      </c>
      <c r="K223">
        <v>104.99999999999999</v>
      </c>
      <c r="L223" t="s">
        <v>8</v>
      </c>
      <c r="M223" t="s">
        <v>27</v>
      </c>
      <c r="N223">
        <f>MONTH(Table1[[#This Row],[SaleDate]])</f>
        <v>2</v>
      </c>
      <c r="O223" t="str">
        <f>TEXT(Table1[[#This Row],[SaleDate]],"MMM")</f>
        <v>Feb</v>
      </c>
    </row>
    <row r="224" spans="1:15">
      <c r="A224" s="1">
        <v>44962</v>
      </c>
      <c r="B224" t="s">
        <v>23</v>
      </c>
      <c r="C224" t="s">
        <v>19</v>
      </c>
      <c r="D224">
        <v>1</v>
      </c>
      <c r="E224" t="s">
        <v>9</v>
      </c>
      <c r="F224">
        <v>60000</v>
      </c>
      <c r="G224">
        <v>31000</v>
      </c>
      <c r="H224">
        <f>Table1[[#This Row],[Qty]]*Table1[[#This Row],[SellingPrice]]</f>
        <v>60000</v>
      </c>
      <c r="I224">
        <f>Table1[[#This Row],[Qty]]*Table1[[#This Row],[CostPrice]]</f>
        <v>31000</v>
      </c>
      <c r="J224">
        <v>28797</v>
      </c>
      <c r="K224">
        <v>202.99999999999997</v>
      </c>
      <c r="L224" t="s">
        <v>8</v>
      </c>
      <c r="M224" t="s">
        <v>29</v>
      </c>
      <c r="N224">
        <f>MONTH(Table1[[#This Row],[SaleDate]])</f>
        <v>2</v>
      </c>
      <c r="O224" t="str">
        <f>TEXT(Table1[[#This Row],[SaleDate]],"MMM")</f>
        <v>Feb</v>
      </c>
    </row>
    <row r="225" spans="1:15">
      <c r="A225" s="1">
        <v>44962</v>
      </c>
      <c r="B225" t="s">
        <v>23</v>
      </c>
      <c r="C225" t="s">
        <v>19</v>
      </c>
      <c r="D225">
        <v>1</v>
      </c>
      <c r="E225" t="s">
        <v>10</v>
      </c>
      <c r="F225">
        <v>89000</v>
      </c>
      <c r="G225">
        <v>65000</v>
      </c>
      <c r="H225">
        <f>Table1[[#This Row],[Qty]]*Table1[[#This Row],[SellingPrice]]</f>
        <v>89000</v>
      </c>
      <c r="I225">
        <f>Table1[[#This Row],[Qty]]*Table1[[#This Row],[CostPrice]]</f>
        <v>65000</v>
      </c>
      <c r="J225">
        <v>23832</v>
      </c>
      <c r="K225">
        <v>167.99999999999997</v>
      </c>
      <c r="L225" t="s">
        <v>8</v>
      </c>
      <c r="M225" t="s">
        <v>29</v>
      </c>
      <c r="N225">
        <f>MONTH(Table1[[#This Row],[SaleDate]])</f>
        <v>2</v>
      </c>
      <c r="O225" t="str">
        <f>TEXT(Table1[[#This Row],[SaleDate]],"MMM")</f>
        <v>Feb</v>
      </c>
    </row>
    <row r="226" spans="1:15">
      <c r="A226" s="1">
        <v>44962</v>
      </c>
      <c r="B226" t="s">
        <v>26</v>
      </c>
      <c r="C226" t="s">
        <v>20</v>
      </c>
      <c r="D226">
        <v>1</v>
      </c>
      <c r="E226" t="s">
        <v>7</v>
      </c>
      <c r="F226">
        <v>33000</v>
      </c>
      <c r="G226">
        <v>18000</v>
      </c>
      <c r="H226">
        <f>Table1[[#This Row],[Qty]]*Table1[[#This Row],[SellingPrice]]</f>
        <v>33000</v>
      </c>
      <c r="I226">
        <f>Table1[[#This Row],[Qty]]*Table1[[#This Row],[CostPrice]]</f>
        <v>18000</v>
      </c>
      <c r="J226">
        <v>14895</v>
      </c>
      <c r="K226">
        <v>104.99999999999999</v>
      </c>
      <c r="L226" t="s">
        <v>11</v>
      </c>
      <c r="M226" t="s">
        <v>30</v>
      </c>
      <c r="N226">
        <f>MONTH(Table1[[#This Row],[SaleDate]])</f>
        <v>2</v>
      </c>
      <c r="O226" t="str">
        <f>TEXT(Table1[[#This Row],[SaleDate]],"MMM")</f>
        <v>Feb</v>
      </c>
    </row>
    <row r="227" spans="1:15">
      <c r="A227" s="1">
        <v>44962</v>
      </c>
      <c r="B227" t="s">
        <v>24</v>
      </c>
      <c r="C227" t="s">
        <v>22</v>
      </c>
      <c r="D227">
        <v>1</v>
      </c>
      <c r="E227" t="s">
        <v>7</v>
      </c>
      <c r="F227">
        <v>33000</v>
      </c>
      <c r="G227">
        <v>18000</v>
      </c>
      <c r="H227">
        <f>Table1[[#This Row],[Qty]]*Table1[[#This Row],[SellingPrice]]</f>
        <v>33000</v>
      </c>
      <c r="I227">
        <f>Table1[[#This Row],[Qty]]*Table1[[#This Row],[CostPrice]]</f>
        <v>18000</v>
      </c>
      <c r="J227">
        <v>14895</v>
      </c>
      <c r="K227">
        <v>104.99999999999999</v>
      </c>
      <c r="L227" t="s">
        <v>12</v>
      </c>
      <c r="M227" t="s">
        <v>29</v>
      </c>
      <c r="N227">
        <f>MONTH(Table1[[#This Row],[SaleDate]])</f>
        <v>2</v>
      </c>
      <c r="O227" t="str">
        <f>TEXT(Table1[[#This Row],[SaleDate]],"MMM")</f>
        <v>Feb</v>
      </c>
    </row>
    <row r="228" spans="1:15">
      <c r="A228" s="1">
        <v>44962</v>
      </c>
      <c r="B228" t="s">
        <v>24</v>
      </c>
      <c r="C228" t="s">
        <v>22</v>
      </c>
      <c r="D228">
        <v>1</v>
      </c>
      <c r="E228" t="s">
        <v>9</v>
      </c>
      <c r="F228">
        <v>60000</v>
      </c>
      <c r="G228">
        <v>31000</v>
      </c>
      <c r="H228">
        <f>Table1[[#This Row],[Qty]]*Table1[[#This Row],[SellingPrice]]</f>
        <v>60000</v>
      </c>
      <c r="I228">
        <f>Table1[[#This Row],[Qty]]*Table1[[#This Row],[CostPrice]]</f>
        <v>31000</v>
      </c>
      <c r="J228">
        <v>28797</v>
      </c>
      <c r="K228">
        <v>202.99999999999997</v>
      </c>
      <c r="L228" t="s">
        <v>12</v>
      </c>
      <c r="M228" t="s">
        <v>30</v>
      </c>
      <c r="N228">
        <f>MONTH(Table1[[#This Row],[SaleDate]])</f>
        <v>2</v>
      </c>
      <c r="O228" t="str">
        <f>TEXT(Table1[[#This Row],[SaleDate]],"MMM")</f>
        <v>Feb</v>
      </c>
    </row>
    <row r="229" spans="1:15">
      <c r="A229" s="1">
        <v>44962</v>
      </c>
      <c r="B229" t="s">
        <v>24</v>
      </c>
      <c r="C229" t="s">
        <v>22</v>
      </c>
      <c r="D229">
        <v>1</v>
      </c>
      <c r="E229" t="s">
        <v>10</v>
      </c>
      <c r="F229">
        <v>89000</v>
      </c>
      <c r="G229">
        <v>65000</v>
      </c>
      <c r="H229">
        <f>Table1[[#This Row],[Qty]]*Table1[[#This Row],[SellingPrice]]</f>
        <v>89000</v>
      </c>
      <c r="I229">
        <f>Table1[[#This Row],[Qty]]*Table1[[#This Row],[CostPrice]]</f>
        <v>65000</v>
      </c>
      <c r="J229">
        <v>23832</v>
      </c>
      <c r="K229">
        <v>167.99999999999997</v>
      </c>
      <c r="L229" t="s">
        <v>12</v>
      </c>
      <c r="M229" t="s">
        <v>27</v>
      </c>
      <c r="N229">
        <f>MONTH(Table1[[#This Row],[SaleDate]])</f>
        <v>2</v>
      </c>
      <c r="O229" t="str">
        <f>TEXT(Table1[[#This Row],[SaleDate]],"MMM")</f>
        <v>Feb</v>
      </c>
    </row>
    <row r="230" spans="1:15">
      <c r="A230" s="1">
        <v>44962</v>
      </c>
      <c r="B230" t="s">
        <v>25</v>
      </c>
      <c r="C230" t="s">
        <v>21</v>
      </c>
      <c r="D230">
        <v>1</v>
      </c>
      <c r="E230" t="s">
        <v>7</v>
      </c>
      <c r="F230">
        <v>33000</v>
      </c>
      <c r="G230">
        <v>18000</v>
      </c>
      <c r="H230">
        <f>Table1[[#This Row],[Qty]]*Table1[[#This Row],[SellingPrice]]</f>
        <v>33000</v>
      </c>
      <c r="I230">
        <f>Table1[[#This Row],[Qty]]*Table1[[#This Row],[CostPrice]]</f>
        <v>18000</v>
      </c>
      <c r="J230">
        <v>14895</v>
      </c>
      <c r="K230">
        <v>104.99999999999999</v>
      </c>
      <c r="L230" t="s">
        <v>13</v>
      </c>
      <c r="M230" t="s">
        <v>27</v>
      </c>
      <c r="N230">
        <f>MONTH(Table1[[#This Row],[SaleDate]])</f>
        <v>2</v>
      </c>
      <c r="O230" t="str">
        <f>TEXT(Table1[[#This Row],[SaleDate]],"MMM")</f>
        <v>Feb</v>
      </c>
    </row>
    <row r="231" spans="1:15">
      <c r="A231" s="1">
        <v>44962</v>
      </c>
      <c r="B231" t="s">
        <v>25</v>
      </c>
      <c r="C231" t="s">
        <v>21</v>
      </c>
      <c r="D231">
        <v>1</v>
      </c>
      <c r="E231" t="s">
        <v>9</v>
      </c>
      <c r="F231">
        <v>60000</v>
      </c>
      <c r="G231">
        <v>31000</v>
      </c>
      <c r="H231">
        <f>Table1[[#This Row],[Qty]]*Table1[[#This Row],[SellingPrice]]</f>
        <v>60000</v>
      </c>
      <c r="I231">
        <f>Table1[[#This Row],[Qty]]*Table1[[#This Row],[CostPrice]]</f>
        <v>31000</v>
      </c>
      <c r="J231">
        <v>28797</v>
      </c>
      <c r="K231">
        <v>202.99999999999997</v>
      </c>
      <c r="L231" t="s">
        <v>13</v>
      </c>
      <c r="M231" t="s">
        <v>30</v>
      </c>
      <c r="N231">
        <f>MONTH(Table1[[#This Row],[SaleDate]])</f>
        <v>2</v>
      </c>
      <c r="O231" t="str">
        <f>TEXT(Table1[[#This Row],[SaleDate]],"MMM")</f>
        <v>Feb</v>
      </c>
    </row>
    <row r="232" spans="1:15">
      <c r="A232" s="1">
        <v>44962</v>
      </c>
      <c r="B232" t="s">
        <v>25</v>
      </c>
      <c r="C232" t="s">
        <v>21</v>
      </c>
      <c r="D232">
        <v>1</v>
      </c>
      <c r="E232" t="s">
        <v>10</v>
      </c>
      <c r="F232">
        <v>89000</v>
      </c>
      <c r="G232">
        <v>65000</v>
      </c>
      <c r="H232">
        <f>Table1[[#This Row],[Qty]]*Table1[[#This Row],[SellingPrice]]</f>
        <v>89000</v>
      </c>
      <c r="I232">
        <f>Table1[[#This Row],[Qty]]*Table1[[#This Row],[CostPrice]]</f>
        <v>65000</v>
      </c>
      <c r="J232">
        <v>23832</v>
      </c>
      <c r="K232">
        <v>167.99999999999997</v>
      </c>
      <c r="L232" t="s">
        <v>13</v>
      </c>
      <c r="M232" t="s">
        <v>28</v>
      </c>
      <c r="N232">
        <f>MONTH(Table1[[#This Row],[SaleDate]])</f>
        <v>2</v>
      </c>
      <c r="O232" t="str">
        <f>TEXT(Table1[[#This Row],[SaleDate]],"MMM")</f>
        <v>Feb</v>
      </c>
    </row>
    <row r="233" spans="1:15">
      <c r="A233" s="1">
        <v>44963</v>
      </c>
      <c r="B233" t="s">
        <v>23</v>
      </c>
      <c r="C233" t="s">
        <v>19</v>
      </c>
      <c r="D233">
        <v>1</v>
      </c>
      <c r="E233" t="s">
        <v>7</v>
      </c>
      <c r="F233">
        <v>33000</v>
      </c>
      <c r="G233">
        <v>18000</v>
      </c>
      <c r="H233">
        <f>Table1[[#This Row],[Qty]]*Table1[[#This Row],[SellingPrice]]</f>
        <v>33000</v>
      </c>
      <c r="I233">
        <f>Table1[[#This Row],[Qty]]*Table1[[#This Row],[CostPrice]]</f>
        <v>18000</v>
      </c>
      <c r="J233">
        <v>14895</v>
      </c>
      <c r="K233">
        <v>104.99999999999999</v>
      </c>
      <c r="L233" t="s">
        <v>8</v>
      </c>
      <c r="M233" t="s">
        <v>30</v>
      </c>
      <c r="N233">
        <f>MONTH(Table1[[#This Row],[SaleDate]])</f>
        <v>2</v>
      </c>
      <c r="O233" t="str">
        <f>TEXT(Table1[[#This Row],[SaleDate]],"MMM")</f>
        <v>Feb</v>
      </c>
    </row>
    <row r="234" spans="1:15">
      <c r="A234" s="1">
        <v>44963</v>
      </c>
      <c r="B234" t="s">
        <v>23</v>
      </c>
      <c r="C234" t="s">
        <v>19</v>
      </c>
      <c r="D234">
        <v>1</v>
      </c>
      <c r="E234" t="s">
        <v>9</v>
      </c>
      <c r="F234">
        <v>60000</v>
      </c>
      <c r="G234">
        <v>31000</v>
      </c>
      <c r="H234">
        <f>Table1[[#This Row],[Qty]]*Table1[[#This Row],[SellingPrice]]</f>
        <v>60000</v>
      </c>
      <c r="I234">
        <f>Table1[[#This Row],[Qty]]*Table1[[#This Row],[CostPrice]]</f>
        <v>31000</v>
      </c>
      <c r="J234">
        <v>28797</v>
      </c>
      <c r="K234">
        <v>202.99999999999997</v>
      </c>
      <c r="L234" t="s">
        <v>8</v>
      </c>
      <c r="M234" t="s">
        <v>29</v>
      </c>
      <c r="N234">
        <f>MONTH(Table1[[#This Row],[SaleDate]])</f>
        <v>2</v>
      </c>
      <c r="O234" t="str">
        <f>TEXT(Table1[[#This Row],[SaleDate]],"MMM")</f>
        <v>Feb</v>
      </c>
    </row>
    <row r="235" spans="1:15">
      <c r="A235" s="1">
        <v>44963</v>
      </c>
      <c r="B235" t="s">
        <v>23</v>
      </c>
      <c r="C235" t="s">
        <v>19</v>
      </c>
      <c r="D235">
        <v>1</v>
      </c>
      <c r="E235" t="s">
        <v>10</v>
      </c>
      <c r="F235">
        <v>89000</v>
      </c>
      <c r="G235">
        <v>65000</v>
      </c>
      <c r="H235">
        <f>Table1[[#This Row],[Qty]]*Table1[[#This Row],[SellingPrice]]</f>
        <v>89000</v>
      </c>
      <c r="I235">
        <f>Table1[[#This Row],[Qty]]*Table1[[#This Row],[CostPrice]]</f>
        <v>65000</v>
      </c>
      <c r="J235">
        <v>23832</v>
      </c>
      <c r="K235">
        <v>167.99999999999997</v>
      </c>
      <c r="L235" t="s">
        <v>8</v>
      </c>
      <c r="M235" t="s">
        <v>27</v>
      </c>
      <c r="N235">
        <f>MONTH(Table1[[#This Row],[SaleDate]])</f>
        <v>2</v>
      </c>
      <c r="O235" t="str">
        <f>TEXT(Table1[[#This Row],[SaleDate]],"MMM")</f>
        <v>Feb</v>
      </c>
    </row>
    <row r="236" spans="1:15">
      <c r="A236" s="1">
        <v>44963</v>
      </c>
      <c r="B236" t="s">
        <v>26</v>
      </c>
      <c r="C236" t="s">
        <v>20</v>
      </c>
      <c r="D236">
        <v>1</v>
      </c>
      <c r="E236" t="s">
        <v>7</v>
      </c>
      <c r="F236">
        <v>33000</v>
      </c>
      <c r="G236">
        <v>18000</v>
      </c>
      <c r="H236">
        <f>Table1[[#This Row],[Qty]]*Table1[[#This Row],[SellingPrice]]</f>
        <v>33000</v>
      </c>
      <c r="I236">
        <f>Table1[[#This Row],[Qty]]*Table1[[#This Row],[CostPrice]]</f>
        <v>18000</v>
      </c>
      <c r="J236">
        <v>14895</v>
      </c>
      <c r="K236">
        <v>104.99999999999999</v>
      </c>
      <c r="L236" t="s">
        <v>11</v>
      </c>
      <c r="M236" t="s">
        <v>30</v>
      </c>
      <c r="N236">
        <f>MONTH(Table1[[#This Row],[SaleDate]])</f>
        <v>2</v>
      </c>
      <c r="O236" t="str">
        <f>TEXT(Table1[[#This Row],[SaleDate]],"MMM")</f>
        <v>Feb</v>
      </c>
    </row>
    <row r="237" spans="1:15">
      <c r="A237" s="1">
        <v>44963</v>
      </c>
      <c r="B237" t="s">
        <v>24</v>
      </c>
      <c r="C237" t="s">
        <v>22</v>
      </c>
      <c r="D237">
        <v>1</v>
      </c>
      <c r="E237" t="s">
        <v>7</v>
      </c>
      <c r="F237">
        <v>33000</v>
      </c>
      <c r="G237">
        <v>18000</v>
      </c>
      <c r="H237">
        <f>Table1[[#This Row],[Qty]]*Table1[[#This Row],[SellingPrice]]</f>
        <v>33000</v>
      </c>
      <c r="I237">
        <f>Table1[[#This Row],[Qty]]*Table1[[#This Row],[CostPrice]]</f>
        <v>18000</v>
      </c>
      <c r="J237">
        <v>14895</v>
      </c>
      <c r="K237">
        <v>104.99999999999999</v>
      </c>
      <c r="L237" t="s">
        <v>12</v>
      </c>
      <c r="M237" t="s">
        <v>29</v>
      </c>
      <c r="N237">
        <f>MONTH(Table1[[#This Row],[SaleDate]])</f>
        <v>2</v>
      </c>
      <c r="O237" t="str">
        <f>TEXT(Table1[[#This Row],[SaleDate]],"MMM")</f>
        <v>Feb</v>
      </c>
    </row>
    <row r="238" spans="1:15">
      <c r="A238" s="1">
        <v>44963</v>
      </c>
      <c r="B238" t="s">
        <v>24</v>
      </c>
      <c r="C238" t="s">
        <v>22</v>
      </c>
      <c r="D238">
        <v>1</v>
      </c>
      <c r="E238" t="s">
        <v>9</v>
      </c>
      <c r="F238">
        <v>60000</v>
      </c>
      <c r="G238">
        <v>31000</v>
      </c>
      <c r="H238">
        <f>Table1[[#This Row],[Qty]]*Table1[[#This Row],[SellingPrice]]</f>
        <v>60000</v>
      </c>
      <c r="I238">
        <f>Table1[[#This Row],[Qty]]*Table1[[#This Row],[CostPrice]]</f>
        <v>31000</v>
      </c>
      <c r="J238">
        <v>28797</v>
      </c>
      <c r="K238">
        <v>202.99999999999997</v>
      </c>
      <c r="L238" t="s">
        <v>12</v>
      </c>
      <c r="M238" t="s">
        <v>27</v>
      </c>
      <c r="N238">
        <f>MONTH(Table1[[#This Row],[SaleDate]])</f>
        <v>2</v>
      </c>
      <c r="O238" t="str">
        <f>TEXT(Table1[[#This Row],[SaleDate]],"MMM")</f>
        <v>Feb</v>
      </c>
    </row>
    <row r="239" spans="1:15">
      <c r="A239" s="1">
        <v>44963</v>
      </c>
      <c r="B239" t="s">
        <v>24</v>
      </c>
      <c r="C239" t="s">
        <v>22</v>
      </c>
      <c r="D239">
        <v>1</v>
      </c>
      <c r="E239" t="s">
        <v>10</v>
      </c>
      <c r="F239">
        <v>89000</v>
      </c>
      <c r="G239">
        <v>65000</v>
      </c>
      <c r="H239">
        <f>Table1[[#This Row],[Qty]]*Table1[[#This Row],[SellingPrice]]</f>
        <v>89000</v>
      </c>
      <c r="I239">
        <f>Table1[[#This Row],[Qty]]*Table1[[#This Row],[CostPrice]]</f>
        <v>65000</v>
      </c>
      <c r="J239">
        <v>23832</v>
      </c>
      <c r="K239">
        <v>167.99999999999997</v>
      </c>
      <c r="L239" t="s">
        <v>12</v>
      </c>
      <c r="M239" t="s">
        <v>29</v>
      </c>
      <c r="N239">
        <f>MONTH(Table1[[#This Row],[SaleDate]])</f>
        <v>2</v>
      </c>
      <c r="O239" t="str">
        <f>TEXT(Table1[[#This Row],[SaleDate]],"MMM")</f>
        <v>Feb</v>
      </c>
    </row>
    <row r="240" spans="1:15">
      <c r="A240" s="1">
        <v>44963</v>
      </c>
      <c r="B240" t="s">
        <v>25</v>
      </c>
      <c r="C240" t="s">
        <v>21</v>
      </c>
      <c r="D240">
        <v>1</v>
      </c>
      <c r="E240" t="s">
        <v>7</v>
      </c>
      <c r="F240">
        <v>33000</v>
      </c>
      <c r="G240">
        <v>18000</v>
      </c>
      <c r="H240">
        <f>Table1[[#This Row],[Qty]]*Table1[[#This Row],[SellingPrice]]</f>
        <v>33000</v>
      </c>
      <c r="I240">
        <f>Table1[[#This Row],[Qty]]*Table1[[#This Row],[CostPrice]]</f>
        <v>18000</v>
      </c>
      <c r="J240">
        <v>14895</v>
      </c>
      <c r="K240">
        <v>104.99999999999999</v>
      </c>
      <c r="L240" t="s">
        <v>13</v>
      </c>
      <c r="M240" t="s">
        <v>30</v>
      </c>
      <c r="N240">
        <f>MONTH(Table1[[#This Row],[SaleDate]])</f>
        <v>2</v>
      </c>
      <c r="O240" t="str">
        <f>TEXT(Table1[[#This Row],[SaleDate]],"MMM")</f>
        <v>Feb</v>
      </c>
    </row>
    <row r="241" spans="1:15">
      <c r="A241" s="1">
        <v>44963</v>
      </c>
      <c r="B241" t="s">
        <v>25</v>
      </c>
      <c r="C241" t="s">
        <v>21</v>
      </c>
      <c r="D241">
        <v>1</v>
      </c>
      <c r="E241" t="s">
        <v>9</v>
      </c>
      <c r="F241">
        <v>60000</v>
      </c>
      <c r="G241">
        <v>31000</v>
      </c>
      <c r="H241">
        <f>Table1[[#This Row],[Qty]]*Table1[[#This Row],[SellingPrice]]</f>
        <v>60000</v>
      </c>
      <c r="I241">
        <f>Table1[[#This Row],[Qty]]*Table1[[#This Row],[CostPrice]]</f>
        <v>31000</v>
      </c>
      <c r="J241">
        <v>28797</v>
      </c>
      <c r="K241">
        <v>202.99999999999997</v>
      </c>
      <c r="L241" t="s">
        <v>13</v>
      </c>
      <c r="M241" t="s">
        <v>30</v>
      </c>
      <c r="N241">
        <f>MONTH(Table1[[#This Row],[SaleDate]])</f>
        <v>2</v>
      </c>
      <c r="O241" t="str">
        <f>TEXT(Table1[[#This Row],[SaleDate]],"MMM")</f>
        <v>Feb</v>
      </c>
    </row>
    <row r="242" spans="1:15">
      <c r="A242" s="1">
        <v>44963</v>
      </c>
      <c r="B242" t="s">
        <v>25</v>
      </c>
      <c r="C242" t="s">
        <v>21</v>
      </c>
      <c r="D242">
        <v>1</v>
      </c>
      <c r="E242" t="s">
        <v>10</v>
      </c>
      <c r="F242">
        <v>89000</v>
      </c>
      <c r="G242">
        <v>65000</v>
      </c>
      <c r="H242">
        <f>Table1[[#This Row],[Qty]]*Table1[[#This Row],[SellingPrice]]</f>
        <v>89000</v>
      </c>
      <c r="I242">
        <f>Table1[[#This Row],[Qty]]*Table1[[#This Row],[CostPrice]]</f>
        <v>65000</v>
      </c>
      <c r="J242">
        <v>23832</v>
      </c>
      <c r="K242">
        <v>167.99999999999997</v>
      </c>
      <c r="L242" t="s">
        <v>13</v>
      </c>
      <c r="M242" t="s">
        <v>30</v>
      </c>
      <c r="N242">
        <f>MONTH(Table1[[#This Row],[SaleDate]])</f>
        <v>2</v>
      </c>
      <c r="O242" t="str">
        <f>TEXT(Table1[[#This Row],[SaleDate]],"MMM")</f>
        <v>Feb</v>
      </c>
    </row>
    <row r="243" spans="1:15">
      <c r="A243" s="1">
        <v>44964</v>
      </c>
      <c r="B243" t="s">
        <v>23</v>
      </c>
      <c r="C243" t="s">
        <v>19</v>
      </c>
      <c r="D243">
        <v>2</v>
      </c>
      <c r="E243" t="s">
        <v>7</v>
      </c>
      <c r="F243">
        <v>33000</v>
      </c>
      <c r="G243">
        <v>18000</v>
      </c>
      <c r="H243">
        <f>Table1[[#This Row],[Qty]]*Table1[[#This Row],[SellingPrice]]</f>
        <v>66000</v>
      </c>
      <c r="I243">
        <f>Table1[[#This Row],[Qty]]*Table1[[#This Row],[CostPrice]]</f>
        <v>36000</v>
      </c>
      <c r="J243">
        <v>29790</v>
      </c>
      <c r="K243">
        <v>209.99999999999997</v>
      </c>
      <c r="L243" t="s">
        <v>8</v>
      </c>
      <c r="M243" t="s">
        <v>30</v>
      </c>
      <c r="N243">
        <f>MONTH(Table1[[#This Row],[SaleDate]])</f>
        <v>2</v>
      </c>
      <c r="O243" t="str">
        <f>TEXT(Table1[[#This Row],[SaleDate]],"MMM")</f>
        <v>Feb</v>
      </c>
    </row>
    <row r="244" spans="1:15">
      <c r="A244" s="1">
        <v>44964</v>
      </c>
      <c r="B244" t="s">
        <v>23</v>
      </c>
      <c r="C244" t="s">
        <v>19</v>
      </c>
      <c r="D244">
        <v>2</v>
      </c>
      <c r="E244" t="s">
        <v>9</v>
      </c>
      <c r="F244">
        <v>60000</v>
      </c>
      <c r="G244">
        <v>31000</v>
      </c>
      <c r="H244">
        <f>Table1[[#This Row],[Qty]]*Table1[[#This Row],[SellingPrice]]</f>
        <v>120000</v>
      </c>
      <c r="I244">
        <f>Table1[[#This Row],[Qty]]*Table1[[#This Row],[CostPrice]]</f>
        <v>62000</v>
      </c>
      <c r="J244">
        <v>57594</v>
      </c>
      <c r="K244">
        <v>405.99999999999994</v>
      </c>
      <c r="L244" t="s">
        <v>8</v>
      </c>
      <c r="M244" t="s">
        <v>27</v>
      </c>
      <c r="N244">
        <f>MONTH(Table1[[#This Row],[SaleDate]])</f>
        <v>2</v>
      </c>
      <c r="O244" t="str">
        <f>TEXT(Table1[[#This Row],[SaleDate]],"MMM")</f>
        <v>Feb</v>
      </c>
    </row>
    <row r="245" spans="1:15">
      <c r="A245" s="1">
        <v>44964</v>
      </c>
      <c r="B245" t="s">
        <v>23</v>
      </c>
      <c r="C245" t="s">
        <v>19</v>
      </c>
      <c r="D245">
        <v>2</v>
      </c>
      <c r="E245" t="s">
        <v>10</v>
      </c>
      <c r="F245">
        <v>89000</v>
      </c>
      <c r="G245">
        <v>65000</v>
      </c>
      <c r="H245">
        <f>Table1[[#This Row],[Qty]]*Table1[[#This Row],[SellingPrice]]</f>
        <v>178000</v>
      </c>
      <c r="I245">
        <f>Table1[[#This Row],[Qty]]*Table1[[#This Row],[CostPrice]]</f>
        <v>130000</v>
      </c>
      <c r="J245">
        <v>47664</v>
      </c>
      <c r="K245">
        <v>335.99999999999994</v>
      </c>
      <c r="L245" t="s">
        <v>8</v>
      </c>
      <c r="M245" t="s">
        <v>30</v>
      </c>
      <c r="N245">
        <f>MONTH(Table1[[#This Row],[SaleDate]])</f>
        <v>2</v>
      </c>
      <c r="O245" t="str">
        <f>TEXT(Table1[[#This Row],[SaleDate]],"MMM")</f>
        <v>Feb</v>
      </c>
    </row>
    <row r="246" spans="1:15">
      <c r="A246" s="1">
        <v>44964</v>
      </c>
      <c r="B246" t="s">
        <v>26</v>
      </c>
      <c r="C246" t="s">
        <v>20</v>
      </c>
      <c r="D246">
        <v>2</v>
      </c>
      <c r="E246" t="s">
        <v>7</v>
      </c>
      <c r="F246">
        <v>33000</v>
      </c>
      <c r="G246">
        <v>18000</v>
      </c>
      <c r="H246">
        <f>Table1[[#This Row],[Qty]]*Table1[[#This Row],[SellingPrice]]</f>
        <v>66000</v>
      </c>
      <c r="I246">
        <f>Table1[[#This Row],[Qty]]*Table1[[#This Row],[CostPrice]]</f>
        <v>36000</v>
      </c>
      <c r="J246">
        <v>29790</v>
      </c>
      <c r="K246">
        <v>209.99999999999997</v>
      </c>
      <c r="L246" t="s">
        <v>11</v>
      </c>
      <c r="M246" t="s">
        <v>27</v>
      </c>
      <c r="N246">
        <f>MONTH(Table1[[#This Row],[SaleDate]])</f>
        <v>2</v>
      </c>
      <c r="O246" t="str">
        <f>TEXT(Table1[[#This Row],[SaleDate]],"MMM")</f>
        <v>Feb</v>
      </c>
    </row>
    <row r="247" spans="1:15">
      <c r="A247" s="1">
        <v>44964</v>
      </c>
      <c r="B247" t="s">
        <v>24</v>
      </c>
      <c r="C247" t="s">
        <v>22</v>
      </c>
      <c r="D247">
        <v>2</v>
      </c>
      <c r="E247" t="s">
        <v>7</v>
      </c>
      <c r="F247">
        <v>33000</v>
      </c>
      <c r="G247">
        <v>18000</v>
      </c>
      <c r="H247">
        <f>Table1[[#This Row],[Qty]]*Table1[[#This Row],[SellingPrice]]</f>
        <v>66000</v>
      </c>
      <c r="I247">
        <f>Table1[[#This Row],[Qty]]*Table1[[#This Row],[CostPrice]]</f>
        <v>36000</v>
      </c>
      <c r="J247">
        <v>29790</v>
      </c>
      <c r="K247">
        <v>209.99999999999997</v>
      </c>
      <c r="L247" t="s">
        <v>12</v>
      </c>
      <c r="M247" t="s">
        <v>28</v>
      </c>
      <c r="N247">
        <f>MONTH(Table1[[#This Row],[SaleDate]])</f>
        <v>2</v>
      </c>
      <c r="O247" t="str">
        <f>TEXT(Table1[[#This Row],[SaleDate]],"MMM")</f>
        <v>Feb</v>
      </c>
    </row>
    <row r="248" spans="1:15">
      <c r="A248" s="1">
        <v>44964</v>
      </c>
      <c r="B248" t="s">
        <v>24</v>
      </c>
      <c r="C248" t="s">
        <v>22</v>
      </c>
      <c r="D248">
        <v>2</v>
      </c>
      <c r="E248" t="s">
        <v>9</v>
      </c>
      <c r="F248">
        <v>60000</v>
      </c>
      <c r="G248">
        <v>31000</v>
      </c>
      <c r="H248">
        <f>Table1[[#This Row],[Qty]]*Table1[[#This Row],[SellingPrice]]</f>
        <v>120000</v>
      </c>
      <c r="I248">
        <f>Table1[[#This Row],[Qty]]*Table1[[#This Row],[CostPrice]]</f>
        <v>62000</v>
      </c>
      <c r="J248">
        <v>57594</v>
      </c>
      <c r="K248">
        <v>405.99999999999994</v>
      </c>
      <c r="L248" t="s">
        <v>12</v>
      </c>
      <c r="M248" t="s">
        <v>27</v>
      </c>
      <c r="N248">
        <f>MONTH(Table1[[#This Row],[SaleDate]])</f>
        <v>2</v>
      </c>
      <c r="O248" t="str">
        <f>TEXT(Table1[[#This Row],[SaleDate]],"MMM")</f>
        <v>Feb</v>
      </c>
    </row>
    <row r="249" spans="1:15">
      <c r="A249" s="1">
        <v>44964</v>
      </c>
      <c r="B249" t="s">
        <v>24</v>
      </c>
      <c r="C249" t="s">
        <v>22</v>
      </c>
      <c r="D249">
        <v>2</v>
      </c>
      <c r="E249" t="s">
        <v>10</v>
      </c>
      <c r="F249">
        <v>89000</v>
      </c>
      <c r="G249">
        <v>65000</v>
      </c>
      <c r="H249">
        <f>Table1[[#This Row],[Qty]]*Table1[[#This Row],[SellingPrice]]</f>
        <v>178000</v>
      </c>
      <c r="I249">
        <f>Table1[[#This Row],[Qty]]*Table1[[#This Row],[CostPrice]]</f>
        <v>130000</v>
      </c>
      <c r="J249">
        <v>47664</v>
      </c>
      <c r="K249">
        <v>335.99999999999994</v>
      </c>
      <c r="L249" t="s">
        <v>12</v>
      </c>
      <c r="M249" t="s">
        <v>30</v>
      </c>
      <c r="N249">
        <f>MONTH(Table1[[#This Row],[SaleDate]])</f>
        <v>2</v>
      </c>
      <c r="O249" t="str">
        <f>TEXT(Table1[[#This Row],[SaleDate]],"MMM")</f>
        <v>Feb</v>
      </c>
    </row>
    <row r="250" spans="1:15">
      <c r="A250" s="1">
        <v>44964</v>
      </c>
      <c r="B250" t="s">
        <v>25</v>
      </c>
      <c r="C250" t="s">
        <v>21</v>
      </c>
      <c r="D250">
        <v>2</v>
      </c>
      <c r="E250" t="s">
        <v>7</v>
      </c>
      <c r="F250">
        <v>33000</v>
      </c>
      <c r="G250">
        <v>18000</v>
      </c>
      <c r="H250">
        <f>Table1[[#This Row],[Qty]]*Table1[[#This Row],[SellingPrice]]</f>
        <v>66000</v>
      </c>
      <c r="I250">
        <f>Table1[[#This Row],[Qty]]*Table1[[#This Row],[CostPrice]]</f>
        <v>36000</v>
      </c>
      <c r="J250">
        <v>29790</v>
      </c>
      <c r="K250">
        <v>209.99999999999997</v>
      </c>
      <c r="L250" t="s">
        <v>13</v>
      </c>
      <c r="M250" t="s">
        <v>29</v>
      </c>
      <c r="N250">
        <f>MONTH(Table1[[#This Row],[SaleDate]])</f>
        <v>2</v>
      </c>
      <c r="O250" t="str">
        <f>TEXT(Table1[[#This Row],[SaleDate]],"MMM")</f>
        <v>Feb</v>
      </c>
    </row>
    <row r="251" spans="1:15">
      <c r="A251" s="1">
        <v>44964</v>
      </c>
      <c r="B251" t="s">
        <v>25</v>
      </c>
      <c r="C251" t="s">
        <v>21</v>
      </c>
      <c r="D251">
        <v>2</v>
      </c>
      <c r="E251" t="s">
        <v>9</v>
      </c>
      <c r="F251">
        <v>60000</v>
      </c>
      <c r="G251">
        <v>31000</v>
      </c>
      <c r="H251">
        <f>Table1[[#This Row],[Qty]]*Table1[[#This Row],[SellingPrice]]</f>
        <v>120000</v>
      </c>
      <c r="I251">
        <f>Table1[[#This Row],[Qty]]*Table1[[#This Row],[CostPrice]]</f>
        <v>62000</v>
      </c>
      <c r="J251">
        <v>57594</v>
      </c>
      <c r="K251">
        <v>405.99999999999994</v>
      </c>
      <c r="L251" t="s">
        <v>13</v>
      </c>
      <c r="M251" t="s">
        <v>29</v>
      </c>
      <c r="N251">
        <f>MONTH(Table1[[#This Row],[SaleDate]])</f>
        <v>2</v>
      </c>
      <c r="O251" t="str">
        <f>TEXT(Table1[[#This Row],[SaleDate]],"MMM")</f>
        <v>Feb</v>
      </c>
    </row>
    <row r="252" spans="1:15">
      <c r="A252" s="1">
        <v>44964</v>
      </c>
      <c r="B252" t="s">
        <v>25</v>
      </c>
      <c r="C252" t="s">
        <v>21</v>
      </c>
      <c r="D252">
        <v>2</v>
      </c>
      <c r="E252" t="s">
        <v>10</v>
      </c>
      <c r="F252">
        <v>89000</v>
      </c>
      <c r="G252">
        <v>65000</v>
      </c>
      <c r="H252">
        <f>Table1[[#This Row],[Qty]]*Table1[[#This Row],[SellingPrice]]</f>
        <v>178000</v>
      </c>
      <c r="I252">
        <f>Table1[[#This Row],[Qty]]*Table1[[#This Row],[CostPrice]]</f>
        <v>130000</v>
      </c>
      <c r="J252">
        <v>47664</v>
      </c>
      <c r="K252">
        <v>335.99999999999994</v>
      </c>
      <c r="L252" t="s">
        <v>13</v>
      </c>
      <c r="M252" t="s">
        <v>30</v>
      </c>
      <c r="N252">
        <f>MONTH(Table1[[#This Row],[SaleDate]])</f>
        <v>2</v>
      </c>
      <c r="O252" t="str">
        <f>TEXT(Table1[[#This Row],[SaleDate]],"MMM")</f>
        <v>Feb</v>
      </c>
    </row>
    <row r="253" spans="1:15">
      <c r="A253" s="1">
        <v>44965</v>
      </c>
      <c r="B253" t="s">
        <v>23</v>
      </c>
      <c r="C253" t="s">
        <v>19</v>
      </c>
      <c r="D253">
        <v>1</v>
      </c>
      <c r="E253" t="s">
        <v>7</v>
      </c>
      <c r="F253">
        <v>33000</v>
      </c>
      <c r="G253">
        <v>18000</v>
      </c>
      <c r="H253">
        <f>Table1[[#This Row],[Qty]]*Table1[[#This Row],[SellingPrice]]</f>
        <v>33000</v>
      </c>
      <c r="I253">
        <f>Table1[[#This Row],[Qty]]*Table1[[#This Row],[CostPrice]]</f>
        <v>18000</v>
      </c>
      <c r="J253">
        <v>14895</v>
      </c>
      <c r="K253">
        <v>104.99999999999999</v>
      </c>
      <c r="L253" t="s">
        <v>8</v>
      </c>
      <c r="M253" t="s">
        <v>29</v>
      </c>
      <c r="N253">
        <f>MONTH(Table1[[#This Row],[SaleDate]])</f>
        <v>2</v>
      </c>
      <c r="O253" t="str">
        <f>TEXT(Table1[[#This Row],[SaleDate]],"MMM")</f>
        <v>Feb</v>
      </c>
    </row>
    <row r="254" spans="1:15">
      <c r="A254" s="1">
        <v>44965</v>
      </c>
      <c r="B254" t="s">
        <v>23</v>
      </c>
      <c r="C254" t="s">
        <v>19</v>
      </c>
      <c r="D254">
        <v>1</v>
      </c>
      <c r="E254" t="s">
        <v>9</v>
      </c>
      <c r="F254">
        <v>60000</v>
      </c>
      <c r="G254">
        <v>31000</v>
      </c>
      <c r="H254">
        <f>Table1[[#This Row],[Qty]]*Table1[[#This Row],[SellingPrice]]</f>
        <v>60000</v>
      </c>
      <c r="I254">
        <f>Table1[[#This Row],[Qty]]*Table1[[#This Row],[CostPrice]]</f>
        <v>31000</v>
      </c>
      <c r="J254">
        <v>28797</v>
      </c>
      <c r="K254">
        <v>202.99999999999997</v>
      </c>
      <c r="L254" t="s">
        <v>8</v>
      </c>
      <c r="M254" t="s">
        <v>30</v>
      </c>
      <c r="N254">
        <f>MONTH(Table1[[#This Row],[SaleDate]])</f>
        <v>2</v>
      </c>
      <c r="O254" t="str">
        <f>TEXT(Table1[[#This Row],[SaleDate]],"MMM")</f>
        <v>Feb</v>
      </c>
    </row>
    <row r="255" spans="1:15">
      <c r="A255" s="1">
        <v>44965</v>
      </c>
      <c r="B255" t="s">
        <v>23</v>
      </c>
      <c r="C255" t="s">
        <v>19</v>
      </c>
      <c r="D255">
        <v>1</v>
      </c>
      <c r="E255" t="s">
        <v>10</v>
      </c>
      <c r="F255">
        <v>89000</v>
      </c>
      <c r="G255">
        <v>65000</v>
      </c>
      <c r="H255">
        <f>Table1[[#This Row],[Qty]]*Table1[[#This Row],[SellingPrice]]</f>
        <v>89000</v>
      </c>
      <c r="I255">
        <f>Table1[[#This Row],[Qty]]*Table1[[#This Row],[CostPrice]]</f>
        <v>65000</v>
      </c>
      <c r="J255">
        <v>23832</v>
      </c>
      <c r="K255">
        <v>167.99999999999997</v>
      </c>
      <c r="L255" t="s">
        <v>8</v>
      </c>
      <c r="M255" t="s">
        <v>27</v>
      </c>
      <c r="N255">
        <f>MONTH(Table1[[#This Row],[SaleDate]])</f>
        <v>2</v>
      </c>
      <c r="O255" t="str">
        <f>TEXT(Table1[[#This Row],[SaleDate]],"MMM")</f>
        <v>Feb</v>
      </c>
    </row>
    <row r="256" spans="1:15">
      <c r="A256" s="1">
        <v>44965</v>
      </c>
      <c r="B256" t="s">
        <v>26</v>
      </c>
      <c r="C256" t="s">
        <v>20</v>
      </c>
      <c r="D256">
        <v>1</v>
      </c>
      <c r="E256" t="s">
        <v>7</v>
      </c>
      <c r="F256">
        <v>33000</v>
      </c>
      <c r="G256">
        <v>18000</v>
      </c>
      <c r="H256">
        <f>Table1[[#This Row],[Qty]]*Table1[[#This Row],[SellingPrice]]</f>
        <v>33000</v>
      </c>
      <c r="I256">
        <f>Table1[[#This Row],[Qty]]*Table1[[#This Row],[CostPrice]]</f>
        <v>18000</v>
      </c>
      <c r="J256">
        <v>14895</v>
      </c>
      <c r="K256">
        <v>104.99999999999999</v>
      </c>
      <c r="L256" t="s">
        <v>11</v>
      </c>
      <c r="M256" t="s">
        <v>30</v>
      </c>
      <c r="N256">
        <f>MONTH(Table1[[#This Row],[SaleDate]])</f>
        <v>2</v>
      </c>
      <c r="O256" t="str">
        <f>TEXT(Table1[[#This Row],[SaleDate]],"MMM")</f>
        <v>Feb</v>
      </c>
    </row>
    <row r="257" spans="1:15">
      <c r="A257" s="1">
        <v>44965</v>
      </c>
      <c r="B257" t="s">
        <v>24</v>
      </c>
      <c r="C257" t="s">
        <v>22</v>
      </c>
      <c r="D257">
        <v>1</v>
      </c>
      <c r="E257" t="s">
        <v>7</v>
      </c>
      <c r="F257">
        <v>33000</v>
      </c>
      <c r="G257">
        <v>18000</v>
      </c>
      <c r="H257">
        <f>Table1[[#This Row],[Qty]]*Table1[[#This Row],[SellingPrice]]</f>
        <v>33000</v>
      </c>
      <c r="I257">
        <f>Table1[[#This Row],[Qty]]*Table1[[#This Row],[CostPrice]]</f>
        <v>18000</v>
      </c>
      <c r="J257">
        <v>14895</v>
      </c>
      <c r="K257">
        <v>104.99999999999999</v>
      </c>
      <c r="L257" t="s">
        <v>12</v>
      </c>
      <c r="M257" t="s">
        <v>30</v>
      </c>
      <c r="N257">
        <f>MONTH(Table1[[#This Row],[SaleDate]])</f>
        <v>2</v>
      </c>
      <c r="O257" t="str">
        <f>TEXT(Table1[[#This Row],[SaleDate]],"MMM")</f>
        <v>Feb</v>
      </c>
    </row>
    <row r="258" spans="1:15">
      <c r="A258" s="1">
        <v>44965</v>
      </c>
      <c r="B258" t="s">
        <v>24</v>
      </c>
      <c r="C258" t="s">
        <v>22</v>
      </c>
      <c r="D258">
        <v>1</v>
      </c>
      <c r="E258" t="s">
        <v>9</v>
      </c>
      <c r="F258">
        <v>60000</v>
      </c>
      <c r="G258">
        <v>31000</v>
      </c>
      <c r="H258">
        <f>Table1[[#This Row],[Qty]]*Table1[[#This Row],[SellingPrice]]</f>
        <v>60000</v>
      </c>
      <c r="I258">
        <f>Table1[[#This Row],[Qty]]*Table1[[#This Row],[CostPrice]]</f>
        <v>31000</v>
      </c>
      <c r="J258">
        <v>28797</v>
      </c>
      <c r="K258">
        <v>202.99999999999997</v>
      </c>
      <c r="L258" t="s">
        <v>12</v>
      </c>
      <c r="M258" t="s">
        <v>27</v>
      </c>
      <c r="N258">
        <f>MONTH(Table1[[#This Row],[SaleDate]])</f>
        <v>2</v>
      </c>
      <c r="O258" t="str">
        <f>TEXT(Table1[[#This Row],[SaleDate]],"MMM")</f>
        <v>Feb</v>
      </c>
    </row>
    <row r="259" spans="1:15">
      <c r="A259" s="1">
        <v>44965</v>
      </c>
      <c r="B259" t="s">
        <v>24</v>
      </c>
      <c r="C259" t="s">
        <v>22</v>
      </c>
      <c r="D259">
        <v>1</v>
      </c>
      <c r="E259" t="s">
        <v>10</v>
      </c>
      <c r="F259">
        <v>89000</v>
      </c>
      <c r="G259">
        <v>65000</v>
      </c>
      <c r="H259">
        <f>Table1[[#This Row],[Qty]]*Table1[[#This Row],[SellingPrice]]</f>
        <v>89000</v>
      </c>
      <c r="I259">
        <f>Table1[[#This Row],[Qty]]*Table1[[#This Row],[CostPrice]]</f>
        <v>65000</v>
      </c>
      <c r="J259">
        <v>23832</v>
      </c>
      <c r="K259">
        <v>167.99999999999997</v>
      </c>
      <c r="L259" t="s">
        <v>12</v>
      </c>
      <c r="M259" t="s">
        <v>29</v>
      </c>
      <c r="N259">
        <f>MONTH(Table1[[#This Row],[SaleDate]])</f>
        <v>2</v>
      </c>
      <c r="O259" t="str">
        <f>TEXT(Table1[[#This Row],[SaleDate]],"MMM")</f>
        <v>Feb</v>
      </c>
    </row>
    <row r="260" spans="1:15">
      <c r="A260" s="1">
        <v>44965</v>
      </c>
      <c r="B260" t="s">
        <v>25</v>
      </c>
      <c r="C260" t="s">
        <v>21</v>
      </c>
      <c r="D260">
        <v>1</v>
      </c>
      <c r="E260" t="s">
        <v>7</v>
      </c>
      <c r="F260">
        <v>33000</v>
      </c>
      <c r="G260">
        <v>18000</v>
      </c>
      <c r="H260">
        <f>Table1[[#This Row],[Qty]]*Table1[[#This Row],[SellingPrice]]</f>
        <v>33000</v>
      </c>
      <c r="I260">
        <f>Table1[[#This Row],[Qty]]*Table1[[#This Row],[CostPrice]]</f>
        <v>18000</v>
      </c>
      <c r="J260">
        <v>14895</v>
      </c>
      <c r="K260">
        <v>104.99999999999999</v>
      </c>
      <c r="L260" t="s">
        <v>13</v>
      </c>
      <c r="M260" t="s">
        <v>30</v>
      </c>
      <c r="N260">
        <f>MONTH(Table1[[#This Row],[SaleDate]])</f>
        <v>2</v>
      </c>
      <c r="O260" t="str">
        <f>TEXT(Table1[[#This Row],[SaleDate]],"MMM")</f>
        <v>Feb</v>
      </c>
    </row>
    <row r="261" spans="1:15">
      <c r="A261" s="1">
        <v>44965</v>
      </c>
      <c r="B261" t="s">
        <v>25</v>
      </c>
      <c r="C261" t="s">
        <v>21</v>
      </c>
      <c r="D261">
        <v>1</v>
      </c>
      <c r="E261" t="s">
        <v>9</v>
      </c>
      <c r="F261">
        <v>60000</v>
      </c>
      <c r="G261">
        <v>31000</v>
      </c>
      <c r="H261">
        <f>Table1[[#This Row],[Qty]]*Table1[[#This Row],[SellingPrice]]</f>
        <v>60000</v>
      </c>
      <c r="I261">
        <f>Table1[[#This Row],[Qty]]*Table1[[#This Row],[CostPrice]]</f>
        <v>31000</v>
      </c>
      <c r="J261">
        <v>28797</v>
      </c>
      <c r="K261">
        <v>202.99999999999997</v>
      </c>
      <c r="L261" t="s">
        <v>13</v>
      </c>
      <c r="M261" t="s">
        <v>27</v>
      </c>
      <c r="N261">
        <f>MONTH(Table1[[#This Row],[SaleDate]])</f>
        <v>2</v>
      </c>
      <c r="O261" t="str">
        <f>TEXT(Table1[[#This Row],[SaleDate]],"MMM")</f>
        <v>Feb</v>
      </c>
    </row>
    <row r="262" spans="1:15">
      <c r="A262" s="1">
        <v>44965</v>
      </c>
      <c r="B262" t="s">
        <v>25</v>
      </c>
      <c r="C262" t="s">
        <v>21</v>
      </c>
      <c r="D262">
        <v>1</v>
      </c>
      <c r="E262" t="s">
        <v>10</v>
      </c>
      <c r="F262">
        <v>89000</v>
      </c>
      <c r="G262">
        <v>65000</v>
      </c>
      <c r="H262">
        <f>Table1[[#This Row],[Qty]]*Table1[[#This Row],[SellingPrice]]</f>
        <v>89000</v>
      </c>
      <c r="I262">
        <f>Table1[[#This Row],[Qty]]*Table1[[#This Row],[CostPrice]]</f>
        <v>65000</v>
      </c>
      <c r="J262">
        <v>23832</v>
      </c>
      <c r="K262">
        <v>167.99999999999997</v>
      </c>
      <c r="L262" t="s">
        <v>13</v>
      </c>
      <c r="M262" t="s">
        <v>30</v>
      </c>
      <c r="N262">
        <f>MONTH(Table1[[#This Row],[SaleDate]])</f>
        <v>2</v>
      </c>
      <c r="O262" t="str">
        <f>TEXT(Table1[[#This Row],[SaleDate]],"MMM")</f>
        <v>Feb</v>
      </c>
    </row>
    <row r="263" spans="1:15">
      <c r="A263" s="1">
        <v>44966</v>
      </c>
      <c r="B263" t="s">
        <v>23</v>
      </c>
      <c r="C263" t="s">
        <v>19</v>
      </c>
      <c r="D263">
        <v>1</v>
      </c>
      <c r="E263" t="s">
        <v>7</v>
      </c>
      <c r="F263">
        <v>33000</v>
      </c>
      <c r="G263">
        <v>18000</v>
      </c>
      <c r="H263">
        <f>Table1[[#This Row],[Qty]]*Table1[[#This Row],[SellingPrice]]</f>
        <v>33000</v>
      </c>
      <c r="I263">
        <f>Table1[[#This Row],[Qty]]*Table1[[#This Row],[CostPrice]]</f>
        <v>18000</v>
      </c>
      <c r="J263">
        <v>14895</v>
      </c>
      <c r="K263">
        <v>104.99999999999999</v>
      </c>
      <c r="L263" t="s">
        <v>8</v>
      </c>
      <c r="M263" t="s">
        <v>30</v>
      </c>
      <c r="N263">
        <f>MONTH(Table1[[#This Row],[SaleDate]])</f>
        <v>2</v>
      </c>
      <c r="O263" t="str">
        <f>TEXT(Table1[[#This Row],[SaleDate]],"MMM")</f>
        <v>Feb</v>
      </c>
    </row>
    <row r="264" spans="1:15">
      <c r="A264" s="1">
        <v>44966</v>
      </c>
      <c r="B264" t="s">
        <v>23</v>
      </c>
      <c r="C264" t="s">
        <v>19</v>
      </c>
      <c r="D264">
        <v>1</v>
      </c>
      <c r="E264" t="s">
        <v>9</v>
      </c>
      <c r="F264">
        <v>60000</v>
      </c>
      <c r="G264">
        <v>31000</v>
      </c>
      <c r="H264">
        <f>Table1[[#This Row],[Qty]]*Table1[[#This Row],[SellingPrice]]</f>
        <v>60000</v>
      </c>
      <c r="I264">
        <f>Table1[[#This Row],[Qty]]*Table1[[#This Row],[CostPrice]]</f>
        <v>31000</v>
      </c>
      <c r="J264">
        <v>28797</v>
      </c>
      <c r="K264">
        <v>202.99999999999997</v>
      </c>
      <c r="L264" t="s">
        <v>8</v>
      </c>
      <c r="M264" t="s">
        <v>27</v>
      </c>
      <c r="N264">
        <f>MONTH(Table1[[#This Row],[SaleDate]])</f>
        <v>2</v>
      </c>
      <c r="O264" t="str">
        <f>TEXT(Table1[[#This Row],[SaleDate]],"MMM")</f>
        <v>Feb</v>
      </c>
    </row>
    <row r="265" spans="1:15">
      <c r="A265" s="1">
        <v>44966</v>
      </c>
      <c r="B265" t="s">
        <v>23</v>
      </c>
      <c r="C265" t="s">
        <v>19</v>
      </c>
      <c r="D265">
        <v>1</v>
      </c>
      <c r="E265" t="s">
        <v>10</v>
      </c>
      <c r="F265">
        <v>89000</v>
      </c>
      <c r="G265">
        <v>65000</v>
      </c>
      <c r="H265">
        <f>Table1[[#This Row],[Qty]]*Table1[[#This Row],[SellingPrice]]</f>
        <v>89000</v>
      </c>
      <c r="I265">
        <f>Table1[[#This Row],[Qty]]*Table1[[#This Row],[CostPrice]]</f>
        <v>65000</v>
      </c>
      <c r="J265">
        <v>23832</v>
      </c>
      <c r="K265">
        <v>167.99999999999997</v>
      </c>
      <c r="L265" t="s">
        <v>8</v>
      </c>
      <c r="M265" t="s">
        <v>29</v>
      </c>
      <c r="N265">
        <f>MONTH(Table1[[#This Row],[SaleDate]])</f>
        <v>2</v>
      </c>
      <c r="O265" t="str">
        <f>TEXT(Table1[[#This Row],[SaleDate]],"MMM")</f>
        <v>Feb</v>
      </c>
    </row>
    <row r="266" spans="1:15">
      <c r="A266" s="1">
        <v>44966</v>
      </c>
      <c r="B266" t="s">
        <v>26</v>
      </c>
      <c r="C266" t="s">
        <v>20</v>
      </c>
      <c r="D266">
        <v>1</v>
      </c>
      <c r="E266" t="s">
        <v>7</v>
      </c>
      <c r="F266">
        <v>33000</v>
      </c>
      <c r="G266">
        <v>18000</v>
      </c>
      <c r="H266">
        <f>Table1[[#This Row],[Qty]]*Table1[[#This Row],[SellingPrice]]</f>
        <v>33000</v>
      </c>
      <c r="I266">
        <f>Table1[[#This Row],[Qty]]*Table1[[#This Row],[CostPrice]]</f>
        <v>18000</v>
      </c>
      <c r="J266">
        <v>14895</v>
      </c>
      <c r="K266">
        <v>104.99999999999999</v>
      </c>
      <c r="L266" t="s">
        <v>11</v>
      </c>
      <c r="M266" t="s">
        <v>30</v>
      </c>
      <c r="N266">
        <f>MONTH(Table1[[#This Row],[SaleDate]])</f>
        <v>2</v>
      </c>
      <c r="O266" t="str">
        <f>TEXT(Table1[[#This Row],[SaleDate]],"MMM")</f>
        <v>Feb</v>
      </c>
    </row>
    <row r="267" spans="1:15">
      <c r="A267" s="1">
        <v>44966</v>
      </c>
      <c r="B267" t="s">
        <v>24</v>
      </c>
      <c r="C267" t="s">
        <v>22</v>
      </c>
      <c r="D267">
        <v>1</v>
      </c>
      <c r="E267" t="s">
        <v>7</v>
      </c>
      <c r="F267">
        <v>33000</v>
      </c>
      <c r="G267">
        <v>18000</v>
      </c>
      <c r="H267">
        <f>Table1[[#This Row],[Qty]]*Table1[[#This Row],[SellingPrice]]</f>
        <v>33000</v>
      </c>
      <c r="I267">
        <f>Table1[[#This Row],[Qty]]*Table1[[#This Row],[CostPrice]]</f>
        <v>18000</v>
      </c>
      <c r="J267">
        <v>14895</v>
      </c>
      <c r="K267">
        <v>104.99999999999999</v>
      </c>
      <c r="L267" t="s">
        <v>12</v>
      </c>
      <c r="M267" t="s">
        <v>30</v>
      </c>
      <c r="N267">
        <f>MONTH(Table1[[#This Row],[SaleDate]])</f>
        <v>2</v>
      </c>
      <c r="O267" t="str">
        <f>TEXT(Table1[[#This Row],[SaleDate]],"MMM")</f>
        <v>Feb</v>
      </c>
    </row>
    <row r="268" spans="1:15">
      <c r="A268" s="1">
        <v>44966</v>
      </c>
      <c r="B268" t="s">
        <v>24</v>
      </c>
      <c r="C268" t="s">
        <v>22</v>
      </c>
      <c r="D268">
        <v>1</v>
      </c>
      <c r="E268" t="s">
        <v>9</v>
      </c>
      <c r="F268">
        <v>60000</v>
      </c>
      <c r="G268">
        <v>31000</v>
      </c>
      <c r="H268">
        <f>Table1[[#This Row],[Qty]]*Table1[[#This Row],[SellingPrice]]</f>
        <v>60000</v>
      </c>
      <c r="I268">
        <f>Table1[[#This Row],[Qty]]*Table1[[#This Row],[CostPrice]]</f>
        <v>31000</v>
      </c>
      <c r="J268">
        <v>28797</v>
      </c>
      <c r="K268">
        <v>202.99999999999997</v>
      </c>
      <c r="L268" t="s">
        <v>12</v>
      </c>
      <c r="M268" t="s">
        <v>29</v>
      </c>
      <c r="N268">
        <f>MONTH(Table1[[#This Row],[SaleDate]])</f>
        <v>2</v>
      </c>
      <c r="O268" t="str">
        <f>TEXT(Table1[[#This Row],[SaleDate]],"MMM")</f>
        <v>Feb</v>
      </c>
    </row>
    <row r="269" spans="1:15">
      <c r="A269" s="1">
        <v>44966</v>
      </c>
      <c r="B269" t="s">
        <v>24</v>
      </c>
      <c r="C269" t="s">
        <v>22</v>
      </c>
      <c r="D269">
        <v>1</v>
      </c>
      <c r="E269" t="s">
        <v>10</v>
      </c>
      <c r="F269">
        <v>89000</v>
      </c>
      <c r="G269">
        <v>65000</v>
      </c>
      <c r="H269">
        <f>Table1[[#This Row],[Qty]]*Table1[[#This Row],[SellingPrice]]</f>
        <v>89000</v>
      </c>
      <c r="I269">
        <f>Table1[[#This Row],[Qty]]*Table1[[#This Row],[CostPrice]]</f>
        <v>65000</v>
      </c>
      <c r="J269">
        <v>23832</v>
      </c>
      <c r="K269">
        <v>167.99999999999997</v>
      </c>
      <c r="L269" t="s">
        <v>12</v>
      </c>
      <c r="M269" t="s">
        <v>29</v>
      </c>
      <c r="N269">
        <f>MONTH(Table1[[#This Row],[SaleDate]])</f>
        <v>2</v>
      </c>
      <c r="O269" t="str">
        <f>TEXT(Table1[[#This Row],[SaleDate]],"MMM")</f>
        <v>Feb</v>
      </c>
    </row>
    <row r="270" spans="1:15">
      <c r="A270" s="1">
        <v>44966</v>
      </c>
      <c r="B270" t="s">
        <v>25</v>
      </c>
      <c r="C270" t="s">
        <v>21</v>
      </c>
      <c r="D270">
        <v>1</v>
      </c>
      <c r="E270" t="s">
        <v>7</v>
      </c>
      <c r="F270">
        <v>33000</v>
      </c>
      <c r="G270">
        <v>18000</v>
      </c>
      <c r="H270">
        <f>Table1[[#This Row],[Qty]]*Table1[[#This Row],[SellingPrice]]</f>
        <v>33000</v>
      </c>
      <c r="I270">
        <f>Table1[[#This Row],[Qty]]*Table1[[#This Row],[CostPrice]]</f>
        <v>18000</v>
      </c>
      <c r="J270">
        <v>14895</v>
      </c>
      <c r="K270">
        <v>104.99999999999999</v>
      </c>
      <c r="L270" t="s">
        <v>13</v>
      </c>
      <c r="M270" t="s">
        <v>27</v>
      </c>
      <c r="N270">
        <f>MONTH(Table1[[#This Row],[SaleDate]])</f>
        <v>2</v>
      </c>
      <c r="O270" t="str">
        <f>TEXT(Table1[[#This Row],[SaleDate]],"MMM")</f>
        <v>Feb</v>
      </c>
    </row>
    <row r="271" spans="1:15">
      <c r="A271" s="1">
        <v>44966</v>
      </c>
      <c r="B271" t="s">
        <v>25</v>
      </c>
      <c r="C271" t="s">
        <v>21</v>
      </c>
      <c r="D271">
        <v>1</v>
      </c>
      <c r="E271" t="s">
        <v>9</v>
      </c>
      <c r="F271">
        <v>60000</v>
      </c>
      <c r="G271">
        <v>31000</v>
      </c>
      <c r="H271">
        <f>Table1[[#This Row],[Qty]]*Table1[[#This Row],[SellingPrice]]</f>
        <v>60000</v>
      </c>
      <c r="I271">
        <f>Table1[[#This Row],[Qty]]*Table1[[#This Row],[CostPrice]]</f>
        <v>31000</v>
      </c>
      <c r="J271">
        <v>28797</v>
      </c>
      <c r="K271">
        <v>202.99999999999997</v>
      </c>
      <c r="L271" t="s">
        <v>13</v>
      </c>
      <c r="M271" t="s">
        <v>27</v>
      </c>
      <c r="N271">
        <f>MONTH(Table1[[#This Row],[SaleDate]])</f>
        <v>2</v>
      </c>
      <c r="O271" t="str">
        <f>TEXT(Table1[[#This Row],[SaleDate]],"MMM")</f>
        <v>Feb</v>
      </c>
    </row>
    <row r="272" spans="1:15">
      <c r="A272" s="1">
        <v>44966</v>
      </c>
      <c r="B272" t="s">
        <v>25</v>
      </c>
      <c r="C272" t="s">
        <v>21</v>
      </c>
      <c r="D272">
        <v>1</v>
      </c>
      <c r="E272" t="s">
        <v>10</v>
      </c>
      <c r="F272">
        <v>89000</v>
      </c>
      <c r="G272">
        <v>65000</v>
      </c>
      <c r="H272">
        <f>Table1[[#This Row],[Qty]]*Table1[[#This Row],[SellingPrice]]</f>
        <v>89000</v>
      </c>
      <c r="I272">
        <f>Table1[[#This Row],[Qty]]*Table1[[#This Row],[CostPrice]]</f>
        <v>65000</v>
      </c>
      <c r="J272">
        <v>23832</v>
      </c>
      <c r="K272">
        <v>167.99999999999997</v>
      </c>
      <c r="L272" t="s">
        <v>13</v>
      </c>
      <c r="M272" t="s">
        <v>30</v>
      </c>
      <c r="N272">
        <f>MONTH(Table1[[#This Row],[SaleDate]])</f>
        <v>2</v>
      </c>
      <c r="O272" t="str">
        <f>TEXT(Table1[[#This Row],[SaleDate]],"MMM")</f>
        <v>Feb</v>
      </c>
    </row>
    <row r="273" spans="1:15">
      <c r="A273" s="1">
        <v>44967</v>
      </c>
      <c r="B273" t="s">
        <v>23</v>
      </c>
      <c r="C273" t="s">
        <v>19</v>
      </c>
      <c r="D273">
        <v>1</v>
      </c>
      <c r="E273" t="s">
        <v>7</v>
      </c>
      <c r="F273">
        <v>33000</v>
      </c>
      <c r="G273">
        <v>18000</v>
      </c>
      <c r="H273">
        <f>Table1[[#This Row],[Qty]]*Table1[[#This Row],[SellingPrice]]</f>
        <v>33000</v>
      </c>
      <c r="I273">
        <f>Table1[[#This Row],[Qty]]*Table1[[#This Row],[CostPrice]]</f>
        <v>18000</v>
      </c>
      <c r="J273">
        <v>14895</v>
      </c>
      <c r="K273">
        <v>104.99999999999999</v>
      </c>
      <c r="L273" t="s">
        <v>8</v>
      </c>
      <c r="M273" t="s">
        <v>27</v>
      </c>
      <c r="N273">
        <f>MONTH(Table1[[#This Row],[SaleDate]])</f>
        <v>2</v>
      </c>
      <c r="O273" t="str">
        <f>TEXT(Table1[[#This Row],[SaleDate]],"MMM")</f>
        <v>Feb</v>
      </c>
    </row>
    <row r="274" spans="1:15">
      <c r="A274" s="1">
        <v>44967</v>
      </c>
      <c r="B274" t="s">
        <v>23</v>
      </c>
      <c r="C274" t="s">
        <v>19</v>
      </c>
      <c r="D274">
        <v>1</v>
      </c>
      <c r="E274" t="s">
        <v>9</v>
      </c>
      <c r="F274">
        <v>60000</v>
      </c>
      <c r="G274">
        <v>31000</v>
      </c>
      <c r="H274">
        <f>Table1[[#This Row],[Qty]]*Table1[[#This Row],[SellingPrice]]</f>
        <v>60000</v>
      </c>
      <c r="I274">
        <f>Table1[[#This Row],[Qty]]*Table1[[#This Row],[CostPrice]]</f>
        <v>31000</v>
      </c>
      <c r="J274">
        <v>28797</v>
      </c>
      <c r="K274">
        <v>202.99999999999997</v>
      </c>
      <c r="L274" t="s">
        <v>8</v>
      </c>
      <c r="M274" t="s">
        <v>29</v>
      </c>
      <c r="N274">
        <f>MONTH(Table1[[#This Row],[SaleDate]])</f>
        <v>2</v>
      </c>
      <c r="O274" t="str">
        <f>TEXT(Table1[[#This Row],[SaleDate]],"MMM")</f>
        <v>Feb</v>
      </c>
    </row>
    <row r="275" spans="1:15">
      <c r="A275" s="1">
        <v>44967</v>
      </c>
      <c r="B275" t="s">
        <v>23</v>
      </c>
      <c r="C275" t="s">
        <v>19</v>
      </c>
      <c r="D275">
        <v>1</v>
      </c>
      <c r="E275" t="s">
        <v>10</v>
      </c>
      <c r="F275">
        <v>89000</v>
      </c>
      <c r="G275">
        <v>65000</v>
      </c>
      <c r="H275">
        <f>Table1[[#This Row],[Qty]]*Table1[[#This Row],[SellingPrice]]</f>
        <v>89000</v>
      </c>
      <c r="I275">
        <f>Table1[[#This Row],[Qty]]*Table1[[#This Row],[CostPrice]]</f>
        <v>65000</v>
      </c>
      <c r="J275">
        <v>23832</v>
      </c>
      <c r="K275">
        <v>167.99999999999997</v>
      </c>
      <c r="L275" t="s">
        <v>8</v>
      </c>
      <c r="M275" t="s">
        <v>30</v>
      </c>
      <c r="N275">
        <f>MONTH(Table1[[#This Row],[SaleDate]])</f>
        <v>2</v>
      </c>
      <c r="O275" t="str">
        <f>TEXT(Table1[[#This Row],[SaleDate]],"MMM")</f>
        <v>Feb</v>
      </c>
    </row>
    <row r="276" spans="1:15">
      <c r="A276" s="1">
        <v>44967</v>
      </c>
      <c r="B276" t="s">
        <v>26</v>
      </c>
      <c r="C276" t="s">
        <v>20</v>
      </c>
      <c r="D276">
        <v>1</v>
      </c>
      <c r="E276" t="s">
        <v>7</v>
      </c>
      <c r="F276">
        <v>33000</v>
      </c>
      <c r="G276">
        <v>18000</v>
      </c>
      <c r="H276">
        <f>Table1[[#This Row],[Qty]]*Table1[[#This Row],[SellingPrice]]</f>
        <v>33000</v>
      </c>
      <c r="I276">
        <f>Table1[[#This Row],[Qty]]*Table1[[#This Row],[CostPrice]]</f>
        <v>18000</v>
      </c>
      <c r="J276">
        <v>14895</v>
      </c>
      <c r="K276">
        <v>104.99999999999999</v>
      </c>
      <c r="L276" t="s">
        <v>11</v>
      </c>
      <c r="M276" t="s">
        <v>30</v>
      </c>
      <c r="N276">
        <f>MONTH(Table1[[#This Row],[SaleDate]])</f>
        <v>2</v>
      </c>
      <c r="O276" t="str">
        <f>TEXT(Table1[[#This Row],[SaleDate]],"MMM")</f>
        <v>Feb</v>
      </c>
    </row>
    <row r="277" spans="1:15">
      <c r="A277" s="1">
        <v>44967</v>
      </c>
      <c r="B277" t="s">
        <v>24</v>
      </c>
      <c r="C277" t="s">
        <v>22</v>
      </c>
      <c r="D277">
        <v>1</v>
      </c>
      <c r="E277" t="s">
        <v>7</v>
      </c>
      <c r="F277">
        <v>33000</v>
      </c>
      <c r="G277">
        <v>18000</v>
      </c>
      <c r="H277">
        <f>Table1[[#This Row],[Qty]]*Table1[[#This Row],[SellingPrice]]</f>
        <v>33000</v>
      </c>
      <c r="I277">
        <f>Table1[[#This Row],[Qty]]*Table1[[#This Row],[CostPrice]]</f>
        <v>18000</v>
      </c>
      <c r="J277">
        <v>14895</v>
      </c>
      <c r="K277">
        <v>104.99999999999999</v>
      </c>
      <c r="L277" t="s">
        <v>12</v>
      </c>
      <c r="M277" t="s">
        <v>30</v>
      </c>
      <c r="N277">
        <f>MONTH(Table1[[#This Row],[SaleDate]])</f>
        <v>2</v>
      </c>
      <c r="O277" t="str">
        <f>TEXT(Table1[[#This Row],[SaleDate]],"MMM")</f>
        <v>Feb</v>
      </c>
    </row>
    <row r="278" spans="1:15">
      <c r="A278" s="1">
        <v>44967</v>
      </c>
      <c r="B278" t="s">
        <v>24</v>
      </c>
      <c r="C278" t="s">
        <v>22</v>
      </c>
      <c r="D278">
        <v>1</v>
      </c>
      <c r="E278" t="s">
        <v>9</v>
      </c>
      <c r="F278">
        <v>60000</v>
      </c>
      <c r="G278">
        <v>31000</v>
      </c>
      <c r="H278">
        <f>Table1[[#This Row],[Qty]]*Table1[[#This Row],[SellingPrice]]</f>
        <v>60000</v>
      </c>
      <c r="I278">
        <f>Table1[[#This Row],[Qty]]*Table1[[#This Row],[CostPrice]]</f>
        <v>31000</v>
      </c>
      <c r="J278">
        <v>28797</v>
      </c>
      <c r="K278">
        <v>202.99999999999997</v>
      </c>
      <c r="L278" t="s">
        <v>12</v>
      </c>
      <c r="M278" t="s">
        <v>27</v>
      </c>
      <c r="N278">
        <f>MONTH(Table1[[#This Row],[SaleDate]])</f>
        <v>2</v>
      </c>
      <c r="O278" t="str">
        <f>TEXT(Table1[[#This Row],[SaleDate]],"MMM")</f>
        <v>Feb</v>
      </c>
    </row>
    <row r="279" spans="1:15">
      <c r="A279" s="1">
        <v>44967</v>
      </c>
      <c r="B279" t="s">
        <v>24</v>
      </c>
      <c r="C279" t="s">
        <v>22</v>
      </c>
      <c r="D279">
        <v>1</v>
      </c>
      <c r="E279" t="s">
        <v>10</v>
      </c>
      <c r="F279">
        <v>89000</v>
      </c>
      <c r="G279">
        <v>65000</v>
      </c>
      <c r="H279">
        <f>Table1[[#This Row],[Qty]]*Table1[[#This Row],[SellingPrice]]</f>
        <v>89000</v>
      </c>
      <c r="I279">
        <f>Table1[[#This Row],[Qty]]*Table1[[#This Row],[CostPrice]]</f>
        <v>65000</v>
      </c>
      <c r="J279">
        <v>23832</v>
      </c>
      <c r="K279">
        <v>167.99999999999997</v>
      </c>
      <c r="L279" t="s">
        <v>12</v>
      </c>
      <c r="M279" t="s">
        <v>30</v>
      </c>
      <c r="N279">
        <f>MONTH(Table1[[#This Row],[SaleDate]])</f>
        <v>2</v>
      </c>
      <c r="O279" t="str">
        <f>TEXT(Table1[[#This Row],[SaleDate]],"MMM")</f>
        <v>Feb</v>
      </c>
    </row>
    <row r="280" spans="1:15">
      <c r="A280" s="1">
        <v>44967</v>
      </c>
      <c r="B280" t="s">
        <v>25</v>
      </c>
      <c r="C280" t="s">
        <v>21</v>
      </c>
      <c r="D280">
        <v>1</v>
      </c>
      <c r="E280" t="s">
        <v>7</v>
      </c>
      <c r="F280">
        <v>33000</v>
      </c>
      <c r="G280">
        <v>18000</v>
      </c>
      <c r="H280">
        <f>Table1[[#This Row],[Qty]]*Table1[[#This Row],[SellingPrice]]</f>
        <v>33000</v>
      </c>
      <c r="I280">
        <f>Table1[[#This Row],[Qty]]*Table1[[#This Row],[CostPrice]]</f>
        <v>18000</v>
      </c>
      <c r="J280">
        <v>14895</v>
      </c>
      <c r="K280">
        <v>104.99999999999999</v>
      </c>
      <c r="L280" t="s">
        <v>13</v>
      </c>
      <c r="M280" t="s">
        <v>30</v>
      </c>
      <c r="N280">
        <f>MONTH(Table1[[#This Row],[SaleDate]])</f>
        <v>2</v>
      </c>
      <c r="O280" t="str">
        <f>TEXT(Table1[[#This Row],[SaleDate]],"MMM")</f>
        <v>Feb</v>
      </c>
    </row>
    <row r="281" spans="1:15">
      <c r="A281" s="1">
        <v>44967</v>
      </c>
      <c r="B281" t="s">
        <v>25</v>
      </c>
      <c r="C281" t="s">
        <v>21</v>
      </c>
      <c r="D281">
        <v>1</v>
      </c>
      <c r="E281" t="s">
        <v>9</v>
      </c>
      <c r="F281">
        <v>60000</v>
      </c>
      <c r="G281">
        <v>31000</v>
      </c>
      <c r="H281">
        <f>Table1[[#This Row],[Qty]]*Table1[[#This Row],[SellingPrice]]</f>
        <v>60000</v>
      </c>
      <c r="I281">
        <f>Table1[[#This Row],[Qty]]*Table1[[#This Row],[CostPrice]]</f>
        <v>31000</v>
      </c>
      <c r="J281">
        <v>28797</v>
      </c>
      <c r="K281">
        <v>202.99999999999997</v>
      </c>
      <c r="L281" t="s">
        <v>13</v>
      </c>
      <c r="M281" t="s">
        <v>27</v>
      </c>
      <c r="N281">
        <f>MONTH(Table1[[#This Row],[SaleDate]])</f>
        <v>2</v>
      </c>
      <c r="O281" t="str">
        <f>TEXT(Table1[[#This Row],[SaleDate]],"MMM")</f>
        <v>Feb</v>
      </c>
    </row>
    <row r="282" spans="1:15">
      <c r="A282" s="1">
        <v>44967</v>
      </c>
      <c r="B282" t="s">
        <v>25</v>
      </c>
      <c r="C282" t="s">
        <v>21</v>
      </c>
      <c r="D282">
        <v>1</v>
      </c>
      <c r="E282" t="s">
        <v>10</v>
      </c>
      <c r="F282">
        <v>89000</v>
      </c>
      <c r="G282">
        <v>65000</v>
      </c>
      <c r="H282">
        <f>Table1[[#This Row],[Qty]]*Table1[[#This Row],[SellingPrice]]</f>
        <v>89000</v>
      </c>
      <c r="I282">
        <f>Table1[[#This Row],[Qty]]*Table1[[#This Row],[CostPrice]]</f>
        <v>65000</v>
      </c>
      <c r="J282">
        <v>23832</v>
      </c>
      <c r="K282">
        <v>167.99999999999997</v>
      </c>
      <c r="L282" t="s">
        <v>13</v>
      </c>
      <c r="M282" t="s">
        <v>27</v>
      </c>
      <c r="N282">
        <f>MONTH(Table1[[#This Row],[SaleDate]])</f>
        <v>2</v>
      </c>
      <c r="O282" t="str">
        <f>TEXT(Table1[[#This Row],[SaleDate]],"MMM")</f>
        <v>Feb</v>
      </c>
    </row>
    <row r="283" spans="1:15">
      <c r="A283" s="1">
        <v>44968</v>
      </c>
      <c r="B283" t="s">
        <v>23</v>
      </c>
      <c r="C283" t="s">
        <v>19</v>
      </c>
      <c r="D283">
        <v>1</v>
      </c>
      <c r="E283" t="s">
        <v>7</v>
      </c>
      <c r="F283">
        <v>33000</v>
      </c>
      <c r="G283">
        <v>18000</v>
      </c>
      <c r="H283">
        <f>Table1[[#This Row],[Qty]]*Table1[[#This Row],[SellingPrice]]</f>
        <v>33000</v>
      </c>
      <c r="I283">
        <f>Table1[[#This Row],[Qty]]*Table1[[#This Row],[CostPrice]]</f>
        <v>18000</v>
      </c>
      <c r="J283">
        <v>14895</v>
      </c>
      <c r="K283">
        <v>104.99999999999999</v>
      </c>
      <c r="L283" t="s">
        <v>8</v>
      </c>
      <c r="M283" t="s">
        <v>30</v>
      </c>
      <c r="N283">
        <f>MONTH(Table1[[#This Row],[SaleDate]])</f>
        <v>2</v>
      </c>
      <c r="O283" t="str">
        <f>TEXT(Table1[[#This Row],[SaleDate]],"MMM")</f>
        <v>Feb</v>
      </c>
    </row>
    <row r="284" spans="1:15">
      <c r="A284" s="1">
        <v>44968</v>
      </c>
      <c r="B284" t="s">
        <v>23</v>
      </c>
      <c r="C284" t="s">
        <v>19</v>
      </c>
      <c r="D284">
        <v>1</v>
      </c>
      <c r="E284" t="s">
        <v>9</v>
      </c>
      <c r="F284">
        <v>60000</v>
      </c>
      <c r="G284">
        <v>31000</v>
      </c>
      <c r="H284">
        <f>Table1[[#This Row],[Qty]]*Table1[[#This Row],[SellingPrice]]</f>
        <v>60000</v>
      </c>
      <c r="I284">
        <f>Table1[[#This Row],[Qty]]*Table1[[#This Row],[CostPrice]]</f>
        <v>31000</v>
      </c>
      <c r="J284">
        <v>28797</v>
      </c>
      <c r="K284">
        <v>202.99999999999997</v>
      </c>
      <c r="L284" t="s">
        <v>8</v>
      </c>
      <c r="M284" t="s">
        <v>28</v>
      </c>
      <c r="N284">
        <f>MONTH(Table1[[#This Row],[SaleDate]])</f>
        <v>2</v>
      </c>
      <c r="O284" t="str">
        <f>TEXT(Table1[[#This Row],[SaleDate]],"MMM")</f>
        <v>Feb</v>
      </c>
    </row>
    <row r="285" spans="1:15">
      <c r="A285" s="1">
        <v>44968</v>
      </c>
      <c r="B285" t="s">
        <v>23</v>
      </c>
      <c r="C285" t="s">
        <v>19</v>
      </c>
      <c r="D285">
        <v>1</v>
      </c>
      <c r="E285" t="s">
        <v>10</v>
      </c>
      <c r="F285">
        <v>89000</v>
      </c>
      <c r="G285">
        <v>65000</v>
      </c>
      <c r="H285">
        <f>Table1[[#This Row],[Qty]]*Table1[[#This Row],[SellingPrice]]</f>
        <v>89000</v>
      </c>
      <c r="I285">
        <f>Table1[[#This Row],[Qty]]*Table1[[#This Row],[CostPrice]]</f>
        <v>65000</v>
      </c>
      <c r="J285">
        <v>23832</v>
      </c>
      <c r="K285">
        <v>167.99999999999997</v>
      </c>
      <c r="L285" t="s">
        <v>8</v>
      </c>
      <c r="M285" t="s">
        <v>29</v>
      </c>
      <c r="N285">
        <f>MONTH(Table1[[#This Row],[SaleDate]])</f>
        <v>2</v>
      </c>
      <c r="O285" t="str">
        <f>TEXT(Table1[[#This Row],[SaleDate]],"MMM")</f>
        <v>Feb</v>
      </c>
    </row>
    <row r="286" spans="1:15">
      <c r="A286" s="1">
        <v>44968</v>
      </c>
      <c r="B286" t="s">
        <v>26</v>
      </c>
      <c r="C286" t="s">
        <v>20</v>
      </c>
      <c r="D286">
        <v>1</v>
      </c>
      <c r="E286" t="s">
        <v>7</v>
      </c>
      <c r="F286">
        <v>33000</v>
      </c>
      <c r="G286">
        <v>18000</v>
      </c>
      <c r="H286">
        <f>Table1[[#This Row],[Qty]]*Table1[[#This Row],[SellingPrice]]</f>
        <v>33000</v>
      </c>
      <c r="I286">
        <f>Table1[[#This Row],[Qty]]*Table1[[#This Row],[CostPrice]]</f>
        <v>18000</v>
      </c>
      <c r="J286">
        <v>14895</v>
      </c>
      <c r="K286">
        <v>104.99999999999999</v>
      </c>
      <c r="L286" t="s">
        <v>11</v>
      </c>
      <c r="M286" t="s">
        <v>30</v>
      </c>
      <c r="N286">
        <f>MONTH(Table1[[#This Row],[SaleDate]])</f>
        <v>2</v>
      </c>
      <c r="O286" t="str">
        <f>TEXT(Table1[[#This Row],[SaleDate]],"MMM")</f>
        <v>Feb</v>
      </c>
    </row>
    <row r="287" spans="1:15">
      <c r="A287" s="1">
        <v>44968</v>
      </c>
      <c r="B287" t="s">
        <v>24</v>
      </c>
      <c r="C287" t="s">
        <v>22</v>
      </c>
      <c r="D287">
        <v>1</v>
      </c>
      <c r="E287" t="s">
        <v>7</v>
      </c>
      <c r="F287">
        <v>33000</v>
      </c>
      <c r="G287">
        <v>18000</v>
      </c>
      <c r="H287">
        <f>Table1[[#This Row],[Qty]]*Table1[[#This Row],[SellingPrice]]</f>
        <v>33000</v>
      </c>
      <c r="I287">
        <f>Table1[[#This Row],[Qty]]*Table1[[#This Row],[CostPrice]]</f>
        <v>18000</v>
      </c>
      <c r="J287">
        <v>14895</v>
      </c>
      <c r="K287">
        <v>104.99999999999999</v>
      </c>
      <c r="L287" t="s">
        <v>12</v>
      </c>
      <c r="M287" t="s">
        <v>29</v>
      </c>
      <c r="N287">
        <f>MONTH(Table1[[#This Row],[SaleDate]])</f>
        <v>2</v>
      </c>
      <c r="O287" t="str">
        <f>TEXT(Table1[[#This Row],[SaleDate]],"MMM")</f>
        <v>Feb</v>
      </c>
    </row>
    <row r="288" spans="1:15">
      <c r="A288" s="1">
        <v>44968</v>
      </c>
      <c r="B288" t="s">
        <v>24</v>
      </c>
      <c r="C288" t="s">
        <v>22</v>
      </c>
      <c r="D288">
        <v>1</v>
      </c>
      <c r="E288" t="s">
        <v>9</v>
      </c>
      <c r="F288">
        <v>60000</v>
      </c>
      <c r="G288">
        <v>31000</v>
      </c>
      <c r="H288">
        <f>Table1[[#This Row],[Qty]]*Table1[[#This Row],[SellingPrice]]</f>
        <v>60000</v>
      </c>
      <c r="I288">
        <f>Table1[[#This Row],[Qty]]*Table1[[#This Row],[CostPrice]]</f>
        <v>31000</v>
      </c>
      <c r="J288">
        <v>28797</v>
      </c>
      <c r="K288">
        <v>202.99999999999997</v>
      </c>
      <c r="L288" t="s">
        <v>12</v>
      </c>
      <c r="M288" t="s">
        <v>30</v>
      </c>
      <c r="N288">
        <f>MONTH(Table1[[#This Row],[SaleDate]])</f>
        <v>2</v>
      </c>
      <c r="O288" t="str">
        <f>TEXT(Table1[[#This Row],[SaleDate]],"MMM")</f>
        <v>Feb</v>
      </c>
    </row>
    <row r="289" spans="1:15">
      <c r="A289" s="1">
        <v>44968</v>
      </c>
      <c r="B289" t="s">
        <v>24</v>
      </c>
      <c r="C289" t="s">
        <v>22</v>
      </c>
      <c r="D289">
        <v>1</v>
      </c>
      <c r="E289" t="s">
        <v>10</v>
      </c>
      <c r="F289">
        <v>89000</v>
      </c>
      <c r="G289">
        <v>65000</v>
      </c>
      <c r="H289">
        <f>Table1[[#This Row],[Qty]]*Table1[[#This Row],[SellingPrice]]</f>
        <v>89000</v>
      </c>
      <c r="I289">
        <f>Table1[[#This Row],[Qty]]*Table1[[#This Row],[CostPrice]]</f>
        <v>65000</v>
      </c>
      <c r="J289">
        <v>23832</v>
      </c>
      <c r="K289">
        <v>167.99999999999997</v>
      </c>
      <c r="L289" t="s">
        <v>12</v>
      </c>
      <c r="M289" t="s">
        <v>29</v>
      </c>
      <c r="N289">
        <f>MONTH(Table1[[#This Row],[SaleDate]])</f>
        <v>2</v>
      </c>
      <c r="O289" t="str">
        <f>TEXT(Table1[[#This Row],[SaleDate]],"MMM")</f>
        <v>Feb</v>
      </c>
    </row>
    <row r="290" spans="1:15">
      <c r="A290" s="1">
        <v>44968</v>
      </c>
      <c r="B290" t="s">
        <v>25</v>
      </c>
      <c r="C290" t="s">
        <v>21</v>
      </c>
      <c r="D290">
        <v>1</v>
      </c>
      <c r="E290" t="s">
        <v>7</v>
      </c>
      <c r="F290">
        <v>33000</v>
      </c>
      <c r="G290">
        <v>18000</v>
      </c>
      <c r="H290">
        <f>Table1[[#This Row],[Qty]]*Table1[[#This Row],[SellingPrice]]</f>
        <v>33000</v>
      </c>
      <c r="I290">
        <f>Table1[[#This Row],[Qty]]*Table1[[#This Row],[CostPrice]]</f>
        <v>18000</v>
      </c>
      <c r="J290">
        <v>14895</v>
      </c>
      <c r="K290">
        <v>104.99999999999999</v>
      </c>
      <c r="L290" t="s">
        <v>13</v>
      </c>
      <c r="M290" t="s">
        <v>30</v>
      </c>
      <c r="N290">
        <f>MONTH(Table1[[#This Row],[SaleDate]])</f>
        <v>2</v>
      </c>
      <c r="O290" t="str">
        <f>TEXT(Table1[[#This Row],[SaleDate]],"MMM")</f>
        <v>Feb</v>
      </c>
    </row>
    <row r="291" spans="1:15">
      <c r="A291" s="1">
        <v>44968</v>
      </c>
      <c r="B291" t="s">
        <v>25</v>
      </c>
      <c r="C291" t="s">
        <v>21</v>
      </c>
      <c r="D291">
        <v>1</v>
      </c>
      <c r="E291" t="s">
        <v>9</v>
      </c>
      <c r="F291">
        <v>60000</v>
      </c>
      <c r="G291">
        <v>31000</v>
      </c>
      <c r="H291">
        <f>Table1[[#This Row],[Qty]]*Table1[[#This Row],[SellingPrice]]</f>
        <v>60000</v>
      </c>
      <c r="I291">
        <f>Table1[[#This Row],[Qty]]*Table1[[#This Row],[CostPrice]]</f>
        <v>31000</v>
      </c>
      <c r="J291">
        <v>28797</v>
      </c>
      <c r="K291">
        <v>202.99999999999997</v>
      </c>
      <c r="L291" t="s">
        <v>13</v>
      </c>
      <c r="M291" t="s">
        <v>29</v>
      </c>
      <c r="N291">
        <f>MONTH(Table1[[#This Row],[SaleDate]])</f>
        <v>2</v>
      </c>
      <c r="O291" t="str">
        <f>TEXT(Table1[[#This Row],[SaleDate]],"MMM")</f>
        <v>Feb</v>
      </c>
    </row>
    <row r="292" spans="1:15">
      <c r="A292" s="1">
        <v>44968</v>
      </c>
      <c r="B292" t="s">
        <v>25</v>
      </c>
      <c r="C292" t="s">
        <v>21</v>
      </c>
      <c r="D292">
        <v>1</v>
      </c>
      <c r="E292" t="s">
        <v>10</v>
      </c>
      <c r="F292">
        <v>89000</v>
      </c>
      <c r="G292">
        <v>65000</v>
      </c>
      <c r="H292">
        <f>Table1[[#This Row],[Qty]]*Table1[[#This Row],[SellingPrice]]</f>
        <v>89000</v>
      </c>
      <c r="I292">
        <f>Table1[[#This Row],[Qty]]*Table1[[#This Row],[CostPrice]]</f>
        <v>65000</v>
      </c>
      <c r="J292">
        <v>23832</v>
      </c>
      <c r="K292">
        <v>167.99999999999997</v>
      </c>
      <c r="L292" t="s">
        <v>13</v>
      </c>
      <c r="M292" t="s">
        <v>27</v>
      </c>
      <c r="N292">
        <f>MONTH(Table1[[#This Row],[SaleDate]])</f>
        <v>2</v>
      </c>
      <c r="O292" t="str">
        <f>TEXT(Table1[[#This Row],[SaleDate]],"MMM")</f>
        <v>Feb</v>
      </c>
    </row>
    <row r="293" spans="1:15">
      <c r="A293" s="1">
        <v>44969</v>
      </c>
      <c r="B293" t="s">
        <v>23</v>
      </c>
      <c r="C293" t="s">
        <v>19</v>
      </c>
      <c r="D293">
        <v>1</v>
      </c>
      <c r="E293" t="s">
        <v>7</v>
      </c>
      <c r="F293">
        <v>33000</v>
      </c>
      <c r="G293">
        <v>18000</v>
      </c>
      <c r="H293">
        <f>Table1[[#This Row],[Qty]]*Table1[[#This Row],[SellingPrice]]</f>
        <v>33000</v>
      </c>
      <c r="I293">
        <f>Table1[[#This Row],[Qty]]*Table1[[#This Row],[CostPrice]]</f>
        <v>18000</v>
      </c>
      <c r="J293">
        <v>14895</v>
      </c>
      <c r="K293">
        <v>104.99999999999999</v>
      </c>
      <c r="L293" t="s">
        <v>8</v>
      </c>
      <c r="M293" t="s">
        <v>27</v>
      </c>
      <c r="N293">
        <f>MONTH(Table1[[#This Row],[SaleDate]])</f>
        <v>2</v>
      </c>
      <c r="O293" t="str">
        <f>TEXT(Table1[[#This Row],[SaleDate]],"MMM")</f>
        <v>Feb</v>
      </c>
    </row>
    <row r="294" spans="1:15">
      <c r="A294" s="1">
        <v>44969</v>
      </c>
      <c r="B294" t="s">
        <v>23</v>
      </c>
      <c r="C294" t="s">
        <v>19</v>
      </c>
      <c r="D294">
        <v>1</v>
      </c>
      <c r="E294" t="s">
        <v>9</v>
      </c>
      <c r="F294">
        <v>60000</v>
      </c>
      <c r="G294">
        <v>31000</v>
      </c>
      <c r="H294">
        <f>Table1[[#This Row],[Qty]]*Table1[[#This Row],[SellingPrice]]</f>
        <v>60000</v>
      </c>
      <c r="I294">
        <f>Table1[[#This Row],[Qty]]*Table1[[#This Row],[CostPrice]]</f>
        <v>31000</v>
      </c>
      <c r="J294">
        <v>28797</v>
      </c>
      <c r="K294">
        <v>202.99999999999997</v>
      </c>
      <c r="L294" t="s">
        <v>8</v>
      </c>
      <c r="M294" t="s">
        <v>29</v>
      </c>
      <c r="N294">
        <f>MONTH(Table1[[#This Row],[SaleDate]])</f>
        <v>2</v>
      </c>
      <c r="O294" t="str">
        <f>TEXT(Table1[[#This Row],[SaleDate]],"MMM")</f>
        <v>Feb</v>
      </c>
    </row>
    <row r="295" spans="1:15">
      <c r="A295" s="1">
        <v>44969</v>
      </c>
      <c r="B295" t="s">
        <v>23</v>
      </c>
      <c r="C295" t="s">
        <v>19</v>
      </c>
      <c r="D295">
        <v>1</v>
      </c>
      <c r="E295" t="s">
        <v>10</v>
      </c>
      <c r="F295">
        <v>89000</v>
      </c>
      <c r="G295">
        <v>65000</v>
      </c>
      <c r="H295">
        <f>Table1[[#This Row],[Qty]]*Table1[[#This Row],[SellingPrice]]</f>
        <v>89000</v>
      </c>
      <c r="I295">
        <f>Table1[[#This Row],[Qty]]*Table1[[#This Row],[CostPrice]]</f>
        <v>65000</v>
      </c>
      <c r="J295">
        <v>23832</v>
      </c>
      <c r="K295">
        <v>167.99999999999997</v>
      </c>
      <c r="L295" t="s">
        <v>8</v>
      </c>
      <c r="M295" t="s">
        <v>29</v>
      </c>
      <c r="N295">
        <f>MONTH(Table1[[#This Row],[SaleDate]])</f>
        <v>2</v>
      </c>
      <c r="O295" t="str">
        <f>TEXT(Table1[[#This Row],[SaleDate]],"MMM")</f>
        <v>Feb</v>
      </c>
    </row>
    <row r="296" spans="1:15">
      <c r="A296" s="1">
        <v>44969</v>
      </c>
      <c r="B296" t="s">
        <v>26</v>
      </c>
      <c r="C296" t="s">
        <v>20</v>
      </c>
      <c r="D296">
        <v>1</v>
      </c>
      <c r="E296" t="s">
        <v>7</v>
      </c>
      <c r="F296">
        <v>33000</v>
      </c>
      <c r="G296">
        <v>18000</v>
      </c>
      <c r="H296">
        <f>Table1[[#This Row],[Qty]]*Table1[[#This Row],[SellingPrice]]</f>
        <v>33000</v>
      </c>
      <c r="I296">
        <f>Table1[[#This Row],[Qty]]*Table1[[#This Row],[CostPrice]]</f>
        <v>18000</v>
      </c>
      <c r="J296">
        <v>14895</v>
      </c>
      <c r="K296">
        <v>104.99999999999999</v>
      </c>
      <c r="L296" t="s">
        <v>11</v>
      </c>
      <c r="M296" t="s">
        <v>27</v>
      </c>
      <c r="N296">
        <f>MONTH(Table1[[#This Row],[SaleDate]])</f>
        <v>2</v>
      </c>
      <c r="O296" t="str">
        <f>TEXT(Table1[[#This Row],[SaleDate]],"MMM")</f>
        <v>Feb</v>
      </c>
    </row>
    <row r="297" spans="1:15">
      <c r="A297" s="1">
        <v>44969</v>
      </c>
      <c r="B297" t="s">
        <v>24</v>
      </c>
      <c r="C297" t="s">
        <v>22</v>
      </c>
      <c r="D297">
        <v>1</v>
      </c>
      <c r="E297" t="s">
        <v>7</v>
      </c>
      <c r="F297">
        <v>33000</v>
      </c>
      <c r="G297">
        <v>18000</v>
      </c>
      <c r="H297">
        <f>Table1[[#This Row],[Qty]]*Table1[[#This Row],[SellingPrice]]</f>
        <v>33000</v>
      </c>
      <c r="I297">
        <f>Table1[[#This Row],[Qty]]*Table1[[#This Row],[CostPrice]]</f>
        <v>18000</v>
      </c>
      <c r="J297">
        <v>14895</v>
      </c>
      <c r="K297">
        <v>104.99999999999999</v>
      </c>
      <c r="L297" t="s">
        <v>12</v>
      </c>
      <c r="M297" t="s">
        <v>29</v>
      </c>
      <c r="N297">
        <f>MONTH(Table1[[#This Row],[SaleDate]])</f>
        <v>2</v>
      </c>
      <c r="O297" t="str">
        <f>TEXT(Table1[[#This Row],[SaleDate]],"MMM")</f>
        <v>Feb</v>
      </c>
    </row>
    <row r="298" spans="1:15">
      <c r="A298" s="1">
        <v>44969</v>
      </c>
      <c r="B298" t="s">
        <v>24</v>
      </c>
      <c r="C298" t="s">
        <v>22</v>
      </c>
      <c r="D298">
        <v>1</v>
      </c>
      <c r="E298" t="s">
        <v>9</v>
      </c>
      <c r="F298">
        <v>60000</v>
      </c>
      <c r="G298">
        <v>31000</v>
      </c>
      <c r="H298">
        <f>Table1[[#This Row],[Qty]]*Table1[[#This Row],[SellingPrice]]</f>
        <v>60000</v>
      </c>
      <c r="I298">
        <f>Table1[[#This Row],[Qty]]*Table1[[#This Row],[CostPrice]]</f>
        <v>31000</v>
      </c>
      <c r="J298">
        <v>28797</v>
      </c>
      <c r="K298">
        <v>202.99999999999997</v>
      </c>
      <c r="L298" t="s">
        <v>12</v>
      </c>
      <c r="M298" t="s">
        <v>28</v>
      </c>
      <c r="N298">
        <f>MONTH(Table1[[#This Row],[SaleDate]])</f>
        <v>2</v>
      </c>
      <c r="O298" t="str">
        <f>TEXT(Table1[[#This Row],[SaleDate]],"MMM")</f>
        <v>Feb</v>
      </c>
    </row>
    <row r="299" spans="1:15">
      <c r="A299" s="1">
        <v>44969</v>
      </c>
      <c r="B299" t="s">
        <v>24</v>
      </c>
      <c r="C299" t="s">
        <v>22</v>
      </c>
      <c r="D299">
        <v>1</v>
      </c>
      <c r="E299" t="s">
        <v>10</v>
      </c>
      <c r="F299">
        <v>89000</v>
      </c>
      <c r="G299">
        <v>65000</v>
      </c>
      <c r="H299">
        <f>Table1[[#This Row],[Qty]]*Table1[[#This Row],[SellingPrice]]</f>
        <v>89000</v>
      </c>
      <c r="I299">
        <f>Table1[[#This Row],[Qty]]*Table1[[#This Row],[CostPrice]]</f>
        <v>65000</v>
      </c>
      <c r="J299">
        <v>23832</v>
      </c>
      <c r="K299">
        <v>167.99999999999997</v>
      </c>
      <c r="L299" t="s">
        <v>12</v>
      </c>
      <c r="M299" t="s">
        <v>27</v>
      </c>
      <c r="N299">
        <f>MONTH(Table1[[#This Row],[SaleDate]])</f>
        <v>2</v>
      </c>
      <c r="O299" t="str">
        <f>TEXT(Table1[[#This Row],[SaleDate]],"MMM")</f>
        <v>Feb</v>
      </c>
    </row>
    <row r="300" spans="1:15">
      <c r="A300" s="1">
        <v>44969</v>
      </c>
      <c r="B300" t="s">
        <v>25</v>
      </c>
      <c r="C300" t="s">
        <v>21</v>
      </c>
      <c r="D300">
        <v>1</v>
      </c>
      <c r="E300" t="s">
        <v>7</v>
      </c>
      <c r="F300">
        <v>33000</v>
      </c>
      <c r="G300">
        <v>18000</v>
      </c>
      <c r="H300">
        <f>Table1[[#This Row],[Qty]]*Table1[[#This Row],[SellingPrice]]</f>
        <v>33000</v>
      </c>
      <c r="I300">
        <f>Table1[[#This Row],[Qty]]*Table1[[#This Row],[CostPrice]]</f>
        <v>18000</v>
      </c>
      <c r="J300">
        <v>14895</v>
      </c>
      <c r="K300">
        <v>104.99999999999999</v>
      </c>
      <c r="L300" t="s">
        <v>13</v>
      </c>
      <c r="M300" t="s">
        <v>30</v>
      </c>
      <c r="N300">
        <f>MONTH(Table1[[#This Row],[SaleDate]])</f>
        <v>2</v>
      </c>
      <c r="O300" t="str">
        <f>TEXT(Table1[[#This Row],[SaleDate]],"MMM")</f>
        <v>Feb</v>
      </c>
    </row>
    <row r="301" spans="1:15">
      <c r="A301" s="1">
        <v>44969</v>
      </c>
      <c r="B301" t="s">
        <v>25</v>
      </c>
      <c r="C301" t="s">
        <v>21</v>
      </c>
      <c r="D301">
        <v>1</v>
      </c>
      <c r="E301" t="s">
        <v>9</v>
      </c>
      <c r="F301">
        <v>60000</v>
      </c>
      <c r="G301">
        <v>31000</v>
      </c>
      <c r="H301">
        <f>Table1[[#This Row],[Qty]]*Table1[[#This Row],[SellingPrice]]</f>
        <v>60000</v>
      </c>
      <c r="I301">
        <f>Table1[[#This Row],[Qty]]*Table1[[#This Row],[CostPrice]]</f>
        <v>31000</v>
      </c>
      <c r="J301">
        <v>28797</v>
      </c>
      <c r="K301">
        <v>202.99999999999997</v>
      </c>
      <c r="L301" t="s">
        <v>13</v>
      </c>
      <c r="M301" t="s">
        <v>27</v>
      </c>
      <c r="N301">
        <f>MONTH(Table1[[#This Row],[SaleDate]])</f>
        <v>2</v>
      </c>
      <c r="O301" t="str">
        <f>TEXT(Table1[[#This Row],[SaleDate]],"MMM")</f>
        <v>Feb</v>
      </c>
    </row>
    <row r="302" spans="1:15">
      <c r="A302" s="1">
        <v>44969</v>
      </c>
      <c r="B302" t="s">
        <v>25</v>
      </c>
      <c r="C302" t="s">
        <v>21</v>
      </c>
      <c r="D302">
        <v>1</v>
      </c>
      <c r="E302" t="s">
        <v>10</v>
      </c>
      <c r="F302">
        <v>89000</v>
      </c>
      <c r="G302">
        <v>65000</v>
      </c>
      <c r="H302">
        <f>Table1[[#This Row],[Qty]]*Table1[[#This Row],[SellingPrice]]</f>
        <v>89000</v>
      </c>
      <c r="I302">
        <f>Table1[[#This Row],[Qty]]*Table1[[#This Row],[CostPrice]]</f>
        <v>65000</v>
      </c>
      <c r="J302">
        <v>23832</v>
      </c>
      <c r="K302">
        <v>167.99999999999997</v>
      </c>
      <c r="L302" t="s">
        <v>13</v>
      </c>
      <c r="M302" t="s">
        <v>28</v>
      </c>
      <c r="N302">
        <f>MONTH(Table1[[#This Row],[SaleDate]])</f>
        <v>2</v>
      </c>
      <c r="O302" t="str">
        <f>TEXT(Table1[[#This Row],[SaleDate]],"MMM")</f>
        <v>Feb</v>
      </c>
    </row>
    <row r="303" spans="1:15">
      <c r="A303" s="1">
        <v>44970</v>
      </c>
      <c r="B303" t="s">
        <v>23</v>
      </c>
      <c r="C303" t="s">
        <v>19</v>
      </c>
      <c r="D303">
        <v>1</v>
      </c>
      <c r="E303" t="s">
        <v>7</v>
      </c>
      <c r="F303">
        <v>33000</v>
      </c>
      <c r="G303">
        <v>18000</v>
      </c>
      <c r="H303">
        <f>Table1[[#This Row],[Qty]]*Table1[[#This Row],[SellingPrice]]</f>
        <v>33000</v>
      </c>
      <c r="I303">
        <f>Table1[[#This Row],[Qty]]*Table1[[#This Row],[CostPrice]]</f>
        <v>18000</v>
      </c>
      <c r="J303">
        <v>14895</v>
      </c>
      <c r="K303">
        <v>104.99999999999999</v>
      </c>
      <c r="L303" t="s">
        <v>8</v>
      </c>
      <c r="M303" t="s">
        <v>27</v>
      </c>
      <c r="N303">
        <f>MONTH(Table1[[#This Row],[SaleDate]])</f>
        <v>2</v>
      </c>
      <c r="O303" t="str">
        <f>TEXT(Table1[[#This Row],[SaleDate]],"MMM")</f>
        <v>Feb</v>
      </c>
    </row>
    <row r="304" spans="1:15">
      <c r="A304" s="1">
        <v>44970</v>
      </c>
      <c r="B304" t="s">
        <v>23</v>
      </c>
      <c r="C304" t="s">
        <v>19</v>
      </c>
      <c r="D304">
        <v>1</v>
      </c>
      <c r="E304" t="s">
        <v>9</v>
      </c>
      <c r="F304">
        <v>60000</v>
      </c>
      <c r="G304">
        <v>31000</v>
      </c>
      <c r="H304">
        <f>Table1[[#This Row],[Qty]]*Table1[[#This Row],[SellingPrice]]</f>
        <v>60000</v>
      </c>
      <c r="I304">
        <f>Table1[[#This Row],[Qty]]*Table1[[#This Row],[CostPrice]]</f>
        <v>31000</v>
      </c>
      <c r="J304">
        <v>28797</v>
      </c>
      <c r="K304">
        <v>202.99999999999997</v>
      </c>
      <c r="L304" t="s">
        <v>8</v>
      </c>
      <c r="M304" t="s">
        <v>27</v>
      </c>
      <c r="N304">
        <f>MONTH(Table1[[#This Row],[SaleDate]])</f>
        <v>2</v>
      </c>
      <c r="O304" t="str">
        <f>TEXT(Table1[[#This Row],[SaleDate]],"MMM")</f>
        <v>Feb</v>
      </c>
    </row>
    <row r="305" spans="1:15">
      <c r="A305" s="1">
        <v>44970</v>
      </c>
      <c r="B305" t="s">
        <v>23</v>
      </c>
      <c r="C305" t="s">
        <v>19</v>
      </c>
      <c r="D305">
        <v>1</v>
      </c>
      <c r="E305" t="s">
        <v>10</v>
      </c>
      <c r="F305">
        <v>89000</v>
      </c>
      <c r="G305">
        <v>65000</v>
      </c>
      <c r="H305">
        <f>Table1[[#This Row],[Qty]]*Table1[[#This Row],[SellingPrice]]</f>
        <v>89000</v>
      </c>
      <c r="I305">
        <f>Table1[[#This Row],[Qty]]*Table1[[#This Row],[CostPrice]]</f>
        <v>65000</v>
      </c>
      <c r="J305">
        <v>23832</v>
      </c>
      <c r="K305">
        <v>167.99999999999997</v>
      </c>
      <c r="L305" t="s">
        <v>8</v>
      </c>
      <c r="M305" t="s">
        <v>30</v>
      </c>
      <c r="N305">
        <f>MONTH(Table1[[#This Row],[SaleDate]])</f>
        <v>2</v>
      </c>
      <c r="O305" t="str">
        <f>TEXT(Table1[[#This Row],[SaleDate]],"MMM")</f>
        <v>Feb</v>
      </c>
    </row>
    <row r="306" spans="1:15">
      <c r="A306" s="1">
        <v>44970</v>
      </c>
      <c r="B306" t="s">
        <v>26</v>
      </c>
      <c r="C306" t="s">
        <v>20</v>
      </c>
      <c r="D306">
        <v>1</v>
      </c>
      <c r="E306" t="s">
        <v>7</v>
      </c>
      <c r="F306">
        <v>33000</v>
      </c>
      <c r="G306">
        <v>18000</v>
      </c>
      <c r="H306">
        <f>Table1[[#This Row],[Qty]]*Table1[[#This Row],[SellingPrice]]</f>
        <v>33000</v>
      </c>
      <c r="I306">
        <f>Table1[[#This Row],[Qty]]*Table1[[#This Row],[CostPrice]]</f>
        <v>18000</v>
      </c>
      <c r="J306">
        <v>14895</v>
      </c>
      <c r="K306">
        <v>104.99999999999999</v>
      </c>
      <c r="L306" t="s">
        <v>11</v>
      </c>
      <c r="M306" t="s">
        <v>28</v>
      </c>
      <c r="N306">
        <f>MONTH(Table1[[#This Row],[SaleDate]])</f>
        <v>2</v>
      </c>
      <c r="O306" t="str">
        <f>TEXT(Table1[[#This Row],[SaleDate]],"MMM")</f>
        <v>Feb</v>
      </c>
    </row>
    <row r="307" spans="1:15">
      <c r="A307" s="1">
        <v>44970</v>
      </c>
      <c r="B307" t="s">
        <v>24</v>
      </c>
      <c r="C307" t="s">
        <v>22</v>
      </c>
      <c r="D307">
        <v>1</v>
      </c>
      <c r="E307" t="s">
        <v>7</v>
      </c>
      <c r="F307">
        <v>33000</v>
      </c>
      <c r="G307">
        <v>18000</v>
      </c>
      <c r="H307">
        <f>Table1[[#This Row],[Qty]]*Table1[[#This Row],[SellingPrice]]</f>
        <v>33000</v>
      </c>
      <c r="I307">
        <f>Table1[[#This Row],[Qty]]*Table1[[#This Row],[CostPrice]]</f>
        <v>18000</v>
      </c>
      <c r="J307">
        <v>14895</v>
      </c>
      <c r="K307">
        <v>104.99999999999999</v>
      </c>
      <c r="L307" t="s">
        <v>12</v>
      </c>
      <c r="M307" t="s">
        <v>30</v>
      </c>
      <c r="N307">
        <f>MONTH(Table1[[#This Row],[SaleDate]])</f>
        <v>2</v>
      </c>
      <c r="O307" t="str">
        <f>TEXT(Table1[[#This Row],[SaleDate]],"MMM")</f>
        <v>Feb</v>
      </c>
    </row>
    <row r="308" spans="1:15">
      <c r="A308" s="1">
        <v>44970</v>
      </c>
      <c r="B308" t="s">
        <v>24</v>
      </c>
      <c r="C308" t="s">
        <v>22</v>
      </c>
      <c r="D308">
        <v>1</v>
      </c>
      <c r="E308" t="s">
        <v>9</v>
      </c>
      <c r="F308">
        <v>60000</v>
      </c>
      <c r="G308">
        <v>31000</v>
      </c>
      <c r="H308">
        <f>Table1[[#This Row],[Qty]]*Table1[[#This Row],[SellingPrice]]</f>
        <v>60000</v>
      </c>
      <c r="I308">
        <f>Table1[[#This Row],[Qty]]*Table1[[#This Row],[CostPrice]]</f>
        <v>31000</v>
      </c>
      <c r="J308">
        <v>28797</v>
      </c>
      <c r="K308">
        <v>202.99999999999997</v>
      </c>
      <c r="L308" t="s">
        <v>12</v>
      </c>
      <c r="M308" t="s">
        <v>29</v>
      </c>
      <c r="N308">
        <f>MONTH(Table1[[#This Row],[SaleDate]])</f>
        <v>2</v>
      </c>
      <c r="O308" t="str">
        <f>TEXT(Table1[[#This Row],[SaleDate]],"MMM")</f>
        <v>Feb</v>
      </c>
    </row>
    <row r="309" spans="1:15">
      <c r="A309" s="1">
        <v>44970</v>
      </c>
      <c r="B309" t="s">
        <v>24</v>
      </c>
      <c r="C309" t="s">
        <v>22</v>
      </c>
      <c r="D309">
        <v>1</v>
      </c>
      <c r="E309" t="s">
        <v>10</v>
      </c>
      <c r="F309">
        <v>89000</v>
      </c>
      <c r="G309">
        <v>65000</v>
      </c>
      <c r="H309">
        <f>Table1[[#This Row],[Qty]]*Table1[[#This Row],[SellingPrice]]</f>
        <v>89000</v>
      </c>
      <c r="I309">
        <f>Table1[[#This Row],[Qty]]*Table1[[#This Row],[CostPrice]]</f>
        <v>65000</v>
      </c>
      <c r="J309">
        <v>23832</v>
      </c>
      <c r="K309">
        <v>167.99999999999997</v>
      </c>
      <c r="L309" t="s">
        <v>12</v>
      </c>
      <c r="M309" t="s">
        <v>27</v>
      </c>
      <c r="N309">
        <f>MONTH(Table1[[#This Row],[SaleDate]])</f>
        <v>2</v>
      </c>
      <c r="O309" t="str">
        <f>TEXT(Table1[[#This Row],[SaleDate]],"MMM")</f>
        <v>Feb</v>
      </c>
    </row>
    <row r="310" spans="1:15">
      <c r="A310" s="1">
        <v>44970</v>
      </c>
      <c r="B310" t="s">
        <v>25</v>
      </c>
      <c r="C310" t="s">
        <v>21</v>
      </c>
      <c r="D310">
        <v>1</v>
      </c>
      <c r="E310" t="s">
        <v>7</v>
      </c>
      <c r="F310">
        <v>33000</v>
      </c>
      <c r="G310">
        <v>18000</v>
      </c>
      <c r="H310">
        <f>Table1[[#This Row],[Qty]]*Table1[[#This Row],[SellingPrice]]</f>
        <v>33000</v>
      </c>
      <c r="I310">
        <f>Table1[[#This Row],[Qty]]*Table1[[#This Row],[CostPrice]]</f>
        <v>18000</v>
      </c>
      <c r="J310">
        <v>14895</v>
      </c>
      <c r="K310">
        <v>104.99999999999999</v>
      </c>
      <c r="L310" t="s">
        <v>13</v>
      </c>
      <c r="M310" t="s">
        <v>29</v>
      </c>
      <c r="N310">
        <f>MONTH(Table1[[#This Row],[SaleDate]])</f>
        <v>2</v>
      </c>
      <c r="O310" t="str">
        <f>TEXT(Table1[[#This Row],[SaleDate]],"MMM")</f>
        <v>Feb</v>
      </c>
    </row>
    <row r="311" spans="1:15">
      <c r="A311" s="1">
        <v>44970</v>
      </c>
      <c r="B311" t="s">
        <v>25</v>
      </c>
      <c r="C311" t="s">
        <v>21</v>
      </c>
      <c r="D311">
        <v>1</v>
      </c>
      <c r="E311" t="s">
        <v>9</v>
      </c>
      <c r="F311">
        <v>60000</v>
      </c>
      <c r="G311">
        <v>31000</v>
      </c>
      <c r="H311">
        <f>Table1[[#This Row],[Qty]]*Table1[[#This Row],[SellingPrice]]</f>
        <v>60000</v>
      </c>
      <c r="I311">
        <f>Table1[[#This Row],[Qty]]*Table1[[#This Row],[CostPrice]]</f>
        <v>31000</v>
      </c>
      <c r="J311">
        <v>28797</v>
      </c>
      <c r="K311">
        <v>202.99999999999997</v>
      </c>
      <c r="L311" t="s">
        <v>13</v>
      </c>
      <c r="M311" t="s">
        <v>27</v>
      </c>
      <c r="N311">
        <f>MONTH(Table1[[#This Row],[SaleDate]])</f>
        <v>2</v>
      </c>
      <c r="O311" t="str">
        <f>TEXT(Table1[[#This Row],[SaleDate]],"MMM")</f>
        <v>Feb</v>
      </c>
    </row>
    <row r="312" spans="1:15">
      <c r="A312" s="1">
        <v>44970</v>
      </c>
      <c r="B312" t="s">
        <v>25</v>
      </c>
      <c r="C312" t="s">
        <v>21</v>
      </c>
      <c r="D312">
        <v>1</v>
      </c>
      <c r="E312" t="s">
        <v>10</v>
      </c>
      <c r="F312">
        <v>89000</v>
      </c>
      <c r="G312">
        <v>65000</v>
      </c>
      <c r="H312">
        <f>Table1[[#This Row],[Qty]]*Table1[[#This Row],[SellingPrice]]</f>
        <v>89000</v>
      </c>
      <c r="I312">
        <f>Table1[[#This Row],[Qty]]*Table1[[#This Row],[CostPrice]]</f>
        <v>65000</v>
      </c>
      <c r="J312">
        <v>23832</v>
      </c>
      <c r="K312">
        <v>167.99999999999997</v>
      </c>
      <c r="L312" t="s">
        <v>13</v>
      </c>
      <c r="M312" t="s">
        <v>29</v>
      </c>
      <c r="N312">
        <f>MONTH(Table1[[#This Row],[SaleDate]])</f>
        <v>2</v>
      </c>
      <c r="O312" t="str">
        <f>TEXT(Table1[[#This Row],[SaleDate]],"MMM")</f>
        <v>Feb</v>
      </c>
    </row>
    <row r="313" spans="1:15">
      <c r="A313" s="1">
        <v>44971</v>
      </c>
      <c r="B313" t="s">
        <v>23</v>
      </c>
      <c r="C313" t="s">
        <v>19</v>
      </c>
      <c r="D313">
        <v>1</v>
      </c>
      <c r="E313" t="s">
        <v>7</v>
      </c>
      <c r="F313">
        <v>33000</v>
      </c>
      <c r="G313">
        <v>18000</v>
      </c>
      <c r="H313">
        <f>Table1[[#This Row],[Qty]]*Table1[[#This Row],[SellingPrice]]</f>
        <v>33000</v>
      </c>
      <c r="I313">
        <f>Table1[[#This Row],[Qty]]*Table1[[#This Row],[CostPrice]]</f>
        <v>18000</v>
      </c>
      <c r="J313">
        <v>14895</v>
      </c>
      <c r="K313">
        <v>104.99999999999999</v>
      </c>
      <c r="L313" t="s">
        <v>8</v>
      </c>
      <c r="M313" t="s">
        <v>29</v>
      </c>
      <c r="N313">
        <f>MONTH(Table1[[#This Row],[SaleDate]])</f>
        <v>2</v>
      </c>
      <c r="O313" t="str">
        <f>TEXT(Table1[[#This Row],[SaleDate]],"MMM")</f>
        <v>Feb</v>
      </c>
    </row>
    <row r="314" spans="1:15">
      <c r="A314" s="1">
        <v>44971</v>
      </c>
      <c r="B314" t="s">
        <v>23</v>
      </c>
      <c r="C314" t="s">
        <v>19</v>
      </c>
      <c r="D314">
        <v>1</v>
      </c>
      <c r="E314" t="s">
        <v>9</v>
      </c>
      <c r="F314">
        <v>60000</v>
      </c>
      <c r="G314">
        <v>31000</v>
      </c>
      <c r="H314">
        <f>Table1[[#This Row],[Qty]]*Table1[[#This Row],[SellingPrice]]</f>
        <v>60000</v>
      </c>
      <c r="I314">
        <f>Table1[[#This Row],[Qty]]*Table1[[#This Row],[CostPrice]]</f>
        <v>31000</v>
      </c>
      <c r="J314">
        <v>28797</v>
      </c>
      <c r="K314">
        <v>202.99999999999997</v>
      </c>
      <c r="L314" t="s">
        <v>8</v>
      </c>
      <c r="M314" t="s">
        <v>27</v>
      </c>
      <c r="N314">
        <f>MONTH(Table1[[#This Row],[SaleDate]])</f>
        <v>2</v>
      </c>
      <c r="O314" t="str">
        <f>TEXT(Table1[[#This Row],[SaleDate]],"MMM")</f>
        <v>Feb</v>
      </c>
    </row>
    <row r="315" spans="1:15">
      <c r="A315" s="1">
        <v>44971</v>
      </c>
      <c r="B315" t="s">
        <v>23</v>
      </c>
      <c r="C315" t="s">
        <v>19</v>
      </c>
      <c r="D315">
        <v>1</v>
      </c>
      <c r="E315" t="s">
        <v>10</v>
      </c>
      <c r="F315">
        <v>89000</v>
      </c>
      <c r="G315">
        <v>65000</v>
      </c>
      <c r="H315">
        <f>Table1[[#This Row],[Qty]]*Table1[[#This Row],[SellingPrice]]</f>
        <v>89000</v>
      </c>
      <c r="I315">
        <f>Table1[[#This Row],[Qty]]*Table1[[#This Row],[CostPrice]]</f>
        <v>65000</v>
      </c>
      <c r="J315">
        <v>23832</v>
      </c>
      <c r="K315">
        <v>167.99999999999997</v>
      </c>
      <c r="L315" t="s">
        <v>8</v>
      </c>
      <c r="M315" t="s">
        <v>30</v>
      </c>
      <c r="N315">
        <f>MONTH(Table1[[#This Row],[SaleDate]])</f>
        <v>2</v>
      </c>
      <c r="O315" t="str">
        <f>TEXT(Table1[[#This Row],[SaleDate]],"MMM")</f>
        <v>Feb</v>
      </c>
    </row>
    <row r="316" spans="1:15">
      <c r="A316" s="1">
        <v>44971</v>
      </c>
      <c r="B316" t="s">
        <v>26</v>
      </c>
      <c r="C316" t="s">
        <v>20</v>
      </c>
      <c r="D316">
        <v>1</v>
      </c>
      <c r="E316" t="s">
        <v>7</v>
      </c>
      <c r="F316">
        <v>33000</v>
      </c>
      <c r="G316">
        <v>18000</v>
      </c>
      <c r="H316">
        <f>Table1[[#This Row],[Qty]]*Table1[[#This Row],[SellingPrice]]</f>
        <v>33000</v>
      </c>
      <c r="I316">
        <f>Table1[[#This Row],[Qty]]*Table1[[#This Row],[CostPrice]]</f>
        <v>18000</v>
      </c>
      <c r="J316">
        <v>14895</v>
      </c>
      <c r="K316">
        <v>104.99999999999999</v>
      </c>
      <c r="L316" t="s">
        <v>11</v>
      </c>
      <c r="M316" t="s">
        <v>29</v>
      </c>
      <c r="N316">
        <f>MONTH(Table1[[#This Row],[SaleDate]])</f>
        <v>2</v>
      </c>
      <c r="O316" t="str">
        <f>TEXT(Table1[[#This Row],[SaleDate]],"MMM")</f>
        <v>Feb</v>
      </c>
    </row>
    <row r="317" spans="1:15">
      <c r="A317" s="1">
        <v>44971</v>
      </c>
      <c r="B317" t="s">
        <v>24</v>
      </c>
      <c r="C317" t="s">
        <v>22</v>
      </c>
      <c r="D317">
        <v>1</v>
      </c>
      <c r="E317" t="s">
        <v>7</v>
      </c>
      <c r="F317">
        <v>33000</v>
      </c>
      <c r="G317">
        <v>18000</v>
      </c>
      <c r="H317">
        <f>Table1[[#This Row],[Qty]]*Table1[[#This Row],[SellingPrice]]</f>
        <v>33000</v>
      </c>
      <c r="I317">
        <f>Table1[[#This Row],[Qty]]*Table1[[#This Row],[CostPrice]]</f>
        <v>18000</v>
      </c>
      <c r="J317">
        <v>14895</v>
      </c>
      <c r="K317">
        <v>104.99999999999999</v>
      </c>
      <c r="L317" t="s">
        <v>12</v>
      </c>
      <c r="M317" t="s">
        <v>30</v>
      </c>
      <c r="N317">
        <f>MONTH(Table1[[#This Row],[SaleDate]])</f>
        <v>2</v>
      </c>
      <c r="O317" t="str">
        <f>TEXT(Table1[[#This Row],[SaleDate]],"MMM")</f>
        <v>Feb</v>
      </c>
    </row>
    <row r="318" spans="1:15">
      <c r="A318" s="1">
        <v>44971</v>
      </c>
      <c r="B318" t="s">
        <v>24</v>
      </c>
      <c r="C318" t="s">
        <v>22</v>
      </c>
      <c r="D318">
        <v>1</v>
      </c>
      <c r="E318" t="s">
        <v>9</v>
      </c>
      <c r="F318">
        <v>60000</v>
      </c>
      <c r="G318">
        <v>31000</v>
      </c>
      <c r="H318">
        <f>Table1[[#This Row],[Qty]]*Table1[[#This Row],[SellingPrice]]</f>
        <v>60000</v>
      </c>
      <c r="I318">
        <f>Table1[[#This Row],[Qty]]*Table1[[#This Row],[CostPrice]]</f>
        <v>31000</v>
      </c>
      <c r="J318">
        <v>28797</v>
      </c>
      <c r="K318">
        <v>202.99999999999997</v>
      </c>
      <c r="L318" t="s">
        <v>12</v>
      </c>
      <c r="M318" t="s">
        <v>30</v>
      </c>
      <c r="N318">
        <f>MONTH(Table1[[#This Row],[SaleDate]])</f>
        <v>2</v>
      </c>
      <c r="O318" t="str">
        <f>TEXT(Table1[[#This Row],[SaleDate]],"MMM")</f>
        <v>Feb</v>
      </c>
    </row>
    <row r="319" spans="1:15">
      <c r="A319" s="1">
        <v>44971</v>
      </c>
      <c r="B319" t="s">
        <v>24</v>
      </c>
      <c r="C319" t="s">
        <v>22</v>
      </c>
      <c r="D319">
        <v>1</v>
      </c>
      <c r="E319" t="s">
        <v>10</v>
      </c>
      <c r="F319">
        <v>89000</v>
      </c>
      <c r="G319">
        <v>65000</v>
      </c>
      <c r="H319">
        <f>Table1[[#This Row],[Qty]]*Table1[[#This Row],[SellingPrice]]</f>
        <v>89000</v>
      </c>
      <c r="I319">
        <f>Table1[[#This Row],[Qty]]*Table1[[#This Row],[CostPrice]]</f>
        <v>65000</v>
      </c>
      <c r="J319">
        <v>23832</v>
      </c>
      <c r="K319">
        <v>167.99999999999997</v>
      </c>
      <c r="L319" t="s">
        <v>12</v>
      </c>
      <c r="M319" t="s">
        <v>30</v>
      </c>
      <c r="N319">
        <f>MONTH(Table1[[#This Row],[SaleDate]])</f>
        <v>2</v>
      </c>
      <c r="O319" t="str">
        <f>TEXT(Table1[[#This Row],[SaleDate]],"MMM")</f>
        <v>Feb</v>
      </c>
    </row>
    <row r="320" spans="1:15">
      <c r="A320" s="1">
        <v>44971</v>
      </c>
      <c r="B320" t="s">
        <v>25</v>
      </c>
      <c r="C320" t="s">
        <v>21</v>
      </c>
      <c r="D320">
        <v>1</v>
      </c>
      <c r="E320" t="s">
        <v>7</v>
      </c>
      <c r="F320">
        <v>33000</v>
      </c>
      <c r="G320">
        <v>18000</v>
      </c>
      <c r="H320">
        <f>Table1[[#This Row],[Qty]]*Table1[[#This Row],[SellingPrice]]</f>
        <v>33000</v>
      </c>
      <c r="I320">
        <f>Table1[[#This Row],[Qty]]*Table1[[#This Row],[CostPrice]]</f>
        <v>18000</v>
      </c>
      <c r="J320">
        <v>14895</v>
      </c>
      <c r="K320">
        <v>104.99999999999999</v>
      </c>
      <c r="L320" t="s">
        <v>13</v>
      </c>
      <c r="M320" t="s">
        <v>28</v>
      </c>
      <c r="N320">
        <f>MONTH(Table1[[#This Row],[SaleDate]])</f>
        <v>2</v>
      </c>
      <c r="O320" t="str">
        <f>TEXT(Table1[[#This Row],[SaleDate]],"MMM")</f>
        <v>Feb</v>
      </c>
    </row>
    <row r="321" spans="1:15">
      <c r="A321" s="1">
        <v>44971</v>
      </c>
      <c r="B321" t="s">
        <v>25</v>
      </c>
      <c r="C321" t="s">
        <v>21</v>
      </c>
      <c r="D321">
        <v>1</v>
      </c>
      <c r="E321" t="s">
        <v>9</v>
      </c>
      <c r="F321">
        <v>60000</v>
      </c>
      <c r="G321">
        <v>31000</v>
      </c>
      <c r="H321">
        <f>Table1[[#This Row],[Qty]]*Table1[[#This Row],[SellingPrice]]</f>
        <v>60000</v>
      </c>
      <c r="I321">
        <f>Table1[[#This Row],[Qty]]*Table1[[#This Row],[CostPrice]]</f>
        <v>31000</v>
      </c>
      <c r="J321">
        <v>28797</v>
      </c>
      <c r="K321">
        <v>202.99999999999997</v>
      </c>
      <c r="L321" t="s">
        <v>13</v>
      </c>
      <c r="M321" t="s">
        <v>29</v>
      </c>
      <c r="N321">
        <f>MONTH(Table1[[#This Row],[SaleDate]])</f>
        <v>2</v>
      </c>
      <c r="O321" t="str">
        <f>TEXT(Table1[[#This Row],[SaleDate]],"MMM")</f>
        <v>Feb</v>
      </c>
    </row>
    <row r="322" spans="1:15">
      <c r="A322" s="1">
        <v>44971</v>
      </c>
      <c r="B322" t="s">
        <v>25</v>
      </c>
      <c r="C322" t="s">
        <v>21</v>
      </c>
      <c r="D322">
        <v>1</v>
      </c>
      <c r="E322" t="s">
        <v>10</v>
      </c>
      <c r="F322">
        <v>89000</v>
      </c>
      <c r="G322">
        <v>65000</v>
      </c>
      <c r="H322">
        <f>Table1[[#This Row],[Qty]]*Table1[[#This Row],[SellingPrice]]</f>
        <v>89000</v>
      </c>
      <c r="I322">
        <f>Table1[[#This Row],[Qty]]*Table1[[#This Row],[CostPrice]]</f>
        <v>65000</v>
      </c>
      <c r="J322">
        <v>23832</v>
      </c>
      <c r="K322">
        <v>167.99999999999997</v>
      </c>
      <c r="L322" t="s">
        <v>13</v>
      </c>
      <c r="M322" t="s">
        <v>27</v>
      </c>
      <c r="N322">
        <f>MONTH(Table1[[#This Row],[SaleDate]])</f>
        <v>2</v>
      </c>
      <c r="O322" t="str">
        <f>TEXT(Table1[[#This Row],[SaleDate]],"MMM")</f>
        <v>Feb</v>
      </c>
    </row>
    <row r="323" spans="1:15">
      <c r="A323" s="1">
        <v>44972</v>
      </c>
      <c r="B323" t="s">
        <v>23</v>
      </c>
      <c r="C323" t="s">
        <v>19</v>
      </c>
      <c r="D323">
        <v>2</v>
      </c>
      <c r="E323" t="s">
        <v>7</v>
      </c>
      <c r="F323">
        <v>33000</v>
      </c>
      <c r="G323">
        <v>18000</v>
      </c>
      <c r="H323">
        <f>Table1[[#This Row],[Qty]]*Table1[[#This Row],[SellingPrice]]</f>
        <v>66000</v>
      </c>
      <c r="I323">
        <f>Table1[[#This Row],[Qty]]*Table1[[#This Row],[CostPrice]]</f>
        <v>36000</v>
      </c>
      <c r="J323">
        <v>29790</v>
      </c>
      <c r="K323">
        <v>209.99999999999997</v>
      </c>
      <c r="L323" t="s">
        <v>8</v>
      </c>
      <c r="M323" t="s">
        <v>28</v>
      </c>
      <c r="N323">
        <f>MONTH(Table1[[#This Row],[SaleDate]])</f>
        <v>2</v>
      </c>
      <c r="O323" t="str">
        <f>TEXT(Table1[[#This Row],[SaleDate]],"MMM")</f>
        <v>Feb</v>
      </c>
    </row>
    <row r="324" spans="1:15">
      <c r="A324" s="1">
        <v>44972</v>
      </c>
      <c r="B324" t="s">
        <v>23</v>
      </c>
      <c r="C324" t="s">
        <v>19</v>
      </c>
      <c r="D324">
        <v>2</v>
      </c>
      <c r="E324" t="s">
        <v>9</v>
      </c>
      <c r="F324">
        <v>60000</v>
      </c>
      <c r="G324">
        <v>31000</v>
      </c>
      <c r="H324">
        <f>Table1[[#This Row],[Qty]]*Table1[[#This Row],[SellingPrice]]</f>
        <v>120000</v>
      </c>
      <c r="I324">
        <f>Table1[[#This Row],[Qty]]*Table1[[#This Row],[CostPrice]]</f>
        <v>62000</v>
      </c>
      <c r="J324">
        <v>57594</v>
      </c>
      <c r="K324">
        <v>405.99999999999994</v>
      </c>
      <c r="L324" t="s">
        <v>8</v>
      </c>
      <c r="M324" t="s">
        <v>30</v>
      </c>
      <c r="N324">
        <f>MONTH(Table1[[#This Row],[SaleDate]])</f>
        <v>2</v>
      </c>
      <c r="O324" t="str">
        <f>TEXT(Table1[[#This Row],[SaleDate]],"MMM")</f>
        <v>Feb</v>
      </c>
    </row>
    <row r="325" spans="1:15">
      <c r="A325" s="1">
        <v>44972</v>
      </c>
      <c r="B325" t="s">
        <v>23</v>
      </c>
      <c r="C325" t="s">
        <v>19</v>
      </c>
      <c r="D325">
        <v>2</v>
      </c>
      <c r="E325" t="s">
        <v>10</v>
      </c>
      <c r="F325">
        <v>89000</v>
      </c>
      <c r="G325">
        <v>65000</v>
      </c>
      <c r="H325">
        <f>Table1[[#This Row],[Qty]]*Table1[[#This Row],[SellingPrice]]</f>
        <v>178000</v>
      </c>
      <c r="I325">
        <f>Table1[[#This Row],[Qty]]*Table1[[#This Row],[CostPrice]]</f>
        <v>130000</v>
      </c>
      <c r="J325">
        <v>47664</v>
      </c>
      <c r="K325">
        <v>335.99999999999994</v>
      </c>
      <c r="L325" t="s">
        <v>8</v>
      </c>
      <c r="M325" t="s">
        <v>29</v>
      </c>
      <c r="N325">
        <f>MONTH(Table1[[#This Row],[SaleDate]])</f>
        <v>2</v>
      </c>
      <c r="O325" t="str">
        <f>TEXT(Table1[[#This Row],[SaleDate]],"MMM")</f>
        <v>Feb</v>
      </c>
    </row>
    <row r="326" spans="1:15">
      <c r="A326" s="1">
        <v>44972</v>
      </c>
      <c r="B326" t="s">
        <v>26</v>
      </c>
      <c r="C326" t="s">
        <v>20</v>
      </c>
      <c r="D326">
        <v>2</v>
      </c>
      <c r="E326" t="s">
        <v>7</v>
      </c>
      <c r="F326">
        <v>33000</v>
      </c>
      <c r="G326">
        <v>18000</v>
      </c>
      <c r="H326">
        <f>Table1[[#This Row],[Qty]]*Table1[[#This Row],[SellingPrice]]</f>
        <v>66000</v>
      </c>
      <c r="I326">
        <f>Table1[[#This Row],[Qty]]*Table1[[#This Row],[CostPrice]]</f>
        <v>36000</v>
      </c>
      <c r="J326">
        <v>29790</v>
      </c>
      <c r="K326">
        <v>209.99999999999997</v>
      </c>
      <c r="L326" t="s">
        <v>11</v>
      </c>
      <c r="M326" t="s">
        <v>28</v>
      </c>
      <c r="N326">
        <f>MONTH(Table1[[#This Row],[SaleDate]])</f>
        <v>2</v>
      </c>
      <c r="O326" t="str">
        <f>TEXT(Table1[[#This Row],[SaleDate]],"MMM")</f>
        <v>Feb</v>
      </c>
    </row>
    <row r="327" spans="1:15">
      <c r="A327" s="1">
        <v>44972</v>
      </c>
      <c r="B327" t="s">
        <v>24</v>
      </c>
      <c r="C327" t="s">
        <v>22</v>
      </c>
      <c r="D327">
        <v>2</v>
      </c>
      <c r="E327" t="s">
        <v>7</v>
      </c>
      <c r="F327">
        <v>33000</v>
      </c>
      <c r="G327">
        <v>18000</v>
      </c>
      <c r="H327">
        <f>Table1[[#This Row],[Qty]]*Table1[[#This Row],[SellingPrice]]</f>
        <v>66000</v>
      </c>
      <c r="I327">
        <f>Table1[[#This Row],[Qty]]*Table1[[#This Row],[CostPrice]]</f>
        <v>36000</v>
      </c>
      <c r="J327">
        <v>29790</v>
      </c>
      <c r="K327">
        <v>209.99999999999997</v>
      </c>
      <c r="L327" t="s">
        <v>12</v>
      </c>
      <c r="M327" t="s">
        <v>29</v>
      </c>
      <c r="N327">
        <f>MONTH(Table1[[#This Row],[SaleDate]])</f>
        <v>2</v>
      </c>
      <c r="O327" t="str">
        <f>TEXT(Table1[[#This Row],[SaleDate]],"MMM")</f>
        <v>Feb</v>
      </c>
    </row>
    <row r="328" spans="1:15">
      <c r="A328" s="1">
        <v>44972</v>
      </c>
      <c r="B328" t="s">
        <v>24</v>
      </c>
      <c r="C328" t="s">
        <v>22</v>
      </c>
      <c r="D328">
        <v>2</v>
      </c>
      <c r="E328" t="s">
        <v>9</v>
      </c>
      <c r="F328">
        <v>60000</v>
      </c>
      <c r="G328">
        <v>31000</v>
      </c>
      <c r="H328">
        <f>Table1[[#This Row],[Qty]]*Table1[[#This Row],[SellingPrice]]</f>
        <v>120000</v>
      </c>
      <c r="I328">
        <f>Table1[[#This Row],[Qty]]*Table1[[#This Row],[CostPrice]]</f>
        <v>62000</v>
      </c>
      <c r="J328">
        <v>57594</v>
      </c>
      <c r="K328">
        <v>405.99999999999994</v>
      </c>
      <c r="L328" t="s">
        <v>12</v>
      </c>
      <c r="M328" t="s">
        <v>29</v>
      </c>
      <c r="N328">
        <f>MONTH(Table1[[#This Row],[SaleDate]])</f>
        <v>2</v>
      </c>
      <c r="O328" t="str">
        <f>TEXT(Table1[[#This Row],[SaleDate]],"MMM")</f>
        <v>Feb</v>
      </c>
    </row>
    <row r="329" spans="1:15">
      <c r="A329" s="1">
        <v>44972</v>
      </c>
      <c r="B329" t="s">
        <v>24</v>
      </c>
      <c r="C329" t="s">
        <v>22</v>
      </c>
      <c r="D329">
        <v>2</v>
      </c>
      <c r="E329" t="s">
        <v>10</v>
      </c>
      <c r="F329">
        <v>89000</v>
      </c>
      <c r="G329">
        <v>65000</v>
      </c>
      <c r="H329">
        <f>Table1[[#This Row],[Qty]]*Table1[[#This Row],[SellingPrice]]</f>
        <v>178000</v>
      </c>
      <c r="I329">
        <f>Table1[[#This Row],[Qty]]*Table1[[#This Row],[CostPrice]]</f>
        <v>130000</v>
      </c>
      <c r="J329">
        <v>47664</v>
      </c>
      <c r="K329">
        <v>335.99999999999994</v>
      </c>
      <c r="L329" t="s">
        <v>12</v>
      </c>
      <c r="M329" t="s">
        <v>27</v>
      </c>
      <c r="N329">
        <f>MONTH(Table1[[#This Row],[SaleDate]])</f>
        <v>2</v>
      </c>
      <c r="O329" t="str">
        <f>TEXT(Table1[[#This Row],[SaleDate]],"MMM")</f>
        <v>Feb</v>
      </c>
    </row>
    <row r="330" spans="1:15">
      <c r="A330" s="1">
        <v>44972</v>
      </c>
      <c r="B330" t="s">
        <v>25</v>
      </c>
      <c r="C330" t="s">
        <v>21</v>
      </c>
      <c r="D330">
        <v>2</v>
      </c>
      <c r="E330" t="s">
        <v>7</v>
      </c>
      <c r="F330">
        <v>33000</v>
      </c>
      <c r="G330">
        <v>18000</v>
      </c>
      <c r="H330">
        <f>Table1[[#This Row],[Qty]]*Table1[[#This Row],[SellingPrice]]</f>
        <v>66000</v>
      </c>
      <c r="I330">
        <f>Table1[[#This Row],[Qty]]*Table1[[#This Row],[CostPrice]]</f>
        <v>36000</v>
      </c>
      <c r="J330">
        <v>29790</v>
      </c>
      <c r="K330">
        <v>209.99999999999997</v>
      </c>
      <c r="L330" t="s">
        <v>13</v>
      </c>
      <c r="M330" t="s">
        <v>30</v>
      </c>
      <c r="N330">
        <f>MONTH(Table1[[#This Row],[SaleDate]])</f>
        <v>2</v>
      </c>
      <c r="O330" t="str">
        <f>TEXT(Table1[[#This Row],[SaleDate]],"MMM")</f>
        <v>Feb</v>
      </c>
    </row>
    <row r="331" spans="1:15">
      <c r="A331" s="1">
        <v>44972</v>
      </c>
      <c r="B331" t="s">
        <v>25</v>
      </c>
      <c r="C331" t="s">
        <v>21</v>
      </c>
      <c r="D331">
        <v>2</v>
      </c>
      <c r="E331" t="s">
        <v>9</v>
      </c>
      <c r="F331">
        <v>60000</v>
      </c>
      <c r="G331">
        <v>31000</v>
      </c>
      <c r="H331">
        <f>Table1[[#This Row],[Qty]]*Table1[[#This Row],[SellingPrice]]</f>
        <v>120000</v>
      </c>
      <c r="I331">
        <f>Table1[[#This Row],[Qty]]*Table1[[#This Row],[CostPrice]]</f>
        <v>62000</v>
      </c>
      <c r="J331">
        <v>57594</v>
      </c>
      <c r="K331">
        <v>405.99999999999994</v>
      </c>
      <c r="L331" t="s">
        <v>13</v>
      </c>
      <c r="M331" t="s">
        <v>30</v>
      </c>
      <c r="N331">
        <f>MONTH(Table1[[#This Row],[SaleDate]])</f>
        <v>2</v>
      </c>
      <c r="O331" t="str">
        <f>TEXT(Table1[[#This Row],[SaleDate]],"MMM")</f>
        <v>Feb</v>
      </c>
    </row>
    <row r="332" spans="1:15">
      <c r="A332" s="1">
        <v>44972</v>
      </c>
      <c r="B332" t="s">
        <v>25</v>
      </c>
      <c r="C332" t="s">
        <v>21</v>
      </c>
      <c r="D332">
        <v>2</v>
      </c>
      <c r="E332" t="s">
        <v>10</v>
      </c>
      <c r="F332">
        <v>89000</v>
      </c>
      <c r="G332">
        <v>65000</v>
      </c>
      <c r="H332">
        <f>Table1[[#This Row],[Qty]]*Table1[[#This Row],[SellingPrice]]</f>
        <v>178000</v>
      </c>
      <c r="I332">
        <f>Table1[[#This Row],[Qty]]*Table1[[#This Row],[CostPrice]]</f>
        <v>130000</v>
      </c>
      <c r="J332">
        <v>47664</v>
      </c>
      <c r="K332">
        <v>335.99999999999994</v>
      </c>
      <c r="L332" t="s">
        <v>13</v>
      </c>
      <c r="M332" t="s">
        <v>27</v>
      </c>
      <c r="N332">
        <f>MONTH(Table1[[#This Row],[SaleDate]])</f>
        <v>2</v>
      </c>
      <c r="O332" t="str">
        <f>TEXT(Table1[[#This Row],[SaleDate]],"MMM")</f>
        <v>Feb</v>
      </c>
    </row>
    <row r="333" spans="1:15">
      <c r="A333" s="1">
        <v>44973</v>
      </c>
      <c r="B333" t="s">
        <v>23</v>
      </c>
      <c r="C333" t="s">
        <v>19</v>
      </c>
      <c r="D333">
        <v>1</v>
      </c>
      <c r="E333" t="s">
        <v>7</v>
      </c>
      <c r="F333">
        <v>33000</v>
      </c>
      <c r="G333">
        <v>18000</v>
      </c>
      <c r="H333">
        <f>Table1[[#This Row],[Qty]]*Table1[[#This Row],[SellingPrice]]</f>
        <v>33000</v>
      </c>
      <c r="I333">
        <f>Table1[[#This Row],[Qty]]*Table1[[#This Row],[CostPrice]]</f>
        <v>18000</v>
      </c>
      <c r="J333">
        <v>14895</v>
      </c>
      <c r="K333">
        <v>104.99999999999999</v>
      </c>
      <c r="L333" t="s">
        <v>8</v>
      </c>
      <c r="M333" t="s">
        <v>27</v>
      </c>
      <c r="N333">
        <f>MONTH(Table1[[#This Row],[SaleDate]])</f>
        <v>2</v>
      </c>
      <c r="O333" t="str">
        <f>TEXT(Table1[[#This Row],[SaleDate]],"MMM")</f>
        <v>Feb</v>
      </c>
    </row>
    <row r="334" spans="1:15">
      <c r="A334" s="1">
        <v>44973</v>
      </c>
      <c r="B334" t="s">
        <v>23</v>
      </c>
      <c r="C334" t="s">
        <v>19</v>
      </c>
      <c r="D334">
        <v>1</v>
      </c>
      <c r="E334" t="s">
        <v>9</v>
      </c>
      <c r="F334">
        <v>60000</v>
      </c>
      <c r="G334">
        <v>31000</v>
      </c>
      <c r="H334">
        <f>Table1[[#This Row],[Qty]]*Table1[[#This Row],[SellingPrice]]</f>
        <v>60000</v>
      </c>
      <c r="I334">
        <f>Table1[[#This Row],[Qty]]*Table1[[#This Row],[CostPrice]]</f>
        <v>31000</v>
      </c>
      <c r="J334">
        <v>28797</v>
      </c>
      <c r="K334">
        <v>202.99999999999997</v>
      </c>
      <c r="L334" t="s">
        <v>8</v>
      </c>
      <c r="M334" t="s">
        <v>28</v>
      </c>
      <c r="N334">
        <f>MONTH(Table1[[#This Row],[SaleDate]])</f>
        <v>2</v>
      </c>
      <c r="O334" t="str">
        <f>TEXT(Table1[[#This Row],[SaleDate]],"MMM")</f>
        <v>Feb</v>
      </c>
    </row>
    <row r="335" spans="1:15">
      <c r="A335" s="1">
        <v>44973</v>
      </c>
      <c r="B335" t="s">
        <v>23</v>
      </c>
      <c r="C335" t="s">
        <v>19</v>
      </c>
      <c r="D335">
        <v>1</v>
      </c>
      <c r="E335" t="s">
        <v>10</v>
      </c>
      <c r="F335">
        <v>89000</v>
      </c>
      <c r="G335">
        <v>65000</v>
      </c>
      <c r="H335">
        <f>Table1[[#This Row],[Qty]]*Table1[[#This Row],[SellingPrice]]</f>
        <v>89000</v>
      </c>
      <c r="I335">
        <f>Table1[[#This Row],[Qty]]*Table1[[#This Row],[CostPrice]]</f>
        <v>65000</v>
      </c>
      <c r="J335">
        <v>23832</v>
      </c>
      <c r="K335">
        <v>167.99999999999997</v>
      </c>
      <c r="L335" t="s">
        <v>8</v>
      </c>
      <c r="M335" t="s">
        <v>28</v>
      </c>
      <c r="N335">
        <f>MONTH(Table1[[#This Row],[SaleDate]])</f>
        <v>2</v>
      </c>
      <c r="O335" t="str">
        <f>TEXT(Table1[[#This Row],[SaleDate]],"MMM")</f>
        <v>Feb</v>
      </c>
    </row>
    <row r="336" spans="1:15">
      <c r="A336" s="1">
        <v>44973</v>
      </c>
      <c r="B336" t="s">
        <v>26</v>
      </c>
      <c r="C336" t="s">
        <v>20</v>
      </c>
      <c r="D336">
        <v>1</v>
      </c>
      <c r="E336" t="s">
        <v>7</v>
      </c>
      <c r="F336">
        <v>33000</v>
      </c>
      <c r="G336">
        <v>18000</v>
      </c>
      <c r="H336">
        <f>Table1[[#This Row],[Qty]]*Table1[[#This Row],[SellingPrice]]</f>
        <v>33000</v>
      </c>
      <c r="I336">
        <f>Table1[[#This Row],[Qty]]*Table1[[#This Row],[CostPrice]]</f>
        <v>18000</v>
      </c>
      <c r="J336">
        <v>14895</v>
      </c>
      <c r="K336">
        <v>104.99999999999999</v>
      </c>
      <c r="L336" t="s">
        <v>11</v>
      </c>
      <c r="M336" t="s">
        <v>29</v>
      </c>
      <c r="N336">
        <f>MONTH(Table1[[#This Row],[SaleDate]])</f>
        <v>2</v>
      </c>
      <c r="O336" t="str">
        <f>TEXT(Table1[[#This Row],[SaleDate]],"MMM")</f>
        <v>Feb</v>
      </c>
    </row>
    <row r="337" spans="1:15">
      <c r="A337" s="1">
        <v>44973</v>
      </c>
      <c r="B337" t="s">
        <v>24</v>
      </c>
      <c r="C337" t="s">
        <v>22</v>
      </c>
      <c r="D337">
        <v>1</v>
      </c>
      <c r="E337" t="s">
        <v>7</v>
      </c>
      <c r="F337">
        <v>33000</v>
      </c>
      <c r="G337">
        <v>18000</v>
      </c>
      <c r="H337">
        <f>Table1[[#This Row],[Qty]]*Table1[[#This Row],[SellingPrice]]</f>
        <v>33000</v>
      </c>
      <c r="I337">
        <f>Table1[[#This Row],[Qty]]*Table1[[#This Row],[CostPrice]]</f>
        <v>18000</v>
      </c>
      <c r="J337">
        <v>14895</v>
      </c>
      <c r="K337">
        <v>104.99999999999999</v>
      </c>
      <c r="L337" t="s">
        <v>12</v>
      </c>
      <c r="M337" t="s">
        <v>30</v>
      </c>
      <c r="N337">
        <f>MONTH(Table1[[#This Row],[SaleDate]])</f>
        <v>2</v>
      </c>
      <c r="O337" t="str">
        <f>TEXT(Table1[[#This Row],[SaleDate]],"MMM")</f>
        <v>Feb</v>
      </c>
    </row>
    <row r="338" spans="1:15">
      <c r="A338" s="1">
        <v>44973</v>
      </c>
      <c r="B338" t="s">
        <v>24</v>
      </c>
      <c r="C338" t="s">
        <v>22</v>
      </c>
      <c r="D338">
        <v>1</v>
      </c>
      <c r="E338" t="s">
        <v>9</v>
      </c>
      <c r="F338">
        <v>60000</v>
      </c>
      <c r="G338">
        <v>31000</v>
      </c>
      <c r="H338">
        <f>Table1[[#This Row],[Qty]]*Table1[[#This Row],[SellingPrice]]</f>
        <v>60000</v>
      </c>
      <c r="I338">
        <f>Table1[[#This Row],[Qty]]*Table1[[#This Row],[CostPrice]]</f>
        <v>31000</v>
      </c>
      <c r="J338">
        <v>28797</v>
      </c>
      <c r="K338">
        <v>202.99999999999997</v>
      </c>
      <c r="L338" t="s">
        <v>12</v>
      </c>
      <c r="M338" t="s">
        <v>30</v>
      </c>
      <c r="N338">
        <f>MONTH(Table1[[#This Row],[SaleDate]])</f>
        <v>2</v>
      </c>
      <c r="O338" t="str">
        <f>TEXT(Table1[[#This Row],[SaleDate]],"MMM")</f>
        <v>Feb</v>
      </c>
    </row>
    <row r="339" spans="1:15">
      <c r="A339" s="1">
        <v>44973</v>
      </c>
      <c r="B339" t="s">
        <v>24</v>
      </c>
      <c r="C339" t="s">
        <v>22</v>
      </c>
      <c r="D339">
        <v>1</v>
      </c>
      <c r="E339" t="s">
        <v>10</v>
      </c>
      <c r="F339">
        <v>89000</v>
      </c>
      <c r="G339">
        <v>65000</v>
      </c>
      <c r="H339">
        <f>Table1[[#This Row],[Qty]]*Table1[[#This Row],[SellingPrice]]</f>
        <v>89000</v>
      </c>
      <c r="I339">
        <f>Table1[[#This Row],[Qty]]*Table1[[#This Row],[CostPrice]]</f>
        <v>65000</v>
      </c>
      <c r="J339">
        <v>23832</v>
      </c>
      <c r="K339">
        <v>167.99999999999997</v>
      </c>
      <c r="L339" t="s">
        <v>12</v>
      </c>
      <c r="M339" t="s">
        <v>27</v>
      </c>
      <c r="N339">
        <f>MONTH(Table1[[#This Row],[SaleDate]])</f>
        <v>2</v>
      </c>
      <c r="O339" t="str">
        <f>TEXT(Table1[[#This Row],[SaleDate]],"MMM")</f>
        <v>Feb</v>
      </c>
    </row>
    <row r="340" spans="1:15">
      <c r="A340" s="1">
        <v>44973</v>
      </c>
      <c r="B340" t="s">
        <v>25</v>
      </c>
      <c r="C340" t="s">
        <v>21</v>
      </c>
      <c r="D340">
        <v>1</v>
      </c>
      <c r="E340" t="s">
        <v>7</v>
      </c>
      <c r="F340">
        <v>33000</v>
      </c>
      <c r="G340">
        <v>18000</v>
      </c>
      <c r="H340">
        <f>Table1[[#This Row],[Qty]]*Table1[[#This Row],[SellingPrice]]</f>
        <v>33000</v>
      </c>
      <c r="I340">
        <f>Table1[[#This Row],[Qty]]*Table1[[#This Row],[CostPrice]]</f>
        <v>18000</v>
      </c>
      <c r="J340">
        <v>14895</v>
      </c>
      <c r="K340">
        <v>104.99999999999999</v>
      </c>
      <c r="L340" t="s">
        <v>13</v>
      </c>
      <c r="M340" t="s">
        <v>29</v>
      </c>
      <c r="N340">
        <f>MONTH(Table1[[#This Row],[SaleDate]])</f>
        <v>2</v>
      </c>
      <c r="O340" t="str">
        <f>TEXT(Table1[[#This Row],[SaleDate]],"MMM")</f>
        <v>Feb</v>
      </c>
    </row>
    <row r="341" spans="1:15">
      <c r="A341" s="1">
        <v>44973</v>
      </c>
      <c r="B341" t="s">
        <v>25</v>
      </c>
      <c r="C341" t="s">
        <v>21</v>
      </c>
      <c r="D341">
        <v>1</v>
      </c>
      <c r="E341" t="s">
        <v>9</v>
      </c>
      <c r="F341">
        <v>60000</v>
      </c>
      <c r="G341">
        <v>31000</v>
      </c>
      <c r="H341">
        <f>Table1[[#This Row],[Qty]]*Table1[[#This Row],[SellingPrice]]</f>
        <v>60000</v>
      </c>
      <c r="I341">
        <f>Table1[[#This Row],[Qty]]*Table1[[#This Row],[CostPrice]]</f>
        <v>31000</v>
      </c>
      <c r="J341">
        <v>28797</v>
      </c>
      <c r="K341">
        <v>202.99999999999997</v>
      </c>
      <c r="L341" t="s">
        <v>13</v>
      </c>
      <c r="M341" t="s">
        <v>29</v>
      </c>
      <c r="N341">
        <f>MONTH(Table1[[#This Row],[SaleDate]])</f>
        <v>2</v>
      </c>
      <c r="O341" t="str">
        <f>TEXT(Table1[[#This Row],[SaleDate]],"MMM")</f>
        <v>Feb</v>
      </c>
    </row>
    <row r="342" spans="1:15">
      <c r="A342" s="1">
        <v>44973</v>
      </c>
      <c r="B342" t="s">
        <v>25</v>
      </c>
      <c r="C342" t="s">
        <v>21</v>
      </c>
      <c r="D342">
        <v>1</v>
      </c>
      <c r="E342" t="s">
        <v>10</v>
      </c>
      <c r="F342">
        <v>89000</v>
      </c>
      <c r="G342">
        <v>65000</v>
      </c>
      <c r="H342">
        <f>Table1[[#This Row],[Qty]]*Table1[[#This Row],[SellingPrice]]</f>
        <v>89000</v>
      </c>
      <c r="I342">
        <f>Table1[[#This Row],[Qty]]*Table1[[#This Row],[CostPrice]]</f>
        <v>65000</v>
      </c>
      <c r="J342">
        <v>23832</v>
      </c>
      <c r="K342">
        <v>167.99999999999997</v>
      </c>
      <c r="L342" t="s">
        <v>13</v>
      </c>
      <c r="M342" t="s">
        <v>29</v>
      </c>
      <c r="N342">
        <f>MONTH(Table1[[#This Row],[SaleDate]])</f>
        <v>2</v>
      </c>
      <c r="O342" t="str">
        <f>TEXT(Table1[[#This Row],[SaleDate]],"MMM")</f>
        <v>Feb</v>
      </c>
    </row>
    <row r="343" spans="1:15">
      <c r="A343" s="1">
        <v>44974</v>
      </c>
      <c r="B343" t="s">
        <v>23</v>
      </c>
      <c r="C343" t="s">
        <v>19</v>
      </c>
      <c r="D343">
        <v>2</v>
      </c>
      <c r="E343" t="s">
        <v>7</v>
      </c>
      <c r="F343">
        <v>33000</v>
      </c>
      <c r="G343">
        <v>18000</v>
      </c>
      <c r="H343">
        <f>Table1[[#This Row],[Qty]]*Table1[[#This Row],[SellingPrice]]</f>
        <v>66000</v>
      </c>
      <c r="I343">
        <f>Table1[[#This Row],[Qty]]*Table1[[#This Row],[CostPrice]]</f>
        <v>36000</v>
      </c>
      <c r="J343">
        <v>29790</v>
      </c>
      <c r="K343">
        <v>209.99999999999997</v>
      </c>
      <c r="L343" t="s">
        <v>8</v>
      </c>
      <c r="M343" t="s">
        <v>29</v>
      </c>
      <c r="N343">
        <f>MONTH(Table1[[#This Row],[SaleDate]])</f>
        <v>2</v>
      </c>
      <c r="O343" t="str">
        <f>TEXT(Table1[[#This Row],[SaleDate]],"MMM")</f>
        <v>Feb</v>
      </c>
    </row>
    <row r="344" spans="1:15">
      <c r="A344" s="1">
        <v>44974</v>
      </c>
      <c r="B344" t="s">
        <v>23</v>
      </c>
      <c r="C344" t="s">
        <v>19</v>
      </c>
      <c r="D344">
        <v>2</v>
      </c>
      <c r="E344" t="s">
        <v>9</v>
      </c>
      <c r="F344">
        <v>60000</v>
      </c>
      <c r="G344">
        <v>31000</v>
      </c>
      <c r="H344">
        <f>Table1[[#This Row],[Qty]]*Table1[[#This Row],[SellingPrice]]</f>
        <v>120000</v>
      </c>
      <c r="I344">
        <f>Table1[[#This Row],[Qty]]*Table1[[#This Row],[CostPrice]]</f>
        <v>62000</v>
      </c>
      <c r="J344">
        <v>57594</v>
      </c>
      <c r="K344">
        <v>405.99999999999994</v>
      </c>
      <c r="L344" t="s">
        <v>8</v>
      </c>
      <c r="M344" t="s">
        <v>29</v>
      </c>
      <c r="N344">
        <f>MONTH(Table1[[#This Row],[SaleDate]])</f>
        <v>2</v>
      </c>
      <c r="O344" t="str">
        <f>TEXT(Table1[[#This Row],[SaleDate]],"MMM")</f>
        <v>Feb</v>
      </c>
    </row>
    <row r="345" spans="1:15">
      <c r="A345" s="1">
        <v>44974</v>
      </c>
      <c r="B345" t="s">
        <v>23</v>
      </c>
      <c r="C345" t="s">
        <v>19</v>
      </c>
      <c r="D345">
        <v>2</v>
      </c>
      <c r="E345" t="s">
        <v>10</v>
      </c>
      <c r="F345">
        <v>89000</v>
      </c>
      <c r="G345">
        <v>65000</v>
      </c>
      <c r="H345">
        <f>Table1[[#This Row],[Qty]]*Table1[[#This Row],[SellingPrice]]</f>
        <v>178000</v>
      </c>
      <c r="I345">
        <f>Table1[[#This Row],[Qty]]*Table1[[#This Row],[CostPrice]]</f>
        <v>130000</v>
      </c>
      <c r="J345">
        <v>47664</v>
      </c>
      <c r="K345">
        <v>335.99999999999994</v>
      </c>
      <c r="L345" t="s">
        <v>8</v>
      </c>
      <c r="M345" t="s">
        <v>30</v>
      </c>
      <c r="N345">
        <f>MONTH(Table1[[#This Row],[SaleDate]])</f>
        <v>2</v>
      </c>
      <c r="O345" t="str">
        <f>TEXT(Table1[[#This Row],[SaleDate]],"MMM")</f>
        <v>Feb</v>
      </c>
    </row>
    <row r="346" spans="1:15">
      <c r="A346" s="1">
        <v>44974</v>
      </c>
      <c r="B346" t="s">
        <v>26</v>
      </c>
      <c r="C346" t="s">
        <v>20</v>
      </c>
      <c r="D346">
        <v>2</v>
      </c>
      <c r="E346" t="s">
        <v>7</v>
      </c>
      <c r="F346">
        <v>33000</v>
      </c>
      <c r="G346">
        <v>18000</v>
      </c>
      <c r="H346">
        <f>Table1[[#This Row],[Qty]]*Table1[[#This Row],[SellingPrice]]</f>
        <v>66000</v>
      </c>
      <c r="I346">
        <f>Table1[[#This Row],[Qty]]*Table1[[#This Row],[CostPrice]]</f>
        <v>36000</v>
      </c>
      <c r="J346">
        <v>29790</v>
      </c>
      <c r="K346">
        <v>209.99999999999997</v>
      </c>
      <c r="L346" t="s">
        <v>11</v>
      </c>
      <c r="M346" t="s">
        <v>29</v>
      </c>
      <c r="N346">
        <f>MONTH(Table1[[#This Row],[SaleDate]])</f>
        <v>2</v>
      </c>
      <c r="O346" t="str">
        <f>TEXT(Table1[[#This Row],[SaleDate]],"MMM")</f>
        <v>Feb</v>
      </c>
    </row>
    <row r="347" spans="1:15">
      <c r="A347" s="1">
        <v>44974</v>
      </c>
      <c r="B347" t="s">
        <v>24</v>
      </c>
      <c r="C347" t="s">
        <v>22</v>
      </c>
      <c r="D347">
        <v>2</v>
      </c>
      <c r="E347" t="s">
        <v>7</v>
      </c>
      <c r="F347">
        <v>33000</v>
      </c>
      <c r="G347">
        <v>18000</v>
      </c>
      <c r="H347">
        <f>Table1[[#This Row],[Qty]]*Table1[[#This Row],[SellingPrice]]</f>
        <v>66000</v>
      </c>
      <c r="I347">
        <f>Table1[[#This Row],[Qty]]*Table1[[#This Row],[CostPrice]]</f>
        <v>36000</v>
      </c>
      <c r="J347">
        <v>29790</v>
      </c>
      <c r="K347">
        <v>209.99999999999997</v>
      </c>
      <c r="L347" t="s">
        <v>12</v>
      </c>
      <c r="M347" t="s">
        <v>30</v>
      </c>
      <c r="N347">
        <f>MONTH(Table1[[#This Row],[SaleDate]])</f>
        <v>2</v>
      </c>
      <c r="O347" t="str">
        <f>TEXT(Table1[[#This Row],[SaleDate]],"MMM")</f>
        <v>Feb</v>
      </c>
    </row>
    <row r="348" spans="1:15">
      <c r="A348" s="1">
        <v>44974</v>
      </c>
      <c r="B348" t="s">
        <v>24</v>
      </c>
      <c r="C348" t="s">
        <v>22</v>
      </c>
      <c r="D348">
        <v>2</v>
      </c>
      <c r="E348" t="s">
        <v>9</v>
      </c>
      <c r="F348">
        <v>60000</v>
      </c>
      <c r="G348">
        <v>31000</v>
      </c>
      <c r="H348">
        <f>Table1[[#This Row],[Qty]]*Table1[[#This Row],[SellingPrice]]</f>
        <v>120000</v>
      </c>
      <c r="I348">
        <f>Table1[[#This Row],[Qty]]*Table1[[#This Row],[CostPrice]]</f>
        <v>62000</v>
      </c>
      <c r="J348">
        <v>57594</v>
      </c>
      <c r="K348">
        <v>405.99999999999994</v>
      </c>
      <c r="L348" t="s">
        <v>12</v>
      </c>
      <c r="M348" t="s">
        <v>30</v>
      </c>
      <c r="N348">
        <f>MONTH(Table1[[#This Row],[SaleDate]])</f>
        <v>2</v>
      </c>
      <c r="O348" t="str">
        <f>TEXT(Table1[[#This Row],[SaleDate]],"MMM")</f>
        <v>Feb</v>
      </c>
    </row>
    <row r="349" spans="1:15">
      <c r="A349" s="1">
        <v>44974</v>
      </c>
      <c r="B349" t="s">
        <v>24</v>
      </c>
      <c r="C349" t="s">
        <v>22</v>
      </c>
      <c r="D349">
        <v>2</v>
      </c>
      <c r="E349" t="s">
        <v>10</v>
      </c>
      <c r="F349">
        <v>89000</v>
      </c>
      <c r="G349">
        <v>65000</v>
      </c>
      <c r="H349">
        <f>Table1[[#This Row],[Qty]]*Table1[[#This Row],[SellingPrice]]</f>
        <v>178000</v>
      </c>
      <c r="I349">
        <f>Table1[[#This Row],[Qty]]*Table1[[#This Row],[CostPrice]]</f>
        <v>130000</v>
      </c>
      <c r="J349">
        <v>47664</v>
      </c>
      <c r="K349">
        <v>335.99999999999994</v>
      </c>
      <c r="L349" t="s">
        <v>12</v>
      </c>
      <c r="M349" t="s">
        <v>29</v>
      </c>
      <c r="N349">
        <f>MONTH(Table1[[#This Row],[SaleDate]])</f>
        <v>2</v>
      </c>
      <c r="O349" t="str">
        <f>TEXT(Table1[[#This Row],[SaleDate]],"MMM")</f>
        <v>Feb</v>
      </c>
    </row>
    <row r="350" spans="1:15">
      <c r="A350" s="1">
        <v>44974</v>
      </c>
      <c r="B350" t="s">
        <v>25</v>
      </c>
      <c r="C350" t="s">
        <v>21</v>
      </c>
      <c r="D350">
        <v>2</v>
      </c>
      <c r="E350" t="s">
        <v>7</v>
      </c>
      <c r="F350">
        <v>33000</v>
      </c>
      <c r="G350">
        <v>18000</v>
      </c>
      <c r="H350">
        <f>Table1[[#This Row],[Qty]]*Table1[[#This Row],[SellingPrice]]</f>
        <v>66000</v>
      </c>
      <c r="I350">
        <f>Table1[[#This Row],[Qty]]*Table1[[#This Row],[CostPrice]]</f>
        <v>36000</v>
      </c>
      <c r="J350">
        <v>29790</v>
      </c>
      <c r="K350">
        <v>209.99999999999997</v>
      </c>
      <c r="L350" t="s">
        <v>13</v>
      </c>
      <c r="M350" t="s">
        <v>29</v>
      </c>
      <c r="N350">
        <f>MONTH(Table1[[#This Row],[SaleDate]])</f>
        <v>2</v>
      </c>
      <c r="O350" t="str">
        <f>TEXT(Table1[[#This Row],[SaleDate]],"MMM")</f>
        <v>Feb</v>
      </c>
    </row>
    <row r="351" spans="1:15">
      <c r="A351" s="1">
        <v>44974</v>
      </c>
      <c r="B351" t="s">
        <v>25</v>
      </c>
      <c r="C351" t="s">
        <v>21</v>
      </c>
      <c r="D351">
        <v>2</v>
      </c>
      <c r="E351" t="s">
        <v>9</v>
      </c>
      <c r="F351">
        <v>60000</v>
      </c>
      <c r="G351">
        <v>31000</v>
      </c>
      <c r="H351">
        <f>Table1[[#This Row],[Qty]]*Table1[[#This Row],[SellingPrice]]</f>
        <v>120000</v>
      </c>
      <c r="I351">
        <f>Table1[[#This Row],[Qty]]*Table1[[#This Row],[CostPrice]]</f>
        <v>62000</v>
      </c>
      <c r="J351">
        <v>57594</v>
      </c>
      <c r="K351">
        <v>405.99999999999994</v>
      </c>
      <c r="L351" t="s">
        <v>13</v>
      </c>
      <c r="M351" t="s">
        <v>29</v>
      </c>
      <c r="N351">
        <f>MONTH(Table1[[#This Row],[SaleDate]])</f>
        <v>2</v>
      </c>
      <c r="O351" t="str">
        <f>TEXT(Table1[[#This Row],[SaleDate]],"MMM")</f>
        <v>Feb</v>
      </c>
    </row>
    <row r="352" spans="1:15">
      <c r="A352" s="1">
        <v>44974</v>
      </c>
      <c r="B352" t="s">
        <v>25</v>
      </c>
      <c r="C352" t="s">
        <v>21</v>
      </c>
      <c r="D352">
        <v>2</v>
      </c>
      <c r="E352" t="s">
        <v>10</v>
      </c>
      <c r="F352">
        <v>89000</v>
      </c>
      <c r="G352">
        <v>65000</v>
      </c>
      <c r="H352">
        <f>Table1[[#This Row],[Qty]]*Table1[[#This Row],[SellingPrice]]</f>
        <v>178000</v>
      </c>
      <c r="I352">
        <f>Table1[[#This Row],[Qty]]*Table1[[#This Row],[CostPrice]]</f>
        <v>130000</v>
      </c>
      <c r="J352">
        <v>47664</v>
      </c>
      <c r="K352">
        <v>335.99999999999994</v>
      </c>
      <c r="L352" t="s">
        <v>13</v>
      </c>
      <c r="M352" t="s">
        <v>30</v>
      </c>
      <c r="N352">
        <f>MONTH(Table1[[#This Row],[SaleDate]])</f>
        <v>2</v>
      </c>
      <c r="O352" t="str">
        <f>TEXT(Table1[[#This Row],[SaleDate]],"MMM")</f>
        <v>Feb</v>
      </c>
    </row>
    <row r="353" spans="1:15">
      <c r="A353" s="1">
        <v>44975</v>
      </c>
      <c r="B353" t="s">
        <v>23</v>
      </c>
      <c r="C353" t="s">
        <v>19</v>
      </c>
      <c r="D353">
        <v>1</v>
      </c>
      <c r="E353" t="s">
        <v>7</v>
      </c>
      <c r="F353">
        <v>33000</v>
      </c>
      <c r="G353">
        <v>18000</v>
      </c>
      <c r="H353">
        <f>Table1[[#This Row],[Qty]]*Table1[[#This Row],[SellingPrice]]</f>
        <v>33000</v>
      </c>
      <c r="I353">
        <f>Table1[[#This Row],[Qty]]*Table1[[#This Row],[CostPrice]]</f>
        <v>18000</v>
      </c>
      <c r="J353">
        <v>14895</v>
      </c>
      <c r="K353">
        <v>104.99999999999999</v>
      </c>
      <c r="L353" t="s">
        <v>8</v>
      </c>
      <c r="M353" t="s">
        <v>28</v>
      </c>
      <c r="N353">
        <f>MONTH(Table1[[#This Row],[SaleDate]])</f>
        <v>2</v>
      </c>
      <c r="O353" t="str">
        <f>TEXT(Table1[[#This Row],[SaleDate]],"MMM")</f>
        <v>Feb</v>
      </c>
    </row>
    <row r="354" spans="1:15">
      <c r="A354" s="1">
        <v>44975</v>
      </c>
      <c r="B354" t="s">
        <v>23</v>
      </c>
      <c r="C354" t="s">
        <v>19</v>
      </c>
      <c r="D354">
        <v>1</v>
      </c>
      <c r="E354" t="s">
        <v>9</v>
      </c>
      <c r="F354">
        <v>60000</v>
      </c>
      <c r="G354">
        <v>31000</v>
      </c>
      <c r="H354">
        <f>Table1[[#This Row],[Qty]]*Table1[[#This Row],[SellingPrice]]</f>
        <v>60000</v>
      </c>
      <c r="I354">
        <f>Table1[[#This Row],[Qty]]*Table1[[#This Row],[CostPrice]]</f>
        <v>31000</v>
      </c>
      <c r="J354">
        <v>28797</v>
      </c>
      <c r="K354">
        <v>202.99999999999997</v>
      </c>
      <c r="L354" t="s">
        <v>8</v>
      </c>
      <c r="M354" t="s">
        <v>30</v>
      </c>
      <c r="N354">
        <f>MONTH(Table1[[#This Row],[SaleDate]])</f>
        <v>2</v>
      </c>
      <c r="O354" t="str">
        <f>TEXT(Table1[[#This Row],[SaleDate]],"MMM")</f>
        <v>Feb</v>
      </c>
    </row>
    <row r="355" spans="1:15">
      <c r="A355" s="1">
        <v>44975</v>
      </c>
      <c r="B355" t="s">
        <v>23</v>
      </c>
      <c r="C355" t="s">
        <v>19</v>
      </c>
      <c r="D355">
        <v>1</v>
      </c>
      <c r="E355" t="s">
        <v>10</v>
      </c>
      <c r="F355">
        <v>89000</v>
      </c>
      <c r="G355">
        <v>65000</v>
      </c>
      <c r="H355">
        <f>Table1[[#This Row],[Qty]]*Table1[[#This Row],[SellingPrice]]</f>
        <v>89000</v>
      </c>
      <c r="I355">
        <f>Table1[[#This Row],[Qty]]*Table1[[#This Row],[CostPrice]]</f>
        <v>65000</v>
      </c>
      <c r="J355">
        <v>23832</v>
      </c>
      <c r="K355">
        <v>167.99999999999997</v>
      </c>
      <c r="L355" t="s">
        <v>8</v>
      </c>
      <c r="M355" t="s">
        <v>28</v>
      </c>
      <c r="N355">
        <f>MONTH(Table1[[#This Row],[SaleDate]])</f>
        <v>2</v>
      </c>
      <c r="O355" t="str">
        <f>TEXT(Table1[[#This Row],[SaleDate]],"MMM")</f>
        <v>Feb</v>
      </c>
    </row>
    <row r="356" spans="1:15">
      <c r="A356" s="1">
        <v>44975</v>
      </c>
      <c r="B356" t="s">
        <v>26</v>
      </c>
      <c r="C356" t="s">
        <v>20</v>
      </c>
      <c r="D356">
        <v>1</v>
      </c>
      <c r="E356" t="s">
        <v>7</v>
      </c>
      <c r="F356">
        <v>33000</v>
      </c>
      <c r="G356">
        <v>18000</v>
      </c>
      <c r="H356">
        <f>Table1[[#This Row],[Qty]]*Table1[[#This Row],[SellingPrice]]</f>
        <v>33000</v>
      </c>
      <c r="I356">
        <f>Table1[[#This Row],[Qty]]*Table1[[#This Row],[CostPrice]]</f>
        <v>18000</v>
      </c>
      <c r="J356">
        <v>14895</v>
      </c>
      <c r="K356">
        <v>104.99999999999999</v>
      </c>
      <c r="L356" t="s">
        <v>11</v>
      </c>
      <c r="M356" t="s">
        <v>30</v>
      </c>
      <c r="N356">
        <f>MONTH(Table1[[#This Row],[SaleDate]])</f>
        <v>2</v>
      </c>
      <c r="O356" t="str">
        <f>TEXT(Table1[[#This Row],[SaleDate]],"MMM")</f>
        <v>Feb</v>
      </c>
    </row>
    <row r="357" spans="1:15">
      <c r="A357" s="1">
        <v>44975</v>
      </c>
      <c r="B357" t="s">
        <v>24</v>
      </c>
      <c r="C357" t="s">
        <v>22</v>
      </c>
      <c r="D357">
        <v>1</v>
      </c>
      <c r="E357" t="s">
        <v>7</v>
      </c>
      <c r="F357">
        <v>33000</v>
      </c>
      <c r="G357">
        <v>18000</v>
      </c>
      <c r="H357">
        <f>Table1[[#This Row],[Qty]]*Table1[[#This Row],[SellingPrice]]</f>
        <v>33000</v>
      </c>
      <c r="I357">
        <f>Table1[[#This Row],[Qty]]*Table1[[#This Row],[CostPrice]]</f>
        <v>18000</v>
      </c>
      <c r="J357">
        <v>14895</v>
      </c>
      <c r="K357">
        <v>104.99999999999999</v>
      </c>
      <c r="L357" t="s">
        <v>12</v>
      </c>
      <c r="M357" t="s">
        <v>29</v>
      </c>
      <c r="N357">
        <f>MONTH(Table1[[#This Row],[SaleDate]])</f>
        <v>2</v>
      </c>
      <c r="O357" t="str">
        <f>TEXT(Table1[[#This Row],[SaleDate]],"MMM")</f>
        <v>Feb</v>
      </c>
    </row>
    <row r="358" spans="1:15">
      <c r="A358" s="1">
        <v>44975</v>
      </c>
      <c r="B358" t="s">
        <v>24</v>
      </c>
      <c r="C358" t="s">
        <v>22</v>
      </c>
      <c r="D358">
        <v>1</v>
      </c>
      <c r="E358" t="s">
        <v>9</v>
      </c>
      <c r="F358">
        <v>60000</v>
      </c>
      <c r="G358">
        <v>31000</v>
      </c>
      <c r="H358">
        <f>Table1[[#This Row],[Qty]]*Table1[[#This Row],[SellingPrice]]</f>
        <v>60000</v>
      </c>
      <c r="I358">
        <f>Table1[[#This Row],[Qty]]*Table1[[#This Row],[CostPrice]]</f>
        <v>31000</v>
      </c>
      <c r="J358">
        <v>28797</v>
      </c>
      <c r="K358">
        <v>202.99999999999997</v>
      </c>
      <c r="L358" t="s">
        <v>12</v>
      </c>
      <c r="M358" t="s">
        <v>29</v>
      </c>
      <c r="N358">
        <f>MONTH(Table1[[#This Row],[SaleDate]])</f>
        <v>2</v>
      </c>
      <c r="O358" t="str">
        <f>TEXT(Table1[[#This Row],[SaleDate]],"MMM")</f>
        <v>Feb</v>
      </c>
    </row>
    <row r="359" spans="1:15">
      <c r="A359" s="1">
        <v>44975</v>
      </c>
      <c r="B359" t="s">
        <v>24</v>
      </c>
      <c r="C359" t="s">
        <v>22</v>
      </c>
      <c r="D359">
        <v>1</v>
      </c>
      <c r="E359" t="s">
        <v>10</v>
      </c>
      <c r="F359">
        <v>89000</v>
      </c>
      <c r="G359">
        <v>65000</v>
      </c>
      <c r="H359">
        <f>Table1[[#This Row],[Qty]]*Table1[[#This Row],[SellingPrice]]</f>
        <v>89000</v>
      </c>
      <c r="I359">
        <f>Table1[[#This Row],[Qty]]*Table1[[#This Row],[CostPrice]]</f>
        <v>65000</v>
      </c>
      <c r="J359">
        <v>23832</v>
      </c>
      <c r="K359">
        <v>167.99999999999997</v>
      </c>
      <c r="L359" t="s">
        <v>12</v>
      </c>
      <c r="M359" t="s">
        <v>30</v>
      </c>
      <c r="N359">
        <f>MONTH(Table1[[#This Row],[SaleDate]])</f>
        <v>2</v>
      </c>
      <c r="O359" t="str">
        <f>TEXT(Table1[[#This Row],[SaleDate]],"MMM")</f>
        <v>Feb</v>
      </c>
    </row>
    <row r="360" spans="1:15">
      <c r="A360" s="1">
        <v>44975</v>
      </c>
      <c r="B360" t="s">
        <v>25</v>
      </c>
      <c r="C360" t="s">
        <v>21</v>
      </c>
      <c r="D360">
        <v>1</v>
      </c>
      <c r="E360" t="s">
        <v>7</v>
      </c>
      <c r="F360">
        <v>33000</v>
      </c>
      <c r="G360">
        <v>18000</v>
      </c>
      <c r="H360">
        <f>Table1[[#This Row],[Qty]]*Table1[[#This Row],[SellingPrice]]</f>
        <v>33000</v>
      </c>
      <c r="I360">
        <f>Table1[[#This Row],[Qty]]*Table1[[#This Row],[CostPrice]]</f>
        <v>18000</v>
      </c>
      <c r="J360">
        <v>14895</v>
      </c>
      <c r="K360">
        <v>104.99999999999999</v>
      </c>
      <c r="L360" t="s">
        <v>13</v>
      </c>
      <c r="M360" t="s">
        <v>29</v>
      </c>
      <c r="N360">
        <f>MONTH(Table1[[#This Row],[SaleDate]])</f>
        <v>2</v>
      </c>
      <c r="O360" t="str">
        <f>TEXT(Table1[[#This Row],[SaleDate]],"MMM")</f>
        <v>Feb</v>
      </c>
    </row>
    <row r="361" spans="1:15">
      <c r="A361" s="1">
        <v>44975</v>
      </c>
      <c r="B361" t="s">
        <v>25</v>
      </c>
      <c r="C361" t="s">
        <v>21</v>
      </c>
      <c r="D361">
        <v>1</v>
      </c>
      <c r="E361" t="s">
        <v>9</v>
      </c>
      <c r="F361">
        <v>60000</v>
      </c>
      <c r="G361">
        <v>31000</v>
      </c>
      <c r="H361">
        <f>Table1[[#This Row],[Qty]]*Table1[[#This Row],[SellingPrice]]</f>
        <v>60000</v>
      </c>
      <c r="I361">
        <f>Table1[[#This Row],[Qty]]*Table1[[#This Row],[CostPrice]]</f>
        <v>31000</v>
      </c>
      <c r="J361">
        <v>28797</v>
      </c>
      <c r="K361">
        <v>202.99999999999997</v>
      </c>
      <c r="L361" t="s">
        <v>13</v>
      </c>
      <c r="M361" t="s">
        <v>30</v>
      </c>
      <c r="N361">
        <f>MONTH(Table1[[#This Row],[SaleDate]])</f>
        <v>2</v>
      </c>
      <c r="O361" t="str">
        <f>TEXT(Table1[[#This Row],[SaleDate]],"MMM")</f>
        <v>Feb</v>
      </c>
    </row>
    <row r="362" spans="1:15">
      <c r="A362" s="1">
        <v>44975</v>
      </c>
      <c r="B362" t="s">
        <v>25</v>
      </c>
      <c r="C362" t="s">
        <v>21</v>
      </c>
      <c r="D362">
        <v>1</v>
      </c>
      <c r="E362" t="s">
        <v>10</v>
      </c>
      <c r="F362">
        <v>89000</v>
      </c>
      <c r="G362">
        <v>65000</v>
      </c>
      <c r="H362">
        <f>Table1[[#This Row],[Qty]]*Table1[[#This Row],[SellingPrice]]</f>
        <v>89000</v>
      </c>
      <c r="I362">
        <f>Table1[[#This Row],[Qty]]*Table1[[#This Row],[CostPrice]]</f>
        <v>65000</v>
      </c>
      <c r="J362">
        <v>23832</v>
      </c>
      <c r="K362">
        <v>167.99999999999997</v>
      </c>
      <c r="L362" t="s">
        <v>13</v>
      </c>
      <c r="M362" t="s">
        <v>28</v>
      </c>
      <c r="N362">
        <f>MONTH(Table1[[#This Row],[SaleDate]])</f>
        <v>2</v>
      </c>
      <c r="O362" t="str">
        <f>TEXT(Table1[[#This Row],[SaleDate]],"MMM")</f>
        <v>Feb</v>
      </c>
    </row>
    <row r="363" spans="1:15">
      <c r="A363" s="1">
        <v>44976</v>
      </c>
      <c r="B363" t="s">
        <v>23</v>
      </c>
      <c r="C363" t="s">
        <v>19</v>
      </c>
      <c r="D363">
        <v>1</v>
      </c>
      <c r="E363" t="s">
        <v>7</v>
      </c>
      <c r="F363">
        <v>33000</v>
      </c>
      <c r="G363">
        <v>18000</v>
      </c>
      <c r="H363">
        <f>Table1[[#This Row],[Qty]]*Table1[[#This Row],[SellingPrice]]</f>
        <v>33000</v>
      </c>
      <c r="I363">
        <f>Table1[[#This Row],[Qty]]*Table1[[#This Row],[CostPrice]]</f>
        <v>18000</v>
      </c>
      <c r="J363">
        <v>14895</v>
      </c>
      <c r="K363">
        <v>104.99999999999999</v>
      </c>
      <c r="L363" t="s">
        <v>8</v>
      </c>
      <c r="M363" t="s">
        <v>29</v>
      </c>
      <c r="N363">
        <f>MONTH(Table1[[#This Row],[SaleDate]])</f>
        <v>2</v>
      </c>
      <c r="O363" t="str">
        <f>TEXT(Table1[[#This Row],[SaleDate]],"MMM")</f>
        <v>Feb</v>
      </c>
    </row>
    <row r="364" spans="1:15">
      <c r="A364" s="1">
        <v>44976</v>
      </c>
      <c r="B364" t="s">
        <v>23</v>
      </c>
      <c r="C364" t="s">
        <v>19</v>
      </c>
      <c r="D364">
        <v>1</v>
      </c>
      <c r="E364" t="s">
        <v>9</v>
      </c>
      <c r="F364">
        <v>60000</v>
      </c>
      <c r="G364">
        <v>31000</v>
      </c>
      <c r="H364">
        <f>Table1[[#This Row],[Qty]]*Table1[[#This Row],[SellingPrice]]</f>
        <v>60000</v>
      </c>
      <c r="I364">
        <f>Table1[[#This Row],[Qty]]*Table1[[#This Row],[CostPrice]]</f>
        <v>31000</v>
      </c>
      <c r="J364">
        <v>28797</v>
      </c>
      <c r="K364">
        <v>202.99999999999997</v>
      </c>
      <c r="L364" t="s">
        <v>8</v>
      </c>
      <c r="M364" t="s">
        <v>30</v>
      </c>
      <c r="N364">
        <f>MONTH(Table1[[#This Row],[SaleDate]])</f>
        <v>2</v>
      </c>
      <c r="O364" t="str">
        <f>TEXT(Table1[[#This Row],[SaleDate]],"MMM")</f>
        <v>Feb</v>
      </c>
    </row>
    <row r="365" spans="1:15">
      <c r="A365" s="1">
        <v>44976</v>
      </c>
      <c r="B365" t="s">
        <v>23</v>
      </c>
      <c r="C365" t="s">
        <v>19</v>
      </c>
      <c r="D365">
        <v>1</v>
      </c>
      <c r="E365" t="s">
        <v>10</v>
      </c>
      <c r="F365">
        <v>89000</v>
      </c>
      <c r="G365">
        <v>65000</v>
      </c>
      <c r="H365">
        <f>Table1[[#This Row],[Qty]]*Table1[[#This Row],[SellingPrice]]</f>
        <v>89000</v>
      </c>
      <c r="I365">
        <f>Table1[[#This Row],[Qty]]*Table1[[#This Row],[CostPrice]]</f>
        <v>65000</v>
      </c>
      <c r="J365">
        <v>23832</v>
      </c>
      <c r="K365">
        <v>167.99999999999997</v>
      </c>
      <c r="L365" t="s">
        <v>8</v>
      </c>
      <c r="M365" t="s">
        <v>29</v>
      </c>
      <c r="N365">
        <f>MONTH(Table1[[#This Row],[SaleDate]])</f>
        <v>2</v>
      </c>
      <c r="O365" t="str">
        <f>TEXT(Table1[[#This Row],[SaleDate]],"MMM")</f>
        <v>Feb</v>
      </c>
    </row>
    <row r="366" spans="1:15">
      <c r="A366" s="1">
        <v>44976</v>
      </c>
      <c r="B366" t="s">
        <v>26</v>
      </c>
      <c r="C366" t="s">
        <v>20</v>
      </c>
      <c r="D366">
        <v>1</v>
      </c>
      <c r="E366" t="s">
        <v>7</v>
      </c>
      <c r="F366">
        <v>33000</v>
      </c>
      <c r="G366">
        <v>18000</v>
      </c>
      <c r="H366">
        <f>Table1[[#This Row],[Qty]]*Table1[[#This Row],[SellingPrice]]</f>
        <v>33000</v>
      </c>
      <c r="I366">
        <f>Table1[[#This Row],[Qty]]*Table1[[#This Row],[CostPrice]]</f>
        <v>18000</v>
      </c>
      <c r="J366">
        <v>14895</v>
      </c>
      <c r="K366">
        <v>104.99999999999999</v>
      </c>
      <c r="L366" t="s">
        <v>11</v>
      </c>
      <c r="M366" t="s">
        <v>29</v>
      </c>
      <c r="N366">
        <f>MONTH(Table1[[#This Row],[SaleDate]])</f>
        <v>2</v>
      </c>
      <c r="O366" t="str">
        <f>TEXT(Table1[[#This Row],[SaleDate]],"MMM")</f>
        <v>Feb</v>
      </c>
    </row>
    <row r="367" spans="1:15">
      <c r="A367" s="1">
        <v>44976</v>
      </c>
      <c r="B367" t="s">
        <v>24</v>
      </c>
      <c r="C367" t="s">
        <v>22</v>
      </c>
      <c r="D367">
        <v>1</v>
      </c>
      <c r="E367" t="s">
        <v>7</v>
      </c>
      <c r="F367">
        <v>33000</v>
      </c>
      <c r="G367">
        <v>18000</v>
      </c>
      <c r="H367">
        <f>Table1[[#This Row],[Qty]]*Table1[[#This Row],[SellingPrice]]</f>
        <v>33000</v>
      </c>
      <c r="I367">
        <f>Table1[[#This Row],[Qty]]*Table1[[#This Row],[CostPrice]]</f>
        <v>18000</v>
      </c>
      <c r="J367">
        <v>14895</v>
      </c>
      <c r="K367">
        <v>104.99999999999999</v>
      </c>
      <c r="L367" t="s">
        <v>12</v>
      </c>
      <c r="M367" t="s">
        <v>30</v>
      </c>
      <c r="N367">
        <f>MONTH(Table1[[#This Row],[SaleDate]])</f>
        <v>2</v>
      </c>
      <c r="O367" t="str">
        <f>TEXT(Table1[[#This Row],[SaleDate]],"MMM")</f>
        <v>Feb</v>
      </c>
    </row>
    <row r="368" spans="1:15">
      <c r="A368" s="1">
        <v>44976</v>
      </c>
      <c r="B368" t="s">
        <v>24</v>
      </c>
      <c r="C368" t="s">
        <v>22</v>
      </c>
      <c r="D368">
        <v>1</v>
      </c>
      <c r="E368" t="s">
        <v>9</v>
      </c>
      <c r="F368">
        <v>60000</v>
      </c>
      <c r="G368">
        <v>31000</v>
      </c>
      <c r="H368">
        <f>Table1[[#This Row],[Qty]]*Table1[[#This Row],[SellingPrice]]</f>
        <v>60000</v>
      </c>
      <c r="I368">
        <f>Table1[[#This Row],[Qty]]*Table1[[#This Row],[CostPrice]]</f>
        <v>31000</v>
      </c>
      <c r="J368">
        <v>28797</v>
      </c>
      <c r="K368">
        <v>202.99999999999997</v>
      </c>
      <c r="L368" t="s">
        <v>12</v>
      </c>
      <c r="M368" t="s">
        <v>27</v>
      </c>
      <c r="N368">
        <f>MONTH(Table1[[#This Row],[SaleDate]])</f>
        <v>2</v>
      </c>
      <c r="O368" t="str">
        <f>TEXT(Table1[[#This Row],[SaleDate]],"MMM")</f>
        <v>Feb</v>
      </c>
    </row>
    <row r="369" spans="1:15">
      <c r="A369" s="1">
        <v>44976</v>
      </c>
      <c r="B369" t="s">
        <v>24</v>
      </c>
      <c r="C369" t="s">
        <v>22</v>
      </c>
      <c r="D369">
        <v>1</v>
      </c>
      <c r="E369" t="s">
        <v>10</v>
      </c>
      <c r="F369">
        <v>89000</v>
      </c>
      <c r="G369">
        <v>65000</v>
      </c>
      <c r="H369">
        <f>Table1[[#This Row],[Qty]]*Table1[[#This Row],[SellingPrice]]</f>
        <v>89000</v>
      </c>
      <c r="I369">
        <f>Table1[[#This Row],[Qty]]*Table1[[#This Row],[CostPrice]]</f>
        <v>65000</v>
      </c>
      <c r="J369">
        <v>23832</v>
      </c>
      <c r="K369">
        <v>167.99999999999997</v>
      </c>
      <c r="L369" t="s">
        <v>12</v>
      </c>
      <c r="M369" t="s">
        <v>30</v>
      </c>
      <c r="N369">
        <f>MONTH(Table1[[#This Row],[SaleDate]])</f>
        <v>2</v>
      </c>
      <c r="O369" t="str">
        <f>TEXT(Table1[[#This Row],[SaleDate]],"MMM")</f>
        <v>Feb</v>
      </c>
    </row>
    <row r="370" spans="1:15">
      <c r="A370" s="1">
        <v>44976</v>
      </c>
      <c r="B370" t="s">
        <v>25</v>
      </c>
      <c r="C370" t="s">
        <v>21</v>
      </c>
      <c r="D370">
        <v>1</v>
      </c>
      <c r="E370" t="s">
        <v>7</v>
      </c>
      <c r="F370">
        <v>33000</v>
      </c>
      <c r="G370">
        <v>18000</v>
      </c>
      <c r="H370">
        <f>Table1[[#This Row],[Qty]]*Table1[[#This Row],[SellingPrice]]</f>
        <v>33000</v>
      </c>
      <c r="I370">
        <f>Table1[[#This Row],[Qty]]*Table1[[#This Row],[CostPrice]]</f>
        <v>18000</v>
      </c>
      <c r="J370">
        <v>14895</v>
      </c>
      <c r="K370">
        <v>104.99999999999999</v>
      </c>
      <c r="L370" t="s">
        <v>13</v>
      </c>
      <c r="M370" t="s">
        <v>27</v>
      </c>
      <c r="N370">
        <f>MONTH(Table1[[#This Row],[SaleDate]])</f>
        <v>2</v>
      </c>
      <c r="O370" t="str">
        <f>TEXT(Table1[[#This Row],[SaleDate]],"MMM")</f>
        <v>Feb</v>
      </c>
    </row>
    <row r="371" spans="1:15">
      <c r="A371" s="1">
        <v>44976</v>
      </c>
      <c r="B371" t="s">
        <v>25</v>
      </c>
      <c r="C371" t="s">
        <v>21</v>
      </c>
      <c r="D371">
        <v>1</v>
      </c>
      <c r="E371" t="s">
        <v>9</v>
      </c>
      <c r="F371">
        <v>60000</v>
      </c>
      <c r="G371">
        <v>31000</v>
      </c>
      <c r="H371">
        <f>Table1[[#This Row],[Qty]]*Table1[[#This Row],[SellingPrice]]</f>
        <v>60000</v>
      </c>
      <c r="I371">
        <f>Table1[[#This Row],[Qty]]*Table1[[#This Row],[CostPrice]]</f>
        <v>31000</v>
      </c>
      <c r="J371">
        <v>28797</v>
      </c>
      <c r="K371">
        <v>202.99999999999997</v>
      </c>
      <c r="L371" t="s">
        <v>13</v>
      </c>
      <c r="M371" t="s">
        <v>29</v>
      </c>
      <c r="N371">
        <f>MONTH(Table1[[#This Row],[SaleDate]])</f>
        <v>2</v>
      </c>
      <c r="O371" t="str">
        <f>TEXT(Table1[[#This Row],[SaleDate]],"MMM")</f>
        <v>Feb</v>
      </c>
    </row>
    <row r="372" spans="1:15">
      <c r="A372" s="1">
        <v>44976</v>
      </c>
      <c r="B372" t="s">
        <v>25</v>
      </c>
      <c r="C372" t="s">
        <v>21</v>
      </c>
      <c r="D372">
        <v>1</v>
      </c>
      <c r="E372" t="s">
        <v>10</v>
      </c>
      <c r="F372">
        <v>89000</v>
      </c>
      <c r="G372">
        <v>65000</v>
      </c>
      <c r="H372">
        <f>Table1[[#This Row],[Qty]]*Table1[[#This Row],[SellingPrice]]</f>
        <v>89000</v>
      </c>
      <c r="I372">
        <f>Table1[[#This Row],[Qty]]*Table1[[#This Row],[CostPrice]]</f>
        <v>65000</v>
      </c>
      <c r="J372">
        <v>23832</v>
      </c>
      <c r="K372">
        <v>167.99999999999997</v>
      </c>
      <c r="L372" t="s">
        <v>13</v>
      </c>
      <c r="M372" t="s">
        <v>30</v>
      </c>
      <c r="N372">
        <f>MONTH(Table1[[#This Row],[SaleDate]])</f>
        <v>2</v>
      </c>
      <c r="O372" t="str">
        <f>TEXT(Table1[[#This Row],[SaleDate]],"MMM")</f>
        <v>Feb</v>
      </c>
    </row>
    <row r="373" spans="1:15">
      <c r="A373" s="1">
        <v>44977</v>
      </c>
      <c r="B373" t="s">
        <v>23</v>
      </c>
      <c r="C373" t="s">
        <v>19</v>
      </c>
      <c r="D373">
        <v>1</v>
      </c>
      <c r="E373" t="s">
        <v>7</v>
      </c>
      <c r="F373">
        <v>33000</v>
      </c>
      <c r="G373">
        <v>18000</v>
      </c>
      <c r="H373">
        <f>Table1[[#This Row],[Qty]]*Table1[[#This Row],[SellingPrice]]</f>
        <v>33000</v>
      </c>
      <c r="I373">
        <f>Table1[[#This Row],[Qty]]*Table1[[#This Row],[CostPrice]]</f>
        <v>18000</v>
      </c>
      <c r="J373">
        <v>14895</v>
      </c>
      <c r="K373">
        <v>104.99999999999999</v>
      </c>
      <c r="L373" t="s">
        <v>8</v>
      </c>
      <c r="M373" t="s">
        <v>29</v>
      </c>
      <c r="N373">
        <f>MONTH(Table1[[#This Row],[SaleDate]])</f>
        <v>2</v>
      </c>
      <c r="O373" t="str">
        <f>TEXT(Table1[[#This Row],[SaleDate]],"MMM")</f>
        <v>Feb</v>
      </c>
    </row>
    <row r="374" spans="1:15">
      <c r="A374" s="1">
        <v>44977</v>
      </c>
      <c r="B374" t="s">
        <v>23</v>
      </c>
      <c r="C374" t="s">
        <v>19</v>
      </c>
      <c r="D374">
        <v>1</v>
      </c>
      <c r="E374" t="s">
        <v>9</v>
      </c>
      <c r="F374">
        <v>60000</v>
      </c>
      <c r="G374">
        <v>31000</v>
      </c>
      <c r="H374">
        <f>Table1[[#This Row],[Qty]]*Table1[[#This Row],[SellingPrice]]</f>
        <v>60000</v>
      </c>
      <c r="I374">
        <f>Table1[[#This Row],[Qty]]*Table1[[#This Row],[CostPrice]]</f>
        <v>31000</v>
      </c>
      <c r="J374">
        <v>28797</v>
      </c>
      <c r="K374">
        <v>202.99999999999997</v>
      </c>
      <c r="L374" t="s">
        <v>8</v>
      </c>
      <c r="M374" t="s">
        <v>29</v>
      </c>
      <c r="N374">
        <f>MONTH(Table1[[#This Row],[SaleDate]])</f>
        <v>2</v>
      </c>
      <c r="O374" t="str">
        <f>TEXT(Table1[[#This Row],[SaleDate]],"MMM")</f>
        <v>Feb</v>
      </c>
    </row>
    <row r="375" spans="1:15">
      <c r="A375" s="1">
        <v>44977</v>
      </c>
      <c r="B375" t="s">
        <v>23</v>
      </c>
      <c r="C375" t="s">
        <v>19</v>
      </c>
      <c r="D375">
        <v>1</v>
      </c>
      <c r="E375" t="s">
        <v>10</v>
      </c>
      <c r="F375">
        <v>89000</v>
      </c>
      <c r="G375">
        <v>65000</v>
      </c>
      <c r="H375">
        <f>Table1[[#This Row],[Qty]]*Table1[[#This Row],[SellingPrice]]</f>
        <v>89000</v>
      </c>
      <c r="I375">
        <f>Table1[[#This Row],[Qty]]*Table1[[#This Row],[CostPrice]]</f>
        <v>65000</v>
      </c>
      <c r="J375">
        <v>23832</v>
      </c>
      <c r="K375">
        <v>167.99999999999997</v>
      </c>
      <c r="L375" t="s">
        <v>8</v>
      </c>
      <c r="M375" t="s">
        <v>28</v>
      </c>
      <c r="N375">
        <f>MONTH(Table1[[#This Row],[SaleDate]])</f>
        <v>2</v>
      </c>
      <c r="O375" t="str">
        <f>TEXT(Table1[[#This Row],[SaleDate]],"MMM")</f>
        <v>Feb</v>
      </c>
    </row>
    <row r="376" spans="1:15">
      <c r="A376" s="1">
        <v>44977</v>
      </c>
      <c r="B376" t="s">
        <v>26</v>
      </c>
      <c r="C376" t="s">
        <v>20</v>
      </c>
      <c r="D376">
        <v>1</v>
      </c>
      <c r="E376" t="s">
        <v>7</v>
      </c>
      <c r="F376">
        <v>33000</v>
      </c>
      <c r="G376">
        <v>18000</v>
      </c>
      <c r="H376">
        <f>Table1[[#This Row],[Qty]]*Table1[[#This Row],[SellingPrice]]</f>
        <v>33000</v>
      </c>
      <c r="I376">
        <f>Table1[[#This Row],[Qty]]*Table1[[#This Row],[CostPrice]]</f>
        <v>18000</v>
      </c>
      <c r="J376">
        <v>14895</v>
      </c>
      <c r="K376">
        <v>104.99999999999999</v>
      </c>
      <c r="L376" t="s">
        <v>11</v>
      </c>
      <c r="M376" t="s">
        <v>30</v>
      </c>
      <c r="N376">
        <f>MONTH(Table1[[#This Row],[SaleDate]])</f>
        <v>2</v>
      </c>
      <c r="O376" t="str">
        <f>TEXT(Table1[[#This Row],[SaleDate]],"MMM")</f>
        <v>Feb</v>
      </c>
    </row>
    <row r="377" spans="1:15">
      <c r="A377" s="1">
        <v>44977</v>
      </c>
      <c r="B377" t="s">
        <v>24</v>
      </c>
      <c r="C377" t="s">
        <v>22</v>
      </c>
      <c r="D377">
        <v>1</v>
      </c>
      <c r="E377" t="s">
        <v>7</v>
      </c>
      <c r="F377">
        <v>33000</v>
      </c>
      <c r="G377">
        <v>18000</v>
      </c>
      <c r="H377">
        <f>Table1[[#This Row],[Qty]]*Table1[[#This Row],[SellingPrice]]</f>
        <v>33000</v>
      </c>
      <c r="I377">
        <f>Table1[[#This Row],[Qty]]*Table1[[#This Row],[CostPrice]]</f>
        <v>18000</v>
      </c>
      <c r="J377">
        <v>14895</v>
      </c>
      <c r="K377">
        <v>104.99999999999999</v>
      </c>
      <c r="L377" t="s">
        <v>12</v>
      </c>
      <c r="M377" t="s">
        <v>27</v>
      </c>
      <c r="N377">
        <f>MONTH(Table1[[#This Row],[SaleDate]])</f>
        <v>2</v>
      </c>
      <c r="O377" t="str">
        <f>TEXT(Table1[[#This Row],[SaleDate]],"MMM")</f>
        <v>Feb</v>
      </c>
    </row>
    <row r="378" spans="1:15">
      <c r="A378" s="1">
        <v>44977</v>
      </c>
      <c r="B378" t="s">
        <v>24</v>
      </c>
      <c r="C378" t="s">
        <v>22</v>
      </c>
      <c r="D378">
        <v>1</v>
      </c>
      <c r="E378" t="s">
        <v>9</v>
      </c>
      <c r="F378">
        <v>60000</v>
      </c>
      <c r="G378">
        <v>31000</v>
      </c>
      <c r="H378">
        <f>Table1[[#This Row],[Qty]]*Table1[[#This Row],[SellingPrice]]</f>
        <v>60000</v>
      </c>
      <c r="I378">
        <f>Table1[[#This Row],[Qty]]*Table1[[#This Row],[CostPrice]]</f>
        <v>31000</v>
      </c>
      <c r="J378">
        <v>28797</v>
      </c>
      <c r="K378">
        <v>202.99999999999997</v>
      </c>
      <c r="L378" t="s">
        <v>12</v>
      </c>
      <c r="M378" t="s">
        <v>30</v>
      </c>
      <c r="N378">
        <f>MONTH(Table1[[#This Row],[SaleDate]])</f>
        <v>2</v>
      </c>
      <c r="O378" t="str">
        <f>TEXT(Table1[[#This Row],[SaleDate]],"MMM")</f>
        <v>Feb</v>
      </c>
    </row>
    <row r="379" spans="1:15">
      <c r="A379" s="1">
        <v>44977</v>
      </c>
      <c r="B379" t="s">
        <v>24</v>
      </c>
      <c r="C379" t="s">
        <v>22</v>
      </c>
      <c r="D379">
        <v>1</v>
      </c>
      <c r="E379" t="s">
        <v>10</v>
      </c>
      <c r="F379">
        <v>89000</v>
      </c>
      <c r="G379">
        <v>65000</v>
      </c>
      <c r="H379">
        <f>Table1[[#This Row],[Qty]]*Table1[[#This Row],[SellingPrice]]</f>
        <v>89000</v>
      </c>
      <c r="I379">
        <f>Table1[[#This Row],[Qty]]*Table1[[#This Row],[CostPrice]]</f>
        <v>65000</v>
      </c>
      <c r="J379">
        <v>23832</v>
      </c>
      <c r="K379">
        <v>167.99999999999997</v>
      </c>
      <c r="L379" t="s">
        <v>12</v>
      </c>
      <c r="M379" t="s">
        <v>28</v>
      </c>
      <c r="N379">
        <f>MONTH(Table1[[#This Row],[SaleDate]])</f>
        <v>2</v>
      </c>
      <c r="O379" t="str">
        <f>TEXT(Table1[[#This Row],[SaleDate]],"MMM")</f>
        <v>Feb</v>
      </c>
    </row>
    <row r="380" spans="1:15">
      <c r="A380" s="1">
        <v>44977</v>
      </c>
      <c r="B380" t="s">
        <v>25</v>
      </c>
      <c r="C380" t="s">
        <v>21</v>
      </c>
      <c r="D380">
        <v>1</v>
      </c>
      <c r="E380" t="s">
        <v>7</v>
      </c>
      <c r="F380">
        <v>33000</v>
      </c>
      <c r="G380">
        <v>18000</v>
      </c>
      <c r="H380">
        <f>Table1[[#This Row],[Qty]]*Table1[[#This Row],[SellingPrice]]</f>
        <v>33000</v>
      </c>
      <c r="I380">
        <f>Table1[[#This Row],[Qty]]*Table1[[#This Row],[CostPrice]]</f>
        <v>18000</v>
      </c>
      <c r="J380">
        <v>14895</v>
      </c>
      <c r="K380">
        <v>104.99999999999999</v>
      </c>
      <c r="L380" t="s">
        <v>13</v>
      </c>
      <c r="M380" t="s">
        <v>27</v>
      </c>
      <c r="N380">
        <f>MONTH(Table1[[#This Row],[SaleDate]])</f>
        <v>2</v>
      </c>
      <c r="O380" t="str">
        <f>TEXT(Table1[[#This Row],[SaleDate]],"MMM")</f>
        <v>Feb</v>
      </c>
    </row>
    <row r="381" spans="1:15">
      <c r="A381" s="1">
        <v>44977</v>
      </c>
      <c r="B381" t="s">
        <v>25</v>
      </c>
      <c r="C381" t="s">
        <v>21</v>
      </c>
      <c r="D381">
        <v>1</v>
      </c>
      <c r="E381" t="s">
        <v>9</v>
      </c>
      <c r="F381">
        <v>60000</v>
      </c>
      <c r="G381">
        <v>31000</v>
      </c>
      <c r="H381">
        <f>Table1[[#This Row],[Qty]]*Table1[[#This Row],[SellingPrice]]</f>
        <v>60000</v>
      </c>
      <c r="I381">
        <f>Table1[[#This Row],[Qty]]*Table1[[#This Row],[CostPrice]]</f>
        <v>31000</v>
      </c>
      <c r="J381">
        <v>28797</v>
      </c>
      <c r="K381">
        <v>202.99999999999997</v>
      </c>
      <c r="L381" t="s">
        <v>13</v>
      </c>
      <c r="M381" t="s">
        <v>30</v>
      </c>
      <c r="N381">
        <f>MONTH(Table1[[#This Row],[SaleDate]])</f>
        <v>2</v>
      </c>
      <c r="O381" t="str">
        <f>TEXT(Table1[[#This Row],[SaleDate]],"MMM")</f>
        <v>Feb</v>
      </c>
    </row>
    <row r="382" spans="1:15">
      <c r="A382" s="1">
        <v>44977</v>
      </c>
      <c r="B382" t="s">
        <v>25</v>
      </c>
      <c r="C382" t="s">
        <v>21</v>
      </c>
      <c r="D382">
        <v>1</v>
      </c>
      <c r="E382" t="s">
        <v>10</v>
      </c>
      <c r="F382">
        <v>89000</v>
      </c>
      <c r="G382">
        <v>65000</v>
      </c>
      <c r="H382">
        <f>Table1[[#This Row],[Qty]]*Table1[[#This Row],[SellingPrice]]</f>
        <v>89000</v>
      </c>
      <c r="I382">
        <f>Table1[[#This Row],[Qty]]*Table1[[#This Row],[CostPrice]]</f>
        <v>65000</v>
      </c>
      <c r="J382">
        <v>23832</v>
      </c>
      <c r="K382">
        <v>167.99999999999997</v>
      </c>
      <c r="L382" t="s">
        <v>13</v>
      </c>
      <c r="M382" t="s">
        <v>29</v>
      </c>
      <c r="N382">
        <f>MONTH(Table1[[#This Row],[SaleDate]])</f>
        <v>2</v>
      </c>
      <c r="O382" t="str">
        <f>TEXT(Table1[[#This Row],[SaleDate]],"MMM")</f>
        <v>Feb</v>
      </c>
    </row>
    <row r="383" spans="1:15">
      <c r="A383" s="1">
        <v>44978</v>
      </c>
      <c r="B383" t="s">
        <v>23</v>
      </c>
      <c r="C383" t="s">
        <v>19</v>
      </c>
      <c r="D383">
        <v>1</v>
      </c>
      <c r="E383" t="s">
        <v>7</v>
      </c>
      <c r="F383">
        <v>33000</v>
      </c>
      <c r="G383">
        <v>18000</v>
      </c>
      <c r="H383">
        <f>Table1[[#This Row],[Qty]]*Table1[[#This Row],[SellingPrice]]</f>
        <v>33000</v>
      </c>
      <c r="I383">
        <f>Table1[[#This Row],[Qty]]*Table1[[#This Row],[CostPrice]]</f>
        <v>18000</v>
      </c>
      <c r="J383">
        <v>14895</v>
      </c>
      <c r="K383">
        <v>104.99999999999999</v>
      </c>
      <c r="L383" t="s">
        <v>8</v>
      </c>
      <c r="M383" t="s">
        <v>27</v>
      </c>
      <c r="N383">
        <f>MONTH(Table1[[#This Row],[SaleDate]])</f>
        <v>2</v>
      </c>
      <c r="O383" t="str">
        <f>TEXT(Table1[[#This Row],[SaleDate]],"MMM")</f>
        <v>Feb</v>
      </c>
    </row>
    <row r="384" spans="1:15">
      <c r="A384" s="1">
        <v>44978</v>
      </c>
      <c r="B384" t="s">
        <v>23</v>
      </c>
      <c r="C384" t="s">
        <v>19</v>
      </c>
      <c r="D384">
        <v>1</v>
      </c>
      <c r="E384" t="s">
        <v>9</v>
      </c>
      <c r="F384">
        <v>60000</v>
      </c>
      <c r="G384">
        <v>31000</v>
      </c>
      <c r="H384">
        <f>Table1[[#This Row],[Qty]]*Table1[[#This Row],[SellingPrice]]</f>
        <v>60000</v>
      </c>
      <c r="I384">
        <f>Table1[[#This Row],[Qty]]*Table1[[#This Row],[CostPrice]]</f>
        <v>31000</v>
      </c>
      <c r="J384">
        <v>28797</v>
      </c>
      <c r="K384">
        <v>202.99999999999997</v>
      </c>
      <c r="L384" t="s">
        <v>8</v>
      </c>
      <c r="M384" t="s">
        <v>30</v>
      </c>
      <c r="N384">
        <f>MONTH(Table1[[#This Row],[SaleDate]])</f>
        <v>2</v>
      </c>
      <c r="O384" t="str">
        <f>TEXT(Table1[[#This Row],[SaleDate]],"MMM")</f>
        <v>Feb</v>
      </c>
    </row>
    <row r="385" spans="1:15">
      <c r="A385" s="1">
        <v>44978</v>
      </c>
      <c r="B385" t="s">
        <v>23</v>
      </c>
      <c r="C385" t="s">
        <v>19</v>
      </c>
      <c r="D385">
        <v>1</v>
      </c>
      <c r="E385" t="s">
        <v>10</v>
      </c>
      <c r="F385">
        <v>89000</v>
      </c>
      <c r="G385">
        <v>65000</v>
      </c>
      <c r="H385">
        <f>Table1[[#This Row],[Qty]]*Table1[[#This Row],[SellingPrice]]</f>
        <v>89000</v>
      </c>
      <c r="I385">
        <f>Table1[[#This Row],[Qty]]*Table1[[#This Row],[CostPrice]]</f>
        <v>65000</v>
      </c>
      <c r="J385">
        <v>23832</v>
      </c>
      <c r="K385">
        <v>167.99999999999997</v>
      </c>
      <c r="L385" t="s">
        <v>8</v>
      </c>
      <c r="M385" t="s">
        <v>29</v>
      </c>
      <c r="N385">
        <f>MONTH(Table1[[#This Row],[SaleDate]])</f>
        <v>2</v>
      </c>
      <c r="O385" t="str">
        <f>TEXT(Table1[[#This Row],[SaleDate]],"MMM")</f>
        <v>Feb</v>
      </c>
    </row>
    <row r="386" spans="1:15">
      <c r="A386" s="1">
        <v>44978</v>
      </c>
      <c r="B386" t="s">
        <v>26</v>
      </c>
      <c r="C386" t="s">
        <v>20</v>
      </c>
      <c r="D386">
        <v>1</v>
      </c>
      <c r="E386" t="s">
        <v>7</v>
      </c>
      <c r="F386">
        <v>33000</v>
      </c>
      <c r="G386">
        <v>18000</v>
      </c>
      <c r="H386">
        <f>Table1[[#This Row],[Qty]]*Table1[[#This Row],[SellingPrice]]</f>
        <v>33000</v>
      </c>
      <c r="I386">
        <f>Table1[[#This Row],[Qty]]*Table1[[#This Row],[CostPrice]]</f>
        <v>18000</v>
      </c>
      <c r="J386">
        <v>14895</v>
      </c>
      <c r="K386">
        <v>104.99999999999999</v>
      </c>
      <c r="L386" t="s">
        <v>11</v>
      </c>
      <c r="M386" t="s">
        <v>28</v>
      </c>
      <c r="N386">
        <f>MONTH(Table1[[#This Row],[SaleDate]])</f>
        <v>2</v>
      </c>
      <c r="O386" t="str">
        <f>TEXT(Table1[[#This Row],[SaleDate]],"MMM")</f>
        <v>Feb</v>
      </c>
    </row>
    <row r="387" spans="1:15">
      <c r="A387" s="1">
        <v>44978</v>
      </c>
      <c r="B387" t="s">
        <v>24</v>
      </c>
      <c r="C387" t="s">
        <v>22</v>
      </c>
      <c r="D387">
        <v>1</v>
      </c>
      <c r="E387" t="s">
        <v>7</v>
      </c>
      <c r="F387">
        <v>33000</v>
      </c>
      <c r="G387">
        <v>18000</v>
      </c>
      <c r="H387">
        <f>Table1[[#This Row],[Qty]]*Table1[[#This Row],[SellingPrice]]</f>
        <v>33000</v>
      </c>
      <c r="I387">
        <f>Table1[[#This Row],[Qty]]*Table1[[#This Row],[CostPrice]]</f>
        <v>18000</v>
      </c>
      <c r="J387">
        <v>14895</v>
      </c>
      <c r="K387">
        <v>104.99999999999999</v>
      </c>
      <c r="L387" t="s">
        <v>12</v>
      </c>
      <c r="M387" t="s">
        <v>29</v>
      </c>
      <c r="N387">
        <f>MONTH(Table1[[#This Row],[SaleDate]])</f>
        <v>2</v>
      </c>
      <c r="O387" t="str">
        <f>TEXT(Table1[[#This Row],[SaleDate]],"MMM")</f>
        <v>Feb</v>
      </c>
    </row>
    <row r="388" spans="1:15">
      <c r="A388" s="1">
        <v>44978</v>
      </c>
      <c r="B388" t="s">
        <v>24</v>
      </c>
      <c r="C388" t="s">
        <v>22</v>
      </c>
      <c r="D388">
        <v>1</v>
      </c>
      <c r="E388" t="s">
        <v>9</v>
      </c>
      <c r="F388">
        <v>60000</v>
      </c>
      <c r="G388">
        <v>31000</v>
      </c>
      <c r="H388">
        <f>Table1[[#This Row],[Qty]]*Table1[[#This Row],[SellingPrice]]</f>
        <v>60000</v>
      </c>
      <c r="I388">
        <f>Table1[[#This Row],[Qty]]*Table1[[#This Row],[CostPrice]]</f>
        <v>31000</v>
      </c>
      <c r="J388">
        <v>28797</v>
      </c>
      <c r="K388">
        <v>202.99999999999997</v>
      </c>
      <c r="L388" t="s">
        <v>12</v>
      </c>
      <c r="M388" t="s">
        <v>27</v>
      </c>
      <c r="N388">
        <f>MONTH(Table1[[#This Row],[SaleDate]])</f>
        <v>2</v>
      </c>
      <c r="O388" t="str">
        <f>TEXT(Table1[[#This Row],[SaleDate]],"MMM")</f>
        <v>Feb</v>
      </c>
    </row>
    <row r="389" spans="1:15">
      <c r="A389" s="1">
        <v>44978</v>
      </c>
      <c r="B389" t="s">
        <v>24</v>
      </c>
      <c r="C389" t="s">
        <v>22</v>
      </c>
      <c r="D389">
        <v>1</v>
      </c>
      <c r="E389" t="s">
        <v>10</v>
      </c>
      <c r="F389">
        <v>89000</v>
      </c>
      <c r="G389">
        <v>65000</v>
      </c>
      <c r="H389">
        <f>Table1[[#This Row],[Qty]]*Table1[[#This Row],[SellingPrice]]</f>
        <v>89000</v>
      </c>
      <c r="I389">
        <f>Table1[[#This Row],[Qty]]*Table1[[#This Row],[CostPrice]]</f>
        <v>65000</v>
      </c>
      <c r="J389">
        <v>23832</v>
      </c>
      <c r="K389">
        <v>167.99999999999997</v>
      </c>
      <c r="L389" t="s">
        <v>12</v>
      </c>
      <c r="M389" t="s">
        <v>29</v>
      </c>
      <c r="N389">
        <f>MONTH(Table1[[#This Row],[SaleDate]])</f>
        <v>2</v>
      </c>
      <c r="O389" t="str">
        <f>TEXT(Table1[[#This Row],[SaleDate]],"MMM")</f>
        <v>Feb</v>
      </c>
    </row>
    <row r="390" spans="1:15">
      <c r="A390" s="1">
        <v>44978</v>
      </c>
      <c r="B390" t="s">
        <v>25</v>
      </c>
      <c r="C390" t="s">
        <v>21</v>
      </c>
      <c r="D390">
        <v>1</v>
      </c>
      <c r="E390" t="s">
        <v>7</v>
      </c>
      <c r="F390">
        <v>33000</v>
      </c>
      <c r="G390">
        <v>18000</v>
      </c>
      <c r="H390">
        <f>Table1[[#This Row],[Qty]]*Table1[[#This Row],[SellingPrice]]</f>
        <v>33000</v>
      </c>
      <c r="I390">
        <f>Table1[[#This Row],[Qty]]*Table1[[#This Row],[CostPrice]]</f>
        <v>18000</v>
      </c>
      <c r="J390">
        <v>14895</v>
      </c>
      <c r="K390">
        <v>104.99999999999999</v>
      </c>
      <c r="L390" t="s">
        <v>13</v>
      </c>
      <c r="M390" t="s">
        <v>27</v>
      </c>
      <c r="N390">
        <f>MONTH(Table1[[#This Row],[SaleDate]])</f>
        <v>2</v>
      </c>
      <c r="O390" t="str">
        <f>TEXT(Table1[[#This Row],[SaleDate]],"MMM")</f>
        <v>Feb</v>
      </c>
    </row>
    <row r="391" spans="1:15">
      <c r="A391" s="1">
        <v>44978</v>
      </c>
      <c r="B391" t="s">
        <v>25</v>
      </c>
      <c r="C391" t="s">
        <v>21</v>
      </c>
      <c r="D391">
        <v>1</v>
      </c>
      <c r="E391" t="s">
        <v>9</v>
      </c>
      <c r="F391">
        <v>60000</v>
      </c>
      <c r="G391">
        <v>31000</v>
      </c>
      <c r="H391">
        <f>Table1[[#This Row],[Qty]]*Table1[[#This Row],[SellingPrice]]</f>
        <v>60000</v>
      </c>
      <c r="I391">
        <f>Table1[[#This Row],[Qty]]*Table1[[#This Row],[CostPrice]]</f>
        <v>31000</v>
      </c>
      <c r="J391">
        <v>28797</v>
      </c>
      <c r="K391">
        <v>202.99999999999997</v>
      </c>
      <c r="L391" t="s">
        <v>13</v>
      </c>
      <c r="M391" t="s">
        <v>28</v>
      </c>
      <c r="N391">
        <f>MONTH(Table1[[#This Row],[SaleDate]])</f>
        <v>2</v>
      </c>
      <c r="O391" t="str">
        <f>TEXT(Table1[[#This Row],[SaleDate]],"MMM")</f>
        <v>Feb</v>
      </c>
    </row>
    <row r="392" spans="1:15">
      <c r="A392" s="1">
        <v>44978</v>
      </c>
      <c r="B392" t="s">
        <v>25</v>
      </c>
      <c r="C392" t="s">
        <v>21</v>
      </c>
      <c r="D392">
        <v>1</v>
      </c>
      <c r="E392" t="s">
        <v>10</v>
      </c>
      <c r="F392">
        <v>89000</v>
      </c>
      <c r="G392">
        <v>65000</v>
      </c>
      <c r="H392">
        <f>Table1[[#This Row],[Qty]]*Table1[[#This Row],[SellingPrice]]</f>
        <v>89000</v>
      </c>
      <c r="I392">
        <f>Table1[[#This Row],[Qty]]*Table1[[#This Row],[CostPrice]]</f>
        <v>65000</v>
      </c>
      <c r="J392">
        <v>23832</v>
      </c>
      <c r="K392">
        <v>167.99999999999997</v>
      </c>
      <c r="L392" t="s">
        <v>13</v>
      </c>
      <c r="M392" t="s">
        <v>27</v>
      </c>
      <c r="N392">
        <f>MONTH(Table1[[#This Row],[SaleDate]])</f>
        <v>2</v>
      </c>
      <c r="O392" t="str">
        <f>TEXT(Table1[[#This Row],[SaleDate]],"MMM")</f>
        <v>Feb</v>
      </c>
    </row>
    <row r="393" spans="1:15">
      <c r="A393" s="1">
        <v>44979</v>
      </c>
      <c r="B393" t="s">
        <v>23</v>
      </c>
      <c r="C393" t="s">
        <v>19</v>
      </c>
      <c r="D393">
        <v>1</v>
      </c>
      <c r="E393" t="s">
        <v>7</v>
      </c>
      <c r="F393">
        <v>33000</v>
      </c>
      <c r="G393">
        <v>18000</v>
      </c>
      <c r="H393">
        <f>Table1[[#This Row],[Qty]]*Table1[[#This Row],[SellingPrice]]</f>
        <v>33000</v>
      </c>
      <c r="I393">
        <f>Table1[[#This Row],[Qty]]*Table1[[#This Row],[CostPrice]]</f>
        <v>18000</v>
      </c>
      <c r="J393">
        <v>14895</v>
      </c>
      <c r="K393">
        <v>104.99999999999999</v>
      </c>
      <c r="L393" t="s">
        <v>8</v>
      </c>
      <c r="M393" t="s">
        <v>29</v>
      </c>
      <c r="N393">
        <f>MONTH(Table1[[#This Row],[SaleDate]])</f>
        <v>2</v>
      </c>
      <c r="O393" t="str">
        <f>TEXT(Table1[[#This Row],[SaleDate]],"MMM")</f>
        <v>Feb</v>
      </c>
    </row>
    <row r="394" spans="1:15">
      <c r="A394" s="1">
        <v>44979</v>
      </c>
      <c r="B394" t="s">
        <v>23</v>
      </c>
      <c r="C394" t="s">
        <v>19</v>
      </c>
      <c r="D394">
        <v>1</v>
      </c>
      <c r="E394" t="s">
        <v>9</v>
      </c>
      <c r="F394">
        <v>60000</v>
      </c>
      <c r="G394">
        <v>31000</v>
      </c>
      <c r="H394">
        <f>Table1[[#This Row],[Qty]]*Table1[[#This Row],[SellingPrice]]</f>
        <v>60000</v>
      </c>
      <c r="I394">
        <f>Table1[[#This Row],[Qty]]*Table1[[#This Row],[CostPrice]]</f>
        <v>31000</v>
      </c>
      <c r="J394">
        <v>28797</v>
      </c>
      <c r="K394">
        <v>202.99999999999997</v>
      </c>
      <c r="L394" t="s">
        <v>8</v>
      </c>
      <c r="M394" t="s">
        <v>27</v>
      </c>
      <c r="N394">
        <f>MONTH(Table1[[#This Row],[SaleDate]])</f>
        <v>2</v>
      </c>
      <c r="O394" t="str">
        <f>TEXT(Table1[[#This Row],[SaleDate]],"MMM")</f>
        <v>Feb</v>
      </c>
    </row>
    <row r="395" spans="1:15">
      <c r="A395" s="1">
        <v>44979</v>
      </c>
      <c r="B395" t="s">
        <v>23</v>
      </c>
      <c r="C395" t="s">
        <v>19</v>
      </c>
      <c r="D395">
        <v>1</v>
      </c>
      <c r="E395" t="s">
        <v>10</v>
      </c>
      <c r="F395">
        <v>89000</v>
      </c>
      <c r="G395">
        <v>65000</v>
      </c>
      <c r="H395">
        <f>Table1[[#This Row],[Qty]]*Table1[[#This Row],[SellingPrice]]</f>
        <v>89000</v>
      </c>
      <c r="I395">
        <f>Table1[[#This Row],[Qty]]*Table1[[#This Row],[CostPrice]]</f>
        <v>65000</v>
      </c>
      <c r="J395">
        <v>23832</v>
      </c>
      <c r="K395">
        <v>167.99999999999997</v>
      </c>
      <c r="L395" t="s">
        <v>8</v>
      </c>
      <c r="M395" t="s">
        <v>29</v>
      </c>
      <c r="N395">
        <f>MONTH(Table1[[#This Row],[SaleDate]])</f>
        <v>2</v>
      </c>
      <c r="O395" t="str">
        <f>TEXT(Table1[[#This Row],[SaleDate]],"MMM")</f>
        <v>Feb</v>
      </c>
    </row>
    <row r="396" spans="1:15">
      <c r="A396" s="1">
        <v>44979</v>
      </c>
      <c r="B396" t="s">
        <v>26</v>
      </c>
      <c r="C396" t="s">
        <v>20</v>
      </c>
      <c r="D396">
        <v>1</v>
      </c>
      <c r="E396" t="s">
        <v>7</v>
      </c>
      <c r="F396">
        <v>33000</v>
      </c>
      <c r="G396">
        <v>18000</v>
      </c>
      <c r="H396">
        <f>Table1[[#This Row],[Qty]]*Table1[[#This Row],[SellingPrice]]</f>
        <v>33000</v>
      </c>
      <c r="I396">
        <f>Table1[[#This Row],[Qty]]*Table1[[#This Row],[CostPrice]]</f>
        <v>18000</v>
      </c>
      <c r="J396">
        <v>14895</v>
      </c>
      <c r="K396">
        <v>104.99999999999999</v>
      </c>
      <c r="L396" t="s">
        <v>11</v>
      </c>
      <c r="M396" t="s">
        <v>28</v>
      </c>
      <c r="N396">
        <f>MONTH(Table1[[#This Row],[SaleDate]])</f>
        <v>2</v>
      </c>
      <c r="O396" t="str">
        <f>TEXT(Table1[[#This Row],[SaleDate]],"MMM")</f>
        <v>Feb</v>
      </c>
    </row>
    <row r="397" spans="1:15">
      <c r="A397" s="1">
        <v>44979</v>
      </c>
      <c r="B397" t="s">
        <v>24</v>
      </c>
      <c r="C397" t="s">
        <v>22</v>
      </c>
      <c r="D397">
        <v>1</v>
      </c>
      <c r="E397" t="s">
        <v>7</v>
      </c>
      <c r="F397">
        <v>33000</v>
      </c>
      <c r="G397">
        <v>18000</v>
      </c>
      <c r="H397">
        <f>Table1[[#This Row],[Qty]]*Table1[[#This Row],[SellingPrice]]</f>
        <v>33000</v>
      </c>
      <c r="I397">
        <f>Table1[[#This Row],[Qty]]*Table1[[#This Row],[CostPrice]]</f>
        <v>18000</v>
      </c>
      <c r="J397">
        <v>14895</v>
      </c>
      <c r="K397">
        <v>104.99999999999999</v>
      </c>
      <c r="L397" t="s">
        <v>12</v>
      </c>
      <c r="M397" t="s">
        <v>30</v>
      </c>
      <c r="N397">
        <f>MONTH(Table1[[#This Row],[SaleDate]])</f>
        <v>2</v>
      </c>
      <c r="O397" t="str">
        <f>TEXT(Table1[[#This Row],[SaleDate]],"MMM")</f>
        <v>Feb</v>
      </c>
    </row>
    <row r="398" spans="1:15">
      <c r="A398" s="1">
        <v>44979</v>
      </c>
      <c r="B398" t="s">
        <v>24</v>
      </c>
      <c r="C398" t="s">
        <v>22</v>
      </c>
      <c r="D398">
        <v>1</v>
      </c>
      <c r="E398" t="s">
        <v>9</v>
      </c>
      <c r="F398">
        <v>60000</v>
      </c>
      <c r="G398">
        <v>31000</v>
      </c>
      <c r="H398">
        <f>Table1[[#This Row],[Qty]]*Table1[[#This Row],[SellingPrice]]</f>
        <v>60000</v>
      </c>
      <c r="I398">
        <f>Table1[[#This Row],[Qty]]*Table1[[#This Row],[CostPrice]]</f>
        <v>31000</v>
      </c>
      <c r="J398">
        <v>28797</v>
      </c>
      <c r="K398">
        <v>202.99999999999997</v>
      </c>
      <c r="L398" t="s">
        <v>12</v>
      </c>
      <c r="M398" t="s">
        <v>29</v>
      </c>
      <c r="N398">
        <f>MONTH(Table1[[#This Row],[SaleDate]])</f>
        <v>2</v>
      </c>
      <c r="O398" t="str">
        <f>TEXT(Table1[[#This Row],[SaleDate]],"MMM")</f>
        <v>Feb</v>
      </c>
    </row>
    <row r="399" spans="1:15">
      <c r="A399" s="1">
        <v>44979</v>
      </c>
      <c r="B399" t="s">
        <v>24</v>
      </c>
      <c r="C399" t="s">
        <v>22</v>
      </c>
      <c r="D399">
        <v>1</v>
      </c>
      <c r="E399" t="s">
        <v>10</v>
      </c>
      <c r="F399">
        <v>89000</v>
      </c>
      <c r="G399">
        <v>65000</v>
      </c>
      <c r="H399">
        <f>Table1[[#This Row],[Qty]]*Table1[[#This Row],[SellingPrice]]</f>
        <v>89000</v>
      </c>
      <c r="I399">
        <f>Table1[[#This Row],[Qty]]*Table1[[#This Row],[CostPrice]]</f>
        <v>65000</v>
      </c>
      <c r="J399">
        <v>23832</v>
      </c>
      <c r="K399">
        <v>167.99999999999997</v>
      </c>
      <c r="L399" t="s">
        <v>12</v>
      </c>
      <c r="M399" t="s">
        <v>28</v>
      </c>
      <c r="N399">
        <f>MONTH(Table1[[#This Row],[SaleDate]])</f>
        <v>2</v>
      </c>
      <c r="O399" t="str">
        <f>TEXT(Table1[[#This Row],[SaleDate]],"MMM")</f>
        <v>Feb</v>
      </c>
    </row>
    <row r="400" spans="1:15">
      <c r="A400" s="1">
        <v>44979</v>
      </c>
      <c r="B400" t="s">
        <v>25</v>
      </c>
      <c r="C400" t="s">
        <v>21</v>
      </c>
      <c r="D400">
        <v>1</v>
      </c>
      <c r="E400" t="s">
        <v>7</v>
      </c>
      <c r="F400">
        <v>33000</v>
      </c>
      <c r="G400">
        <v>18000</v>
      </c>
      <c r="H400">
        <f>Table1[[#This Row],[Qty]]*Table1[[#This Row],[SellingPrice]]</f>
        <v>33000</v>
      </c>
      <c r="I400">
        <f>Table1[[#This Row],[Qty]]*Table1[[#This Row],[CostPrice]]</f>
        <v>18000</v>
      </c>
      <c r="J400">
        <v>14895</v>
      </c>
      <c r="K400">
        <v>104.99999999999999</v>
      </c>
      <c r="L400" t="s">
        <v>13</v>
      </c>
      <c r="M400" t="s">
        <v>29</v>
      </c>
      <c r="N400">
        <f>MONTH(Table1[[#This Row],[SaleDate]])</f>
        <v>2</v>
      </c>
      <c r="O400" t="str">
        <f>TEXT(Table1[[#This Row],[SaleDate]],"MMM")</f>
        <v>Feb</v>
      </c>
    </row>
    <row r="401" spans="1:15">
      <c r="A401" s="1">
        <v>44979</v>
      </c>
      <c r="B401" t="s">
        <v>25</v>
      </c>
      <c r="C401" t="s">
        <v>21</v>
      </c>
      <c r="D401">
        <v>1</v>
      </c>
      <c r="E401" t="s">
        <v>9</v>
      </c>
      <c r="F401">
        <v>60000</v>
      </c>
      <c r="G401">
        <v>31000</v>
      </c>
      <c r="H401">
        <f>Table1[[#This Row],[Qty]]*Table1[[#This Row],[SellingPrice]]</f>
        <v>60000</v>
      </c>
      <c r="I401">
        <f>Table1[[#This Row],[Qty]]*Table1[[#This Row],[CostPrice]]</f>
        <v>31000</v>
      </c>
      <c r="J401">
        <v>28797</v>
      </c>
      <c r="K401">
        <v>202.99999999999997</v>
      </c>
      <c r="L401" t="s">
        <v>13</v>
      </c>
      <c r="M401" t="s">
        <v>29</v>
      </c>
      <c r="N401">
        <f>MONTH(Table1[[#This Row],[SaleDate]])</f>
        <v>2</v>
      </c>
      <c r="O401" t="str">
        <f>TEXT(Table1[[#This Row],[SaleDate]],"MMM")</f>
        <v>Feb</v>
      </c>
    </row>
    <row r="402" spans="1:15">
      <c r="A402" s="1">
        <v>44979</v>
      </c>
      <c r="B402" t="s">
        <v>25</v>
      </c>
      <c r="C402" t="s">
        <v>21</v>
      </c>
      <c r="D402">
        <v>1</v>
      </c>
      <c r="E402" t="s">
        <v>10</v>
      </c>
      <c r="F402">
        <v>89000</v>
      </c>
      <c r="G402">
        <v>65000</v>
      </c>
      <c r="H402">
        <f>Table1[[#This Row],[Qty]]*Table1[[#This Row],[SellingPrice]]</f>
        <v>89000</v>
      </c>
      <c r="I402">
        <f>Table1[[#This Row],[Qty]]*Table1[[#This Row],[CostPrice]]</f>
        <v>65000</v>
      </c>
      <c r="J402">
        <v>23832</v>
      </c>
      <c r="K402">
        <v>167.99999999999997</v>
      </c>
      <c r="L402" t="s">
        <v>13</v>
      </c>
      <c r="M402" t="s">
        <v>30</v>
      </c>
      <c r="N402">
        <f>MONTH(Table1[[#This Row],[SaleDate]])</f>
        <v>2</v>
      </c>
      <c r="O402" t="str">
        <f>TEXT(Table1[[#This Row],[SaleDate]],"MMM")</f>
        <v>Feb</v>
      </c>
    </row>
    <row r="403" spans="1:15">
      <c r="A403" s="1">
        <v>44980</v>
      </c>
      <c r="B403" t="s">
        <v>23</v>
      </c>
      <c r="C403" t="s">
        <v>19</v>
      </c>
      <c r="D403">
        <v>1</v>
      </c>
      <c r="E403" t="s">
        <v>7</v>
      </c>
      <c r="F403">
        <v>33000</v>
      </c>
      <c r="G403">
        <v>18000</v>
      </c>
      <c r="H403">
        <f>Table1[[#This Row],[Qty]]*Table1[[#This Row],[SellingPrice]]</f>
        <v>33000</v>
      </c>
      <c r="I403">
        <f>Table1[[#This Row],[Qty]]*Table1[[#This Row],[CostPrice]]</f>
        <v>18000</v>
      </c>
      <c r="J403">
        <v>14895</v>
      </c>
      <c r="K403">
        <v>104.99999999999999</v>
      </c>
      <c r="L403" t="s">
        <v>8</v>
      </c>
      <c r="M403" t="s">
        <v>30</v>
      </c>
      <c r="N403">
        <f>MONTH(Table1[[#This Row],[SaleDate]])</f>
        <v>2</v>
      </c>
      <c r="O403" t="str">
        <f>TEXT(Table1[[#This Row],[SaleDate]],"MMM")</f>
        <v>Feb</v>
      </c>
    </row>
    <row r="404" spans="1:15">
      <c r="A404" s="1">
        <v>44980</v>
      </c>
      <c r="B404" t="s">
        <v>23</v>
      </c>
      <c r="C404" t="s">
        <v>19</v>
      </c>
      <c r="D404">
        <v>1</v>
      </c>
      <c r="E404" t="s">
        <v>9</v>
      </c>
      <c r="F404">
        <v>60000</v>
      </c>
      <c r="G404">
        <v>31000</v>
      </c>
      <c r="H404">
        <f>Table1[[#This Row],[Qty]]*Table1[[#This Row],[SellingPrice]]</f>
        <v>60000</v>
      </c>
      <c r="I404">
        <f>Table1[[#This Row],[Qty]]*Table1[[#This Row],[CostPrice]]</f>
        <v>31000</v>
      </c>
      <c r="J404">
        <v>28797</v>
      </c>
      <c r="K404">
        <v>202.99999999999997</v>
      </c>
      <c r="L404" t="s">
        <v>8</v>
      </c>
      <c r="M404" t="s">
        <v>30</v>
      </c>
      <c r="N404">
        <f>MONTH(Table1[[#This Row],[SaleDate]])</f>
        <v>2</v>
      </c>
      <c r="O404" t="str">
        <f>TEXT(Table1[[#This Row],[SaleDate]],"MMM")</f>
        <v>Feb</v>
      </c>
    </row>
    <row r="405" spans="1:15">
      <c r="A405" s="1">
        <v>44980</v>
      </c>
      <c r="B405" t="s">
        <v>23</v>
      </c>
      <c r="C405" t="s">
        <v>19</v>
      </c>
      <c r="D405">
        <v>1</v>
      </c>
      <c r="E405" t="s">
        <v>10</v>
      </c>
      <c r="F405">
        <v>89000</v>
      </c>
      <c r="G405">
        <v>65000</v>
      </c>
      <c r="H405">
        <f>Table1[[#This Row],[Qty]]*Table1[[#This Row],[SellingPrice]]</f>
        <v>89000</v>
      </c>
      <c r="I405">
        <f>Table1[[#This Row],[Qty]]*Table1[[#This Row],[CostPrice]]</f>
        <v>65000</v>
      </c>
      <c r="J405">
        <v>23832</v>
      </c>
      <c r="K405">
        <v>167.99999999999997</v>
      </c>
      <c r="L405" t="s">
        <v>8</v>
      </c>
      <c r="M405" t="s">
        <v>29</v>
      </c>
      <c r="N405">
        <f>MONTH(Table1[[#This Row],[SaleDate]])</f>
        <v>2</v>
      </c>
      <c r="O405" t="str">
        <f>TEXT(Table1[[#This Row],[SaleDate]],"MMM")</f>
        <v>Feb</v>
      </c>
    </row>
    <row r="406" spans="1:15">
      <c r="A406" s="1">
        <v>44980</v>
      </c>
      <c r="B406" t="s">
        <v>26</v>
      </c>
      <c r="C406" t="s">
        <v>20</v>
      </c>
      <c r="D406">
        <v>1</v>
      </c>
      <c r="E406" t="s">
        <v>7</v>
      </c>
      <c r="F406">
        <v>33000</v>
      </c>
      <c r="G406">
        <v>18000</v>
      </c>
      <c r="H406">
        <f>Table1[[#This Row],[Qty]]*Table1[[#This Row],[SellingPrice]]</f>
        <v>33000</v>
      </c>
      <c r="I406">
        <f>Table1[[#This Row],[Qty]]*Table1[[#This Row],[CostPrice]]</f>
        <v>18000</v>
      </c>
      <c r="J406">
        <v>14895</v>
      </c>
      <c r="K406">
        <v>104.99999999999999</v>
      </c>
      <c r="L406" t="s">
        <v>11</v>
      </c>
      <c r="M406" t="s">
        <v>30</v>
      </c>
      <c r="N406">
        <f>MONTH(Table1[[#This Row],[SaleDate]])</f>
        <v>2</v>
      </c>
      <c r="O406" t="str">
        <f>TEXT(Table1[[#This Row],[SaleDate]],"MMM")</f>
        <v>Feb</v>
      </c>
    </row>
    <row r="407" spans="1:15">
      <c r="A407" s="1">
        <v>44980</v>
      </c>
      <c r="B407" t="s">
        <v>24</v>
      </c>
      <c r="C407" t="s">
        <v>22</v>
      </c>
      <c r="D407">
        <v>1</v>
      </c>
      <c r="E407" t="s">
        <v>7</v>
      </c>
      <c r="F407">
        <v>33000</v>
      </c>
      <c r="G407">
        <v>18000</v>
      </c>
      <c r="H407">
        <f>Table1[[#This Row],[Qty]]*Table1[[#This Row],[SellingPrice]]</f>
        <v>33000</v>
      </c>
      <c r="I407">
        <f>Table1[[#This Row],[Qty]]*Table1[[#This Row],[CostPrice]]</f>
        <v>18000</v>
      </c>
      <c r="J407">
        <v>14895</v>
      </c>
      <c r="K407">
        <v>104.99999999999999</v>
      </c>
      <c r="L407" t="s">
        <v>12</v>
      </c>
      <c r="M407" t="s">
        <v>29</v>
      </c>
      <c r="N407">
        <f>MONTH(Table1[[#This Row],[SaleDate]])</f>
        <v>2</v>
      </c>
      <c r="O407" t="str">
        <f>TEXT(Table1[[#This Row],[SaleDate]],"MMM")</f>
        <v>Feb</v>
      </c>
    </row>
    <row r="408" spans="1:15">
      <c r="A408" s="1">
        <v>44980</v>
      </c>
      <c r="B408" t="s">
        <v>24</v>
      </c>
      <c r="C408" t="s">
        <v>22</v>
      </c>
      <c r="D408">
        <v>1</v>
      </c>
      <c r="E408" t="s">
        <v>9</v>
      </c>
      <c r="F408">
        <v>60000</v>
      </c>
      <c r="G408">
        <v>31000</v>
      </c>
      <c r="H408">
        <f>Table1[[#This Row],[Qty]]*Table1[[#This Row],[SellingPrice]]</f>
        <v>60000</v>
      </c>
      <c r="I408">
        <f>Table1[[#This Row],[Qty]]*Table1[[#This Row],[CostPrice]]</f>
        <v>31000</v>
      </c>
      <c r="J408">
        <v>28797</v>
      </c>
      <c r="K408">
        <v>202.99999999999997</v>
      </c>
      <c r="L408" t="s">
        <v>12</v>
      </c>
      <c r="M408" t="s">
        <v>30</v>
      </c>
      <c r="N408">
        <f>MONTH(Table1[[#This Row],[SaleDate]])</f>
        <v>2</v>
      </c>
      <c r="O408" t="str">
        <f>TEXT(Table1[[#This Row],[SaleDate]],"MMM")</f>
        <v>Feb</v>
      </c>
    </row>
    <row r="409" spans="1:15">
      <c r="A409" s="1">
        <v>44980</v>
      </c>
      <c r="B409" t="s">
        <v>24</v>
      </c>
      <c r="C409" t="s">
        <v>22</v>
      </c>
      <c r="D409">
        <v>1</v>
      </c>
      <c r="E409" t="s">
        <v>10</v>
      </c>
      <c r="F409">
        <v>89000</v>
      </c>
      <c r="G409">
        <v>65000</v>
      </c>
      <c r="H409">
        <f>Table1[[#This Row],[Qty]]*Table1[[#This Row],[SellingPrice]]</f>
        <v>89000</v>
      </c>
      <c r="I409">
        <f>Table1[[#This Row],[Qty]]*Table1[[#This Row],[CostPrice]]</f>
        <v>65000</v>
      </c>
      <c r="J409">
        <v>23832</v>
      </c>
      <c r="K409">
        <v>167.99999999999997</v>
      </c>
      <c r="L409" t="s">
        <v>12</v>
      </c>
      <c r="M409" t="s">
        <v>30</v>
      </c>
      <c r="N409">
        <f>MONTH(Table1[[#This Row],[SaleDate]])</f>
        <v>2</v>
      </c>
      <c r="O409" t="str">
        <f>TEXT(Table1[[#This Row],[SaleDate]],"MMM")</f>
        <v>Feb</v>
      </c>
    </row>
    <row r="410" spans="1:15">
      <c r="A410" s="1">
        <v>44980</v>
      </c>
      <c r="B410" t="s">
        <v>25</v>
      </c>
      <c r="C410" t="s">
        <v>21</v>
      </c>
      <c r="D410">
        <v>1</v>
      </c>
      <c r="E410" t="s">
        <v>7</v>
      </c>
      <c r="F410">
        <v>33000</v>
      </c>
      <c r="G410">
        <v>18000</v>
      </c>
      <c r="H410">
        <f>Table1[[#This Row],[Qty]]*Table1[[#This Row],[SellingPrice]]</f>
        <v>33000</v>
      </c>
      <c r="I410">
        <f>Table1[[#This Row],[Qty]]*Table1[[#This Row],[CostPrice]]</f>
        <v>18000</v>
      </c>
      <c r="J410">
        <v>14895</v>
      </c>
      <c r="K410">
        <v>104.99999999999999</v>
      </c>
      <c r="L410" t="s">
        <v>13</v>
      </c>
      <c r="M410" t="s">
        <v>30</v>
      </c>
      <c r="N410">
        <f>MONTH(Table1[[#This Row],[SaleDate]])</f>
        <v>2</v>
      </c>
      <c r="O410" t="str">
        <f>TEXT(Table1[[#This Row],[SaleDate]],"MMM")</f>
        <v>Feb</v>
      </c>
    </row>
    <row r="411" spans="1:15">
      <c r="A411" s="1">
        <v>44980</v>
      </c>
      <c r="B411" t="s">
        <v>25</v>
      </c>
      <c r="C411" t="s">
        <v>21</v>
      </c>
      <c r="D411">
        <v>1</v>
      </c>
      <c r="E411" t="s">
        <v>9</v>
      </c>
      <c r="F411">
        <v>60000</v>
      </c>
      <c r="G411">
        <v>31000</v>
      </c>
      <c r="H411">
        <f>Table1[[#This Row],[Qty]]*Table1[[#This Row],[SellingPrice]]</f>
        <v>60000</v>
      </c>
      <c r="I411">
        <f>Table1[[#This Row],[Qty]]*Table1[[#This Row],[CostPrice]]</f>
        <v>31000</v>
      </c>
      <c r="J411">
        <v>28797</v>
      </c>
      <c r="K411">
        <v>202.99999999999997</v>
      </c>
      <c r="L411" t="s">
        <v>13</v>
      </c>
      <c r="M411" t="s">
        <v>30</v>
      </c>
      <c r="N411">
        <f>MONTH(Table1[[#This Row],[SaleDate]])</f>
        <v>2</v>
      </c>
      <c r="O411" t="str">
        <f>TEXT(Table1[[#This Row],[SaleDate]],"MMM")</f>
        <v>Feb</v>
      </c>
    </row>
    <row r="412" spans="1:15">
      <c r="A412" s="1">
        <v>44980</v>
      </c>
      <c r="B412" t="s">
        <v>25</v>
      </c>
      <c r="C412" t="s">
        <v>21</v>
      </c>
      <c r="D412">
        <v>1</v>
      </c>
      <c r="E412" t="s">
        <v>10</v>
      </c>
      <c r="F412">
        <v>89000</v>
      </c>
      <c r="G412">
        <v>65000</v>
      </c>
      <c r="H412">
        <f>Table1[[#This Row],[Qty]]*Table1[[#This Row],[SellingPrice]]</f>
        <v>89000</v>
      </c>
      <c r="I412">
        <f>Table1[[#This Row],[Qty]]*Table1[[#This Row],[CostPrice]]</f>
        <v>65000</v>
      </c>
      <c r="J412">
        <v>23832</v>
      </c>
      <c r="K412">
        <v>167.99999999999997</v>
      </c>
      <c r="L412" t="s">
        <v>13</v>
      </c>
      <c r="M412" t="s">
        <v>30</v>
      </c>
      <c r="N412">
        <f>MONTH(Table1[[#This Row],[SaleDate]])</f>
        <v>2</v>
      </c>
      <c r="O412" t="str">
        <f>TEXT(Table1[[#This Row],[SaleDate]],"MMM")</f>
        <v>Feb</v>
      </c>
    </row>
    <row r="413" spans="1:15">
      <c r="A413" s="1">
        <v>44981</v>
      </c>
      <c r="B413" t="s">
        <v>23</v>
      </c>
      <c r="C413" t="s">
        <v>19</v>
      </c>
      <c r="D413">
        <v>1</v>
      </c>
      <c r="E413" t="s">
        <v>7</v>
      </c>
      <c r="F413">
        <v>33000</v>
      </c>
      <c r="G413">
        <v>18000</v>
      </c>
      <c r="H413">
        <f>Table1[[#This Row],[Qty]]*Table1[[#This Row],[SellingPrice]]</f>
        <v>33000</v>
      </c>
      <c r="I413">
        <f>Table1[[#This Row],[Qty]]*Table1[[#This Row],[CostPrice]]</f>
        <v>18000</v>
      </c>
      <c r="J413">
        <v>14895</v>
      </c>
      <c r="K413">
        <v>104.99999999999999</v>
      </c>
      <c r="L413" t="s">
        <v>8</v>
      </c>
      <c r="M413" t="s">
        <v>27</v>
      </c>
      <c r="N413">
        <f>MONTH(Table1[[#This Row],[SaleDate]])</f>
        <v>2</v>
      </c>
      <c r="O413" t="str">
        <f>TEXT(Table1[[#This Row],[SaleDate]],"MMM")</f>
        <v>Feb</v>
      </c>
    </row>
    <row r="414" spans="1:15">
      <c r="A414" s="1">
        <v>44981</v>
      </c>
      <c r="B414" t="s">
        <v>23</v>
      </c>
      <c r="C414" t="s">
        <v>19</v>
      </c>
      <c r="D414">
        <v>1</v>
      </c>
      <c r="E414" t="s">
        <v>9</v>
      </c>
      <c r="F414">
        <v>60000</v>
      </c>
      <c r="G414">
        <v>31000</v>
      </c>
      <c r="H414">
        <f>Table1[[#This Row],[Qty]]*Table1[[#This Row],[SellingPrice]]</f>
        <v>60000</v>
      </c>
      <c r="I414">
        <f>Table1[[#This Row],[Qty]]*Table1[[#This Row],[CostPrice]]</f>
        <v>31000</v>
      </c>
      <c r="J414">
        <v>28797</v>
      </c>
      <c r="K414">
        <v>202.99999999999997</v>
      </c>
      <c r="L414" t="s">
        <v>8</v>
      </c>
      <c r="M414" t="s">
        <v>28</v>
      </c>
      <c r="N414">
        <f>MONTH(Table1[[#This Row],[SaleDate]])</f>
        <v>2</v>
      </c>
      <c r="O414" t="str">
        <f>TEXT(Table1[[#This Row],[SaleDate]],"MMM")</f>
        <v>Feb</v>
      </c>
    </row>
    <row r="415" spans="1:15">
      <c r="A415" s="1">
        <v>44981</v>
      </c>
      <c r="B415" t="s">
        <v>23</v>
      </c>
      <c r="C415" t="s">
        <v>19</v>
      </c>
      <c r="D415">
        <v>1</v>
      </c>
      <c r="E415" t="s">
        <v>10</v>
      </c>
      <c r="F415">
        <v>89000</v>
      </c>
      <c r="G415">
        <v>65000</v>
      </c>
      <c r="H415">
        <f>Table1[[#This Row],[Qty]]*Table1[[#This Row],[SellingPrice]]</f>
        <v>89000</v>
      </c>
      <c r="I415">
        <f>Table1[[#This Row],[Qty]]*Table1[[#This Row],[CostPrice]]</f>
        <v>65000</v>
      </c>
      <c r="J415">
        <v>23832</v>
      </c>
      <c r="K415">
        <v>167.99999999999997</v>
      </c>
      <c r="L415" t="s">
        <v>8</v>
      </c>
      <c r="M415" t="s">
        <v>29</v>
      </c>
      <c r="N415">
        <f>MONTH(Table1[[#This Row],[SaleDate]])</f>
        <v>2</v>
      </c>
      <c r="O415" t="str">
        <f>TEXT(Table1[[#This Row],[SaleDate]],"MMM")</f>
        <v>Feb</v>
      </c>
    </row>
    <row r="416" spans="1:15">
      <c r="A416" s="1">
        <v>44981</v>
      </c>
      <c r="B416" t="s">
        <v>26</v>
      </c>
      <c r="C416" t="s">
        <v>20</v>
      </c>
      <c r="D416">
        <v>1</v>
      </c>
      <c r="E416" t="s">
        <v>7</v>
      </c>
      <c r="F416">
        <v>33000</v>
      </c>
      <c r="G416">
        <v>18000</v>
      </c>
      <c r="H416">
        <f>Table1[[#This Row],[Qty]]*Table1[[#This Row],[SellingPrice]]</f>
        <v>33000</v>
      </c>
      <c r="I416">
        <f>Table1[[#This Row],[Qty]]*Table1[[#This Row],[CostPrice]]</f>
        <v>18000</v>
      </c>
      <c r="J416">
        <v>14895</v>
      </c>
      <c r="K416">
        <v>104.99999999999999</v>
      </c>
      <c r="L416" t="s">
        <v>11</v>
      </c>
      <c r="M416" t="s">
        <v>30</v>
      </c>
      <c r="N416">
        <f>MONTH(Table1[[#This Row],[SaleDate]])</f>
        <v>2</v>
      </c>
      <c r="O416" t="str">
        <f>TEXT(Table1[[#This Row],[SaleDate]],"MMM")</f>
        <v>Feb</v>
      </c>
    </row>
    <row r="417" spans="1:15">
      <c r="A417" s="1">
        <v>44981</v>
      </c>
      <c r="B417" t="s">
        <v>24</v>
      </c>
      <c r="C417" t="s">
        <v>22</v>
      </c>
      <c r="D417">
        <v>1</v>
      </c>
      <c r="E417" t="s">
        <v>7</v>
      </c>
      <c r="F417">
        <v>33000</v>
      </c>
      <c r="G417">
        <v>18000</v>
      </c>
      <c r="H417">
        <f>Table1[[#This Row],[Qty]]*Table1[[#This Row],[SellingPrice]]</f>
        <v>33000</v>
      </c>
      <c r="I417">
        <f>Table1[[#This Row],[Qty]]*Table1[[#This Row],[CostPrice]]</f>
        <v>18000</v>
      </c>
      <c r="J417">
        <v>14895</v>
      </c>
      <c r="K417">
        <v>104.99999999999999</v>
      </c>
      <c r="L417" t="s">
        <v>12</v>
      </c>
      <c r="M417" t="s">
        <v>27</v>
      </c>
      <c r="N417">
        <f>MONTH(Table1[[#This Row],[SaleDate]])</f>
        <v>2</v>
      </c>
      <c r="O417" t="str">
        <f>TEXT(Table1[[#This Row],[SaleDate]],"MMM")</f>
        <v>Feb</v>
      </c>
    </row>
    <row r="418" spans="1:15">
      <c r="A418" s="1">
        <v>44981</v>
      </c>
      <c r="B418" t="s">
        <v>24</v>
      </c>
      <c r="C418" t="s">
        <v>22</v>
      </c>
      <c r="D418">
        <v>1</v>
      </c>
      <c r="E418" t="s">
        <v>9</v>
      </c>
      <c r="F418">
        <v>60000</v>
      </c>
      <c r="G418">
        <v>31000</v>
      </c>
      <c r="H418">
        <f>Table1[[#This Row],[Qty]]*Table1[[#This Row],[SellingPrice]]</f>
        <v>60000</v>
      </c>
      <c r="I418">
        <f>Table1[[#This Row],[Qty]]*Table1[[#This Row],[CostPrice]]</f>
        <v>31000</v>
      </c>
      <c r="J418">
        <v>28797</v>
      </c>
      <c r="K418">
        <v>202.99999999999997</v>
      </c>
      <c r="L418" t="s">
        <v>12</v>
      </c>
      <c r="M418" t="s">
        <v>27</v>
      </c>
      <c r="N418">
        <f>MONTH(Table1[[#This Row],[SaleDate]])</f>
        <v>2</v>
      </c>
      <c r="O418" t="str">
        <f>TEXT(Table1[[#This Row],[SaleDate]],"MMM")</f>
        <v>Feb</v>
      </c>
    </row>
    <row r="419" spans="1:15">
      <c r="A419" s="1">
        <v>44981</v>
      </c>
      <c r="B419" t="s">
        <v>24</v>
      </c>
      <c r="C419" t="s">
        <v>22</v>
      </c>
      <c r="D419">
        <v>1</v>
      </c>
      <c r="E419" t="s">
        <v>10</v>
      </c>
      <c r="F419">
        <v>89000</v>
      </c>
      <c r="G419">
        <v>65000</v>
      </c>
      <c r="H419">
        <f>Table1[[#This Row],[Qty]]*Table1[[#This Row],[SellingPrice]]</f>
        <v>89000</v>
      </c>
      <c r="I419">
        <f>Table1[[#This Row],[Qty]]*Table1[[#This Row],[CostPrice]]</f>
        <v>65000</v>
      </c>
      <c r="J419">
        <v>23832</v>
      </c>
      <c r="K419">
        <v>167.99999999999997</v>
      </c>
      <c r="L419" t="s">
        <v>12</v>
      </c>
      <c r="M419" t="s">
        <v>30</v>
      </c>
      <c r="N419">
        <f>MONTH(Table1[[#This Row],[SaleDate]])</f>
        <v>2</v>
      </c>
      <c r="O419" t="str">
        <f>TEXT(Table1[[#This Row],[SaleDate]],"MMM")</f>
        <v>Feb</v>
      </c>
    </row>
    <row r="420" spans="1:15">
      <c r="A420" s="1">
        <v>44981</v>
      </c>
      <c r="B420" t="s">
        <v>25</v>
      </c>
      <c r="C420" t="s">
        <v>21</v>
      </c>
      <c r="D420">
        <v>1</v>
      </c>
      <c r="E420" t="s">
        <v>7</v>
      </c>
      <c r="F420">
        <v>33000</v>
      </c>
      <c r="G420">
        <v>18000</v>
      </c>
      <c r="H420">
        <f>Table1[[#This Row],[Qty]]*Table1[[#This Row],[SellingPrice]]</f>
        <v>33000</v>
      </c>
      <c r="I420">
        <f>Table1[[#This Row],[Qty]]*Table1[[#This Row],[CostPrice]]</f>
        <v>18000</v>
      </c>
      <c r="J420">
        <v>14895</v>
      </c>
      <c r="K420">
        <v>104.99999999999999</v>
      </c>
      <c r="L420" t="s">
        <v>13</v>
      </c>
      <c r="M420" t="s">
        <v>29</v>
      </c>
      <c r="N420">
        <f>MONTH(Table1[[#This Row],[SaleDate]])</f>
        <v>2</v>
      </c>
      <c r="O420" t="str">
        <f>TEXT(Table1[[#This Row],[SaleDate]],"MMM")</f>
        <v>Feb</v>
      </c>
    </row>
    <row r="421" spans="1:15">
      <c r="A421" s="1">
        <v>44981</v>
      </c>
      <c r="B421" t="s">
        <v>25</v>
      </c>
      <c r="C421" t="s">
        <v>21</v>
      </c>
      <c r="D421">
        <v>1</v>
      </c>
      <c r="E421" t="s">
        <v>9</v>
      </c>
      <c r="F421">
        <v>60000</v>
      </c>
      <c r="G421">
        <v>31000</v>
      </c>
      <c r="H421">
        <f>Table1[[#This Row],[Qty]]*Table1[[#This Row],[SellingPrice]]</f>
        <v>60000</v>
      </c>
      <c r="I421">
        <f>Table1[[#This Row],[Qty]]*Table1[[#This Row],[CostPrice]]</f>
        <v>31000</v>
      </c>
      <c r="J421">
        <v>28797</v>
      </c>
      <c r="K421">
        <v>202.99999999999997</v>
      </c>
      <c r="L421" t="s">
        <v>13</v>
      </c>
      <c r="M421" t="s">
        <v>27</v>
      </c>
      <c r="N421">
        <f>MONTH(Table1[[#This Row],[SaleDate]])</f>
        <v>2</v>
      </c>
      <c r="O421" t="str">
        <f>TEXT(Table1[[#This Row],[SaleDate]],"MMM")</f>
        <v>Feb</v>
      </c>
    </row>
    <row r="422" spans="1:15">
      <c r="A422" s="1">
        <v>44981</v>
      </c>
      <c r="B422" t="s">
        <v>25</v>
      </c>
      <c r="C422" t="s">
        <v>21</v>
      </c>
      <c r="D422">
        <v>1</v>
      </c>
      <c r="E422" t="s">
        <v>10</v>
      </c>
      <c r="F422">
        <v>89000</v>
      </c>
      <c r="G422">
        <v>65000</v>
      </c>
      <c r="H422">
        <f>Table1[[#This Row],[Qty]]*Table1[[#This Row],[SellingPrice]]</f>
        <v>89000</v>
      </c>
      <c r="I422">
        <f>Table1[[#This Row],[Qty]]*Table1[[#This Row],[CostPrice]]</f>
        <v>65000</v>
      </c>
      <c r="J422">
        <v>23832</v>
      </c>
      <c r="K422">
        <v>167.99999999999997</v>
      </c>
      <c r="L422" t="s">
        <v>13</v>
      </c>
      <c r="M422" t="s">
        <v>30</v>
      </c>
      <c r="N422">
        <f>MONTH(Table1[[#This Row],[SaleDate]])</f>
        <v>2</v>
      </c>
      <c r="O422" t="str">
        <f>TEXT(Table1[[#This Row],[SaleDate]],"MMM")</f>
        <v>Feb</v>
      </c>
    </row>
    <row r="423" spans="1:15">
      <c r="A423" s="1">
        <v>44982</v>
      </c>
      <c r="B423" t="s">
        <v>23</v>
      </c>
      <c r="C423" t="s">
        <v>19</v>
      </c>
      <c r="D423">
        <v>1</v>
      </c>
      <c r="E423" t="s">
        <v>7</v>
      </c>
      <c r="F423">
        <v>33000</v>
      </c>
      <c r="G423">
        <v>18000</v>
      </c>
      <c r="H423">
        <f>Table1[[#This Row],[Qty]]*Table1[[#This Row],[SellingPrice]]</f>
        <v>33000</v>
      </c>
      <c r="I423">
        <f>Table1[[#This Row],[Qty]]*Table1[[#This Row],[CostPrice]]</f>
        <v>18000</v>
      </c>
      <c r="J423">
        <v>14895</v>
      </c>
      <c r="K423">
        <v>104.99999999999999</v>
      </c>
      <c r="L423" t="s">
        <v>8</v>
      </c>
      <c r="M423" t="s">
        <v>29</v>
      </c>
      <c r="N423">
        <f>MONTH(Table1[[#This Row],[SaleDate]])</f>
        <v>2</v>
      </c>
      <c r="O423" t="str">
        <f>TEXT(Table1[[#This Row],[SaleDate]],"MMM")</f>
        <v>Feb</v>
      </c>
    </row>
    <row r="424" spans="1:15">
      <c r="A424" s="1">
        <v>44982</v>
      </c>
      <c r="B424" t="s">
        <v>23</v>
      </c>
      <c r="C424" t="s">
        <v>19</v>
      </c>
      <c r="D424">
        <v>1</v>
      </c>
      <c r="E424" t="s">
        <v>9</v>
      </c>
      <c r="F424">
        <v>60000</v>
      </c>
      <c r="G424">
        <v>31000</v>
      </c>
      <c r="H424">
        <f>Table1[[#This Row],[Qty]]*Table1[[#This Row],[SellingPrice]]</f>
        <v>60000</v>
      </c>
      <c r="I424">
        <f>Table1[[#This Row],[Qty]]*Table1[[#This Row],[CostPrice]]</f>
        <v>31000</v>
      </c>
      <c r="J424">
        <v>28797</v>
      </c>
      <c r="K424">
        <v>202.99999999999997</v>
      </c>
      <c r="L424" t="s">
        <v>8</v>
      </c>
      <c r="M424" t="s">
        <v>29</v>
      </c>
      <c r="N424">
        <f>MONTH(Table1[[#This Row],[SaleDate]])</f>
        <v>2</v>
      </c>
      <c r="O424" t="str">
        <f>TEXT(Table1[[#This Row],[SaleDate]],"MMM")</f>
        <v>Feb</v>
      </c>
    </row>
    <row r="425" spans="1:15">
      <c r="A425" s="1">
        <v>44982</v>
      </c>
      <c r="B425" t="s">
        <v>23</v>
      </c>
      <c r="C425" t="s">
        <v>19</v>
      </c>
      <c r="D425">
        <v>1</v>
      </c>
      <c r="E425" t="s">
        <v>10</v>
      </c>
      <c r="F425">
        <v>89000</v>
      </c>
      <c r="G425">
        <v>65000</v>
      </c>
      <c r="H425">
        <f>Table1[[#This Row],[Qty]]*Table1[[#This Row],[SellingPrice]]</f>
        <v>89000</v>
      </c>
      <c r="I425">
        <f>Table1[[#This Row],[Qty]]*Table1[[#This Row],[CostPrice]]</f>
        <v>65000</v>
      </c>
      <c r="J425">
        <v>23832</v>
      </c>
      <c r="K425">
        <v>167.99999999999997</v>
      </c>
      <c r="L425" t="s">
        <v>8</v>
      </c>
      <c r="M425" t="s">
        <v>29</v>
      </c>
      <c r="N425">
        <f>MONTH(Table1[[#This Row],[SaleDate]])</f>
        <v>2</v>
      </c>
      <c r="O425" t="str">
        <f>TEXT(Table1[[#This Row],[SaleDate]],"MMM")</f>
        <v>Feb</v>
      </c>
    </row>
    <row r="426" spans="1:15">
      <c r="A426" s="1">
        <v>44982</v>
      </c>
      <c r="B426" t="s">
        <v>26</v>
      </c>
      <c r="C426" t="s">
        <v>20</v>
      </c>
      <c r="D426">
        <v>1</v>
      </c>
      <c r="E426" t="s">
        <v>7</v>
      </c>
      <c r="F426">
        <v>33000</v>
      </c>
      <c r="G426">
        <v>18000</v>
      </c>
      <c r="H426">
        <f>Table1[[#This Row],[Qty]]*Table1[[#This Row],[SellingPrice]]</f>
        <v>33000</v>
      </c>
      <c r="I426">
        <f>Table1[[#This Row],[Qty]]*Table1[[#This Row],[CostPrice]]</f>
        <v>18000</v>
      </c>
      <c r="J426">
        <v>14895</v>
      </c>
      <c r="K426">
        <v>104.99999999999999</v>
      </c>
      <c r="L426" t="s">
        <v>11</v>
      </c>
      <c r="M426" t="s">
        <v>29</v>
      </c>
      <c r="N426">
        <f>MONTH(Table1[[#This Row],[SaleDate]])</f>
        <v>2</v>
      </c>
      <c r="O426" t="str">
        <f>TEXT(Table1[[#This Row],[SaleDate]],"MMM")</f>
        <v>Feb</v>
      </c>
    </row>
    <row r="427" spans="1:15">
      <c r="A427" s="1">
        <v>44982</v>
      </c>
      <c r="B427" t="s">
        <v>24</v>
      </c>
      <c r="C427" t="s">
        <v>22</v>
      </c>
      <c r="D427">
        <v>1</v>
      </c>
      <c r="E427" t="s">
        <v>7</v>
      </c>
      <c r="F427">
        <v>33000</v>
      </c>
      <c r="G427">
        <v>18000</v>
      </c>
      <c r="H427">
        <f>Table1[[#This Row],[Qty]]*Table1[[#This Row],[SellingPrice]]</f>
        <v>33000</v>
      </c>
      <c r="I427">
        <f>Table1[[#This Row],[Qty]]*Table1[[#This Row],[CostPrice]]</f>
        <v>18000</v>
      </c>
      <c r="J427">
        <v>14895</v>
      </c>
      <c r="K427">
        <v>104.99999999999999</v>
      </c>
      <c r="L427" t="s">
        <v>12</v>
      </c>
      <c r="M427" t="s">
        <v>29</v>
      </c>
      <c r="N427">
        <f>MONTH(Table1[[#This Row],[SaleDate]])</f>
        <v>2</v>
      </c>
      <c r="O427" t="str">
        <f>TEXT(Table1[[#This Row],[SaleDate]],"MMM")</f>
        <v>Feb</v>
      </c>
    </row>
    <row r="428" spans="1:15">
      <c r="A428" s="1">
        <v>44982</v>
      </c>
      <c r="B428" t="s">
        <v>24</v>
      </c>
      <c r="C428" t="s">
        <v>22</v>
      </c>
      <c r="D428">
        <v>1</v>
      </c>
      <c r="E428" t="s">
        <v>9</v>
      </c>
      <c r="F428">
        <v>60000</v>
      </c>
      <c r="G428">
        <v>31000</v>
      </c>
      <c r="H428">
        <f>Table1[[#This Row],[Qty]]*Table1[[#This Row],[SellingPrice]]</f>
        <v>60000</v>
      </c>
      <c r="I428">
        <f>Table1[[#This Row],[Qty]]*Table1[[#This Row],[CostPrice]]</f>
        <v>31000</v>
      </c>
      <c r="J428">
        <v>28797</v>
      </c>
      <c r="K428">
        <v>202.99999999999997</v>
      </c>
      <c r="L428" t="s">
        <v>12</v>
      </c>
      <c r="M428" t="s">
        <v>29</v>
      </c>
      <c r="N428">
        <f>MONTH(Table1[[#This Row],[SaleDate]])</f>
        <v>2</v>
      </c>
      <c r="O428" t="str">
        <f>TEXT(Table1[[#This Row],[SaleDate]],"MMM")</f>
        <v>Feb</v>
      </c>
    </row>
    <row r="429" spans="1:15">
      <c r="A429" s="1">
        <v>44982</v>
      </c>
      <c r="B429" t="s">
        <v>24</v>
      </c>
      <c r="C429" t="s">
        <v>22</v>
      </c>
      <c r="D429">
        <v>1</v>
      </c>
      <c r="E429" t="s">
        <v>10</v>
      </c>
      <c r="F429">
        <v>89000</v>
      </c>
      <c r="G429">
        <v>65000</v>
      </c>
      <c r="H429">
        <f>Table1[[#This Row],[Qty]]*Table1[[#This Row],[SellingPrice]]</f>
        <v>89000</v>
      </c>
      <c r="I429">
        <f>Table1[[#This Row],[Qty]]*Table1[[#This Row],[CostPrice]]</f>
        <v>65000</v>
      </c>
      <c r="J429">
        <v>23832</v>
      </c>
      <c r="K429">
        <v>167.99999999999997</v>
      </c>
      <c r="L429" t="s">
        <v>12</v>
      </c>
      <c r="M429" t="s">
        <v>28</v>
      </c>
      <c r="N429">
        <f>MONTH(Table1[[#This Row],[SaleDate]])</f>
        <v>2</v>
      </c>
      <c r="O429" t="str">
        <f>TEXT(Table1[[#This Row],[SaleDate]],"MMM")</f>
        <v>Feb</v>
      </c>
    </row>
    <row r="430" spans="1:15">
      <c r="A430" s="1">
        <v>44982</v>
      </c>
      <c r="B430" t="s">
        <v>25</v>
      </c>
      <c r="C430" t="s">
        <v>21</v>
      </c>
      <c r="D430">
        <v>1</v>
      </c>
      <c r="E430" t="s">
        <v>7</v>
      </c>
      <c r="F430">
        <v>33000</v>
      </c>
      <c r="G430">
        <v>18000</v>
      </c>
      <c r="H430">
        <f>Table1[[#This Row],[Qty]]*Table1[[#This Row],[SellingPrice]]</f>
        <v>33000</v>
      </c>
      <c r="I430">
        <f>Table1[[#This Row],[Qty]]*Table1[[#This Row],[CostPrice]]</f>
        <v>18000</v>
      </c>
      <c r="J430">
        <v>14895</v>
      </c>
      <c r="K430">
        <v>104.99999999999999</v>
      </c>
      <c r="L430" t="s">
        <v>13</v>
      </c>
      <c r="M430" t="s">
        <v>28</v>
      </c>
      <c r="N430">
        <f>MONTH(Table1[[#This Row],[SaleDate]])</f>
        <v>2</v>
      </c>
      <c r="O430" t="str">
        <f>TEXT(Table1[[#This Row],[SaleDate]],"MMM")</f>
        <v>Feb</v>
      </c>
    </row>
    <row r="431" spans="1:15">
      <c r="A431" s="1">
        <v>44982</v>
      </c>
      <c r="B431" t="s">
        <v>25</v>
      </c>
      <c r="C431" t="s">
        <v>21</v>
      </c>
      <c r="D431">
        <v>1</v>
      </c>
      <c r="E431" t="s">
        <v>9</v>
      </c>
      <c r="F431">
        <v>60000</v>
      </c>
      <c r="G431">
        <v>31000</v>
      </c>
      <c r="H431">
        <f>Table1[[#This Row],[Qty]]*Table1[[#This Row],[SellingPrice]]</f>
        <v>60000</v>
      </c>
      <c r="I431">
        <f>Table1[[#This Row],[Qty]]*Table1[[#This Row],[CostPrice]]</f>
        <v>31000</v>
      </c>
      <c r="J431">
        <v>28797</v>
      </c>
      <c r="K431">
        <v>202.99999999999997</v>
      </c>
      <c r="L431" t="s">
        <v>13</v>
      </c>
      <c r="M431" t="s">
        <v>27</v>
      </c>
      <c r="N431">
        <f>MONTH(Table1[[#This Row],[SaleDate]])</f>
        <v>2</v>
      </c>
      <c r="O431" t="str">
        <f>TEXT(Table1[[#This Row],[SaleDate]],"MMM")</f>
        <v>Feb</v>
      </c>
    </row>
    <row r="432" spans="1:15">
      <c r="A432" s="1">
        <v>44982</v>
      </c>
      <c r="B432" t="s">
        <v>25</v>
      </c>
      <c r="C432" t="s">
        <v>21</v>
      </c>
      <c r="D432">
        <v>1</v>
      </c>
      <c r="E432" t="s">
        <v>10</v>
      </c>
      <c r="F432">
        <v>89000</v>
      </c>
      <c r="G432">
        <v>65000</v>
      </c>
      <c r="H432">
        <f>Table1[[#This Row],[Qty]]*Table1[[#This Row],[SellingPrice]]</f>
        <v>89000</v>
      </c>
      <c r="I432">
        <f>Table1[[#This Row],[Qty]]*Table1[[#This Row],[CostPrice]]</f>
        <v>65000</v>
      </c>
      <c r="J432">
        <v>23832</v>
      </c>
      <c r="K432">
        <v>167.99999999999997</v>
      </c>
      <c r="L432" t="s">
        <v>13</v>
      </c>
      <c r="M432" t="s">
        <v>27</v>
      </c>
      <c r="N432">
        <f>MONTH(Table1[[#This Row],[SaleDate]])</f>
        <v>2</v>
      </c>
      <c r="O432" t="str">
        <f>TEXT(Table1[[#This Row],[SaleDate]],"MMM")</f>
        <v>Feb</v>
      </c>
    </row>
    <row r="433" spans="1:15">
      <c r="A433" s="1">
        <v>44983</v>
      </c>
      <c r="B433" t="s">
        <v>23</v>
      </c>
      <c r="C433" t="s">
        <v>19</v>
      </c>
      <c r="D433">
        <v>1</v>
      </c>
      <c r="E433" t="s">
        <v>7</v>
      </c>
      <c r="F433">
        <v>33000</v>
      </c>
      <c r="G433">
        <v>18000</v>
      </c>
      <c r="H433">
        <f>Table1[[#This Row],[Qty]]*Table1[[#This Row],[SellingPrice]]</f>
        <v>33000</v>
      </c>
      <c r="I433">
        <f>Table1[[#This Row],[Qty]]*Table1[[#This Row],[CostPrice]]</f>
        <v>18000</v>
      </c>
      <c r="J433">
        <v>14895</v>
      </c>
      <c r="K433">
        <v>104.99999999999999</v>
      </c>
      <c r="L433" t="s">
        <v>8</v>
      </c>
      <c r="M433" t="s">
        <v>27</v>
      </c>
      <c r="N433">
        <f>MONTH(Table1[[#This Row],[SaleDate]])</f>
        <v>2</v>
      </c>
      <c r="O433" t="str">
        <f>TEXT(Table1[[#This Row],[SaleDate]],"MMM")</f>
        <v>Feb</v>
      </c>
    </row>
    <row r="434" spans="1:15">
      <c r="A434" s="1">
        <v>44983</v>
      </c>
      <c r="B434" t="s">
        <v>23</v>
      </c>
      <c r="C434" t="s">
        <v>19</v>
      </c>
      <c r="D434">
        <v>1</v>
      </c>
      <c r="E434" t="s">
        <v>9</v>
      </c>
      <c r="F434">
        <v>60000</v>
      </c>
      <c r="G434">
        <v>31000</v>
      </c>
      <c r="H434">
        <f>Table1[[#This Row],[Qty]]*Table1[[#This Row],[SellingPrice]]</f>
        <v>60000</v>
      </c>
      <c r="I434">
        <f>Table1[[#This Row],[Qty]]*Table1[[#This Row],[CostPrice]]</f>
        <v>31000</v>
      </c>
      <c r="J434">
        <v>28797</v>
      </c>
      <c r="K434">
        <v>202.99999999999997</v>
      </c>
      <c r="L434" t="s">
        <v>8</v>
      </c>
      <c r="M434" t="s">
        <v>27</v>
      </c>
      <c r="N434">
        <f>MONTH(Table1[[#This Row],[SaleDate]])</f>
        <v>2</v>
      </c>
      <c r="O434" t="str">
        <f>TEXT(Table1[[#This Row],[SaleDate]],"MMM")</f>
        <v>Feb</v>
      </c>
    </row>
    <row r="435" spans="1:15">
      <c r="A435" s="1">
        <v>44983</v>
      </c>
      <c r="B435" t="s">
        <v>23</v>
      </c>
      <c r="C435" t="s">
        <v>19</v>
      </c>
      <c r="D435">
        <v>1</v>
      </c>
      <c r="E435" t="s">
        <v>10</v>
      </c>
      <c r="F435">
        <v>89000</v>
      </c>
      <c r="G435">
        <v>65000</v>
      </c>
      <c r="H435">
        <f>Table1[[#This Row],[Qty]]*Table1[[#This Row],[SellingPrice]]</f>
        <v>89000</v>
      </c>
      <c r="I435">
        <f>Table1[[#This Row],[Qty]]*Table1[[#This Row],[CostPrice]]</f>
        <v>65000</v>
      </c>
      <c r="J435">
        <v>23832</v>
      </c>
      <c r="K435">
        <v>167.99999999999997</v>
      </c>
      <c r="L435" t="s">
        <v>8</v>
      </c>
      <c r="M435" t="s">
        <v>30</v>
      </c>
      <c r="N435">
        <f>MONTH(Table1[[#This Row],[SaleDate]])</f>
        <v>2</v>
      </c>
      <c r="O435" t="str">
        <f>TEXT(Table1[[#This Row],[SaleDate]],"MMM")</f>
        <v>Feb</v>
      </c>
    </row>
    <row r="436" spans="1:15">
      <c r="A436" s="1">
        <v>44983</v>
      </c>
      <c r="B436" t="s">
        <v>26</v>
      </c>
      <c r="C436" t="s">
        <v>20</v>
      </c>
      <c r="D436">
        <v>1</v>
      </c>
      <c r="E436" t="s">
        <v>7</v>
      </c>
      <c r="F436">
        <v>33000</v>
      </c>
      <c r="G436">
        <v>18000</v>
      </c>
      <c r="H436">
        <f>Table1[[#This Row],[Qty]]*Table1[[#This Row],[SellingPrice]]</f>
        <v>33000</v>
      </c>
      <c r="I436">
        <f>Table1[[#This Row],[Qty]]*Table1[[#This Row],[CostPrice]]</f>
        <v>18000</v>
      </c>
      <c r="J436">
        <v>14895</v>
      </c>
      <c r="K436">
        <v>104.99999999999999</v>
      </c>
      <c r="L436" t="s">
        <v>11</v>
      </c>
      <c r="M436" t="s">
        <v>30</v>
      </c>
      <c r="N436">
        <f>MONTH(Table1[[#This Row],[SaleDate]])</f>
        <v>2</v>
      </c>
      <c r="O436" t="str">
        <f>TEXT(Table1[[#This Row],[SaleDate]],"MMM")</f>
        <v>Feb</v>
      </c>
    </row>
    <row r="437" spans="1:15">
      <c r="A437" s="1">
        <v>44983</v>
      </c>
      <c r="B437" t="s">
        <v>24</v>
      </c>
      <c r="C437" t="s">
        <v>22</v>
      </c>
      <c r="D437">
        <v>1</v>
      </c>
      <c r="E437" t="s">
        <v>7</v>
      </c>
      <c r="F437">
        <v>33000</v>
      </c>
      <c r="G437">
        <v>18000</v>
      </c>
      <c r="H437">
        <f>Table1[[#This Row],[Qty]]*Table1[[#This Row],[SellingPrice]]</f>
        <v>33000</v>
      </c>
      <c r="I437">
        <f>Table1[[#This Row],[Qty]]*Table1[[#This Row],[CostPrice]]</f>
        <v>18000</v>
      </c>
      <c r="J437">
        <v>14895</v>
      </c>
      <c r="K437">
        <v>104.99999999999999</v>
      </c>
      <c r="L437" t="s">
        <v>12</v>
      </c>
      <c r="M437" t="s">
        <v>29</v>
      </c>
      <c r="N437">
        <f>MONTH(Table1[[#This Row],[SaleDate]])</f>
        <v>2</v>
      </c>
      <c r="O437" t="str">
        <f>TEXT(Table1[[#This Row],[SaleDate]],"MMM")</f>
        <v>Feb</v>
      </c>
    </row>
    <row r="438" spans="1:15">
      <c r="A438" s="1">
        <v>44983</v>
      </c>
      <c r="B438" t="s">
        <v>24</v>
      </c>
      <c r="C438" t="s">
        <v>22</v>
      </c>
      <c r="D438">
        <v>1</v>
      </c>
      <c r="E438" t="s">
        <v>9</v>
      </c>
      <c r="F438">
        <v>60000</v>
      </c>
      <c r="G438">
        <v>31000</v>
      </c>
      <c r="H438">
        <f>Table1[[#This Row],[Qty]]*Table1[[#This Row],[SellingPrice]]</f>
        <v>60000</v>
      </c>
      <c r="I438">
        <f>Table1[[#This Row],[Qty]]*Table1[[#This Row],[CostPrice]]</f>
        <v>31000</v>
      </c>
      <c r="J438">
        <v>28797</v>
      </c>
      <c r="K438">
        <v>202.99999999999997</v>
      </c>
      <c r="L438" t="s">
        <v>12</v>
      </c>
      <c r="M438" t="s">
        <v>30</v>
      </c>
      <c r="N438">
        <f>MONTH(Table1[[#This Row],[SaleDate]])</f>
        <v>2</v>
      </c>
      <c r="O438" t="str">
        <f>TEXT(Table1[[#This Row],[SaleDate]],"MMM")</f>
        <v>Feb</v>
      </c>
    </row>
    <row r="439" spans="1:15">
      <c r="A439" s="1">
        <v>44983</v>
      </c>
      <c r="B439" t="s">
        <v>24</v>
      </c>
      <c r="C439" t="s">
        <v>22</v>
      </c>
      <c r="D439">
        <v>1</v>
      </c>
      <c r="E439" t="s">
        <v>10</v>
      </c>
      <c r="F439">
        <v>89000</v>
      </c>
      <c r="G439">
        <v>65000</v>
      </c>
      <c r="H439">
        <f>Table1[[#This Row],[Qty]]*Table1[[#This Row],[SellingPrice]]</f>
        <v>89000</v>
      </c>
      <c r="I439">
        <f>Table1[[#This Row],[Qty]]*Table1[[#This Row],[CostPrice]]</f>
        <v>65000</v>
      </c>
      <c r="J439">
        <v>23832</v>
      </c>
      <c r="K439">
        <v>167.99999999999997</v>
      </c>
      <c r="L439" t="s">
        <v>12</v>
      </c>
      <c r="M439" t="s">
        <v>29</v>
      </c>
      <c r="N439">
        <f>MONTH(Table1[[#This Row],[SaleDate]])</f>
        <v>2</v>
      </c>
      <c r="O439" t="str">
        <f>TEXT(Table1[[#This Row],[SaleDate]],"MMM")</f>
        <v>Feb</v>
      </c>
    </row>
    <row r="440" spans="1:15">
      <c r="A440" s="1">
        <v>44983</v>
      </c>
      <c r="B440" t="s">
        <v>25</v>
      </c>
      <c r="C440" t="s">
        <v>21</v>
      </c>
      <c r="D440">
        <v>1</v>
      </c>
      <c r="E440" t="s">
        <v>7</v>
      </c>
      <c r="F440">
        <v>33000</v>
      </c>
      <c r="G440">
        <v>18000</v>
      </c>
      <c r="H440">
        <f>Table1[[#This Row],[Qty]]*Table1[[#This Row],[SellingPrice]]</f>
        <v>33000</v>
      </c>
      <c r="I440">
        <f>Table1[[#This Row],[Qty]]*Table1[[#This Row],[CostPrice]]</f>
        <v>18000</v>
      </c>
      <c r="J440">
        <v>14895</v>
      </c>
      <c r="K440">
        <v>104.99999999999999</v>
      </c>
      <c r="L440" t="s">
        <v>13</v>
      </c>
      <c r="M440" t="s">
        <v>29</v>
      </c>
      <c r="N440">
        <f>MONTH(Table1[[#This Row],[SaleDate]])</f>
        <v>2</v>
      </c>
      <c r="O440" t="str">
        <f>TEXT(Table1[[#This Row],[SaleDate]],"MMM")</f>
        <v>Feb</v>
      </c>
    </row>
    <row r="441" spans="1:15">
      <c r="A441" s="1">
        <v>44983</v>
      </c>
      <c r="B441" t="s">
        <v>25</v>
      </c>
      <c r="C441" t="s">
        <v>21</v>
      </c>
      <c r="D441">
        <v>1</v>
      </c>
      <c r="E441" t="s">
        <v>9</v>
      </c>
      <c r="F441">
        <v>60000</v>
      </c>
      <c r="G441">
        <v>31000</v>
      </c>
      <c r="H441">
        <f>Table1[[#This Row],[Qty]]*Table1[[#This Row],[SellingPrice]]</f>
        <v>60000</v>
      </c>
      <c r="I441">
        <f>Table1[[#This Row],[Qty]]*Table1[[#This Row],[CostPrice]]</f>
        <v>31000</v>
      </c>
      <c r="J441">
        <v>28797</v>
      </c>
      <c r="K441">
        <v>202.99999999999997</v>
      </c>
      <c r="L441" t="s">
        <v>13</v>
      </c>
      <c r="M441" t="s">
        <v>29</v>
      </c>
      <c r="N441">
        <f>MONTH(Table1[[#This Row],[SaleDate]])</f>
        <v>2</v>
      </c>
      <c r="O441" t="str">
        <f>TEXT(Table1[[#This Row],[SaleDate]],"MMM")</f>
        <v>Feb</v>
      </c>
    </row>
    <row r="442" spans="1:15">
      <c r="A442" s="1">
        <v>44983</v>
      </c>
      <c r="B442" t="s">
        <v>25</v>
      </c>
      <c r="C442" t="s">
        <v>21</v>
      </c>
      <c r="D442">
        <v>1</v>
      </c>
      <c r="E442" t="s">
        <v>10</v>
      </c>
      <c r="F442">
        <v>89000</v>
      </c>
      <c r="G442">
        <v>65000</v>
      </c>
      <c r="H442">
        <f>Table1[[#This Row],[Qty]]*Table1[[#This Row],[SellingPrice]]</f>
        <v>89000</v>
      </c>
      <c r="I442">
        <f>Table1[[#This Row],[Qty]]*Table1[[#This Row],[CostPrice]]</f>
        <v>65000</v>
      </c>
      <c r="J442">
        <v>23832</v>
      </c>
      <c r="K442">
        <v>167.99999999999997</v>
      </c>
      <c r="L442" t="s">
        <v>13</v>
      </c>
      <c r="M442" t="s">
        <v>27</v>
      </c>
      <c r="N442">
        <f>MONTH(Table1[[#This Row],[SaleDate]])</f>
        <v>2</v>
      </c>
      <c r="O442" t="str">
        <f>TEXT(Table1[[#This Row],[SaleDate]],"MMM")</f>
        <v>Feb</v>
      </c>
    </row>
    <row r="443" spans="1:15">
      <c r="A443" s="1">
        <v>44984</v>
      </c>
      <c r="B443" t="s">
        <v>23</v>
      </c>
      <c r="C443" t="s">
        <v>19</v>
      </c>
      <c r="D443">
        <v>1</v>
      </c>
      <c r="E443" t="s">
        <v>7</v>
      </c>
      <c r="F443">
        <v>33000</v>
      </c>
      <c r="G443">
        <v>18000</v>
      </c>
      <c r="H443">
        <f>Table1[[#This Row],[Qty]]*Table1[[#This Row],[SellingPrice]]</f>
        <v>33000</v>
      </c>
      <c r="I443">
        <f>Table1[[#This Row],[Qty]]*Table1[[#This Row],[CostPrice]]</f>
        <v>18000</v>
      </c>
      <c r="J443">
        <v>14895</v>
      </c>
      <c r="K443">
        <v>104.99999999999999</v>
      </c>
      <c r="L443" t="s">
        <v>8</v>
      </c>
      <c r="M443" t="s">
        <v>27</v>
      </c>
      <c r="N443">
        <f>MONTH(Table1[[#This Row],[SaleDate]])</f>
        <v>2</v>
      </c>
      <c r="O443" t="str">
        <f>TEXT(Table1[[#This Row],[SaleDate]],"MMM")</f>
        <v>Feb</v>
      </c>
    </row>
    <row r="444" spans="1:15">
      <c r="A444" s="1">
        <v>44984</v>
      </c>
      <c r="B444" t="s">
        <v>23</v>
      </c>
      <c r="C444" t="s">
        <v>19</v>
      </c>
      <c r="D444">
        <v>1</v>
      </c>
      <c r="E444" t="s">
        <v>9</v>
      </c>
      <c r="F444">
        <v>60000</v>
      </c>
      <c r="G444">
        <v>31000</v>
      </c>
      <c r="H444">
        <f>Table1[[#This Row],[Qty]]*Table1[[#This Row],[SellingPrice]]</f>
        <v>60000</v>
      </c>
      <c r="I444">
        <f>Table1[[#This Row],[Qty]]*Table1[[#This Row],[CostPrice]]</f>
        <v>31000</v>
      </c>
      <c r="J444">
        <v>28797</v>
      </c>
      <c r="K444">
        <v>202.99999999999997</v>
      </c>
      <c r="L444" t="s">
        <v>8</v>
      </c>
      <c r="M444" t="s">
        <v>27</v>
      </c>
      <c r="N444">
        <f>MONTH(Table1[[#This Row],[SaleDate]])</f>
        <v>2</v>
      </c>
      <c r="O444" t="str">
        <f>TEXT(Table1[[#This Row],[SaleDate]],"MMM")</f>
        <v>Feb</v>
      </c>
    </row>
    <row r="445" spans="1:15">
      <c r="A445" s="1">
        <v>44984</v>
      </c>
      <c r="B445" t="s">
        <v>23</v>
      </c>
      <c r="C445" t="s">
        <v>19</v>
      </c>
      <c r="D445">
        <v>1</v>
      </c>
      <c r="E445" t="s">
        <v>10</v>
      </c>
      <c r="F445">
        <v>89000</v>
      </c>
      <c r="G445">
        <v>65000</v>
      </c>
      <c r="H445">
        <f>Table1[[#This Row],[Qty]]*Table1[[#This Row],[SellingPrice]]</f>
        <v>89000</v>
      </c>
      <c r="I445">
        <f>Table1[[#This Row],[Qty]]*Table1[[#This Row],[CostPrice]]</f>
        <v>65000</v>
      </c>
      <c r="J445">
        <v>23832</v>
      </c>
      <c r="K445">
        <v>167.99999999999997</v>
      </c>
      <c r="L445" t="s">
        <v>8</v>
      </c>
      <c r="M445" t="s">
        <v>29</v>
      </c>
      <c r="N445">
        <f>MONTH(Table1[[#This Row],[SaleDate]])</f>
        <v>2</v>
      </c>
      <c r="O445" t="str">
        <f>TEXT(Table1[[#This Row],[SaleDate]],"MMM")</f>
        <v>Feb</v>
      </c>
    </row>
    <row r="446" spans="1:15">
      <c r="A446" s="1">
        <v>44984</v>
      </c>
      <c r="B446" t="s">
        <v>26</v>
      </c>
      <c r="C446" t="s">
        <v>20</v>
      </c>
      <c r="D446">
        <v>1</v>
      </c>
      <c r="E446" t="s">
        <v>7</v>
      </c>
      <c r="F446">
        <v>33000</v>
      </c>
      <c r="G446">
        <v>18000</v>
      </c>
      <c r="H446">
        <f>Table1[[#This Row],[Qty]]*Table1[[#This Row],[SellingPrice]]</f>
        <v>33000</v>
      </c>
      <c r="I446">
        <f>Table1[[#This Row],[Qty]]*Table1[[#This Row],[CostPrice]]</f>
        <v>18000</v>
      </c>
      <c r="J446">
        <v>14895</v>
      </c>
      <c r="K446">
        <v>104.99999999999999</v>
      </c>
      <c r="L446" t="s">
        <v>11</v>
      </c>
      <c r="M446" t="s">
        <v>27</v>
      </c>
      <c r="N446">
        <f>MONTH(Table1[[#This Row],[SaleDate]])</f>
        <v>2</v>
      </c>
      <c r="O446" t="str">
        <f>TEXT(Table1[[#This Row],[SaleDate]],"MMM")</f>
        <v>Feb</v>
      </c>
    </row>
    <row r="447" spans="1:15">
      <c r="A447" s="1">
        <v>44984</v>
      </c>
      <c r="B447" t="s">
        <v>24</v>
      </c>
      <c r="C447" t="s">
        <v>22</v>
      </c>
      <c r="D447">
        <v>1</v>
      </c>
      <c r="E447" t="s">
        <v>7</v>
      </c>
      <c r="F447">
        <v>33000</v>
      </c>
      <c r="G447">
        <v>18000</v>
      </c>
      <c r="H447">
        <f>Table1[[#This Row],[Qty]]*Table1[[#This Row],[SellingPrice]]</f>
        <v>33000</v>
      </c>
      <c r="I447">
        <f>Table1[[#This Row],[Qty]]*Table1[[#This Row],[CostPrice]]</f>
        <v>18000</v>
      </c>
      <c r="J447">
        <v>14895</v>
      </c>
      <c r="K447">
        <v>104.99999999999999</v>
      </c>
      <c r="L447" t="s">
        <v>12</v>
      </c>
      <c r="M447" t="s">
        <v>30</v>
      </c>
      <c r="N447">
        <f>MONTH(Table1[[#This Row],[SaleDate]])</f>
        <v>2</v>
      </c>
      <c r="O447" t="str">
        <f>TEXT(Table1[[#This Row],[SaleDate]],"MMM")</f>
        <v>Feb</v>
      </c>
    </row>
    <row r="448" spans="1:15">
      <c r="A448" s="1">
        <v>44984</v>
      </c>
      <c r="B448" t="s">
        <v>24</v>
      </c>
      <c r="C448" t="s">
        <v>22</v>
      </c>
      <c r="D448">
        <v>1</v>
      </c>
      <c r="E448" t="s">
        <v>9</v>
      </c>
      <c r="F448">
        <v>60000</v>
      </c>
      <c r="G448">
        <v>31000</v>
      </c>
      <c r="H448">
        <f>Table1[[#This Row],[Qty]]*Table1[[#This Row],[SellingPrice]]</f>
        <v>60000</v>
      </c>
      <c r="I448">
        <f>Table1[[#This Row],[Qty]]*Table1[[#This Row],[CostPrice]]</f>
        <v>31000</v>
      </c>
      <c r="J448">
        <v>28797</v>
      </c>
      <c r="K448">
        <v>202.99999999999997</v>
      </c>
      <c r="L448" t="s">
        <v>12</v>
      </c>
      <c r="M448" t="s">
        <v>30</v>
      </c>
      <c r="N448">
        <f>MONTH(Table1[[#This Row],[SaleDate]])</f>
        <v>2</v>
      </c>
      <c r="O448" t="str">
        <f>TEXT(Table1[[#This Row],[SaleDate]],"MMM")</f>
        <v>Feb</v>
      </c>
    </row>
    <row r="449" spans="1:15">
      <c r="A449" s="1">
        <v>44984</v>
      </c>
      <c r="B449" t="s">
        <v>24</v>
      </c>
      <c r="C449" t="s">
        <v>22</v>
      </c>
      <c r="D449">
        <v>1</v>
      </c>
      <c r="E449" t="s">
        <v>10</v>
      </c>
      <c r="F449">
        <v>89000</v>
      </c>
      <c r="G449">
        <v>65000</v>
      </c>
      <c r="H449">
        <f>Table1[[#This Row],[Qty]]*Table1[[#This Row],[SellingPrice]]</f>
        <v>89000</v>
      </c>
      <c r="I449">
        <f>Table1[[#This Row],[Qty]]*Table1[[#This Row],[CostPrice]]</f>
        <v>65000</v>
      </c>
      <c r="J449">
        <v>23832</v>
      </c>
      <c r="K449">
        <v>167.99999999999997</v>
      </c>
      <c r="L449" t="s">
        <v>12</v>
      </c>
      <c r="M449" t="s">
        <v>27</v>
      </c>
      <c r="N449">
        <f>MONTH(Table1[[#This Row],[SaleDate]])</f>
        <v>2</v>
      </c>
      <c r="O449" t="str">
        <f>TEXT(Table1[[#This Row],[SaleDate]],"MMM")</f>
        <v>Feb</v>
      </c>
    </row>
    <row r="450" spans="1:15">
      <c r="A450" s="1">
        <v>44984</v>
      </c>
      <c r="B450" t="s">
        <v>25</v>
      </c>
      <c r="C450" t="s">
        <v>21</v>
      </c>
      <c r="D450">
        <v>1</v>
      </c>
      <c r="E450" t="s">
        <v>7</v>
      </c>
      <c r="F450">
        <v>33000</v>
      </c>
      <c r="G450">
        <v>18000</v>
      </c>
      <c r="H450">
        <f>Table1[[#This Row],[Qty]]*Table1[[#This Row],[SellingPrice]]</f>
        <v>33000</v>
      </c>
      <c r="I450">
        <f>Table1[[#This Row],[Qty]]*Table1[[#This Row],[CostPrice]]</f>
        <v>18000</v>
      </c>
      <c r="J450">
        <v>14895</v>
      </c>
      <c r="K450">
        <v>104.99999999999999</v>
      </c>
      <c r="L450" t="s">
        <v>13</v>
      </c>
      <c r="M450" t="s">
        <v>29</v>
      </c>
      <c r="N450">
        <f>MONTH(Table1[[#This Row],[SaleDate]])</f>
        <v>2</v>
      </c>
      <c r="O450" t="str">
        <f>TEXT(Table1[[#This Row],[SaleDate]],"MMM")</f>
        <v>Feb</v>
      </c>
    </row>
    <row r="451" spans="1:15">
      <c r="A451" s="1">
        <v>44984</v>
      </c>
      <c r="B451" t="s">
        <v>25</v>
      </c>
      <c r="C451" t="s">
        <v>21</v>
      </c>
      <c r="D451">
        <v>1</v>
      </c>
      <c r="E451" t="s">
        <v>9</v>
      </c>
      <c r="F451">
        <v>60000</v>
      </c>
      <c r="G451">
        <v>31000</v>
      </c>
      <c r="H451">
        <f>Table1[[#This Row],[Qty]]*Table1[[#This Row],[SellingPrice]]</f>
        <v>60000</v>
      </c>
      <c r="I451">
        <f>Table1[[#This Row],[Qty]]*Table1[[#This Row],[CostPrice]]</f>
        <v>31000</v>
      </c>
      <c r="J451">
        <v>28797</v>
      </c>
      <c r="K451">
        <v>202.99999999999997</v>
      </c>
      <c r="L451" t="s">
        <v>13</v>
      </c>
      <c r="M451" t="s">
        <v>29</v>
      </c>
      <c r="N451">
        <f>MONTH(Table1[[#This Row],[SaleDate]])</f>
        <v>2</v>
      </c>
      <c r="O451" t="str">
        <f>TEXT(Table1[[#This Row],[SaleDate]],"MMM")</f>
        <v>Feb</v>
      </c>
    </row>
    <row r="452" spans="1:15">
      <c r="A452" s="1">
        <v>44984</v>
      </c>
      <c r="B452" t="s">
        <v>25</v>
      </c>
      <c r="C452" t="s">
        <v>21</v>
      </c>
      <c r="D452">
        <v>1</v>
      </c>
      <c r="E452" t="s">
        <v>10</v>
      </c>
      <c r="F452">
        <v>89000</v>
      </c>
      <c r="G452">
        <v>65000</v>
      </c>
      <c r="H452">
        <f>Table1[[#This Row],[Qty]]*Table1[[#This Row],[SellingPrice]]</f>
        <v>89000</v>
      </c>
      <c r="I452">
        <f>Table1[[#This Row],[Qty]]*Table1[[#This Row],[CostPrice]]</f>
        <v>65000</v>
      </c>
      <c r="J452">
        <v>23832</v>
      </c>
      <c r="K452">
        <v>167.99999999999997</v>
      </c>
      <c r="L452" t="s">
        <v>13</v>
      </c>
      <c r="M452" t="s">
        <v>29</v>
      </c>
      <c r="N452">
        <f>MONTH(Table1[[#This Row],[SaleDate]])</f>
        <v>2</v>
      </c>
      <c r="O452" t="str">
        <f>TEXT(Table1[[#This Row],[SaleDate]],"MMM")</f>
        <v>Feb</v>
      </c>
    </row>
    <row r="453" spans="1:15">
      <c r="A453" s="1">
        <v>44985</v>
      </c>
      <c r="B453" t="s">
        <v>23</v>
      </c>
      <c r="C453" t="s">
        <v>19</v>
      </c>
      <c r="D453">
        <v>1</v>
      </c>
      <c r="E453" t="s">
        <v>7</v>
      </c>
      <c r="F453">
        <v>33000</v>
      </c>
      <c r="G453">
        <v>18000</v>
      </c>
      <c r="H453">
        <f>Table1[[#This Row],[Qty]]*Table1[[#This Row],[SellingPrice]]</f>
        <v>33000</v>
      </c>
      <c r="I453">
        <f>Table1[[#This Row],[Qty]]*Table1[[#This Row],[CostPrice]]</f>
        <v>18000</v>
      </c>
      <c r="J453">
        <v>14895</v>
      </c>
      <c r="K453">
        <v>104.99999999999999</v>
      </c>
      <c r="L453" t="s">
        <v>8</v>
      </c>
      <c r="M453" t="s">
        <v>28</v>
      </c>
      <c r="N453">
        <f>MONTH(Table1[[#This Row],[SaleDate]])</f>
        <v>2</v>
      </c>
      <c r="O453" t="str">
        <f>TEXT(Table1[[#This Row],[SaleDate]],"MMM")</f>
        <v>Feb</v>
      </c>
    </row>
    <row r="454" spans="1:15">
      <c r="A454" s="1">
        <v>44985</v>
      </c>
      <c r="B454" t="s">
        <v>23</v>
      </c>
      <c r="C454" t="s">
        <v>19</v>
      </c>
      <c r="D454">
        <v>1</v>
      </c>
      <c r="E454" t="s">
        <v>9</v>
      </c>
      <c r="F454">
        <v>60000</v>
      </c>
      <c r="G454">
        <v>31000</v>
      </c>
      <c r="H454">
        <f>Table1[[#This Row],[Qty]]*Table1[[#This Row],[SellingPrice]]</f>
        <v>60000</v>
      </c>
      <c r="I454">
        <f>Table1[[#This Row],[Qty]]*Table1[[#This Row],[CostPrice]]</f>
        <v>31000</v>
      </c>
      <c r="J454">
        <v>28797</v>
      </c>
      <c r="K454">
        <v>202.99999999999997</v>
      </c>
      <c r="L454" t="s">
        <v>8</v>
      </c>
      <c r="M454" t="s">
        <v>29</v>
      </c>
      <c r="N454">
        <f>MONTH(Table1[[#This Row],[SaleDate]])</f>
        <v>2</v>
      </c>
      <c r="O454" t="str">
        <f>TEXT(Table1[[#This Row],[SaleDate]],"MMM")</f>
        <v>Feb</v>
      </c>
    </row>
    <row r="455" spans="1:15">
      <c r="A455" s="1">
        <v>44985</v>
      </c>
      <c r="B455" t="s">
        <v>23</v>
      </c>
      <c r="C455" t="s">
        <v>19</v>
      </c>
      <c r="D455">
        <v>1</v>
      </c>
      <c r="E455" t="s">
        <v>10</v>
      </c>
      <c r="F455">
        <v>89000</v>
      </c>
      <c r="G455">
        <v>65000</v>
      </c>
      <c r="H455">
        <f>Table1[[#This Row],[Qty]]*Table1[[#This Row],[SellingPrice]]</f>
        <v>89000</v>
      </c>
      <c r="I455">
        <f>Table1[[#This Row],[Qty]]*Table1[[#This Row],[CostPrice]]</f>
        <v>65000</v>
      </c>
      <c r="J455">
        <v>23832</v>
      </c>
      <c r="K455">
        <v>167.99999999999997</v>
      </c>
      <c r="L455" t="s">
        <v>8</v>
      </c>
      <c r="M455" t="s">
        <v>29</v>
      </c>
      <c r="N455">
        <f>MONTH(Table1[[#This Row],[SaleDate]])</f>
        <v>2</v>
      </c>
      <c r="O455" t="str">
        <f>TEXT(Table1[[#This Row],[SaleDate]],"MMM")</f>
        <v>Feb</v>
      </c>
    </row>
    <row r="456" spans="1:15">
      <c r="A456" s="1">
        <v>44985</v>
      </c>
      <c r="B456" t="s">
        <v>26</v>
      </c>
      <c r="C456" t="s">
        <v>20</v>
      </c>
      <c r="D456">
        <v>1</v>
      </c>
      <c r="E456" t="s">
        <v>7</v>
      </c>
      <c r="F456">
        <v>33000</v>
      </c>
      <c r="G456">
        <v>18000</v>
      </c>
      <c r="H456">
        <f>Table1[[#This Row],[Qty]]*Table1[[#This Row],[SellingPrice]]</f>
        <v>33000</v>
      </c>
      <c r="I456">
        <f>Table1[[#This Row],[Qty]]*Table1[[#This Row],[CostPrice]]</f>
        <v>18000</v>
      </c>
      <c r="J456">
        <v>14895</v>
      </c>
      <c r="K456">
        <v>104.99999999999999</v>
      </c>
      <c r="L456" t="s">
        <v>11</v>
      </c>
      <c r="M456" t="s">
        <v>30</v>
      </c>
      <c r="N456">
        <f>MONTH(Table1[[#This Row],[SaleDate]])</f>
        <v>2</v>
      </c>
      <c r="O456" t="str">
        <f>TEXT(Table1[[#This Row],[SaleDate]],"MMM")</f>
        <v>Feb</v>
      </c>
    </row>
    <row r="457" spans="1:15">
      <c r="A457" s="1">
        <v>44985</v>
      </c>
      <c r="B457" t="s">
        <v>24</v>
      </c>
      <c r="C457" t="s">
        <v>22</v>
      </c>
      <c r="D457">
        <v>1</v>
      </c>
      <c r="E457" t="s">
        <v>7</v>
      </c>
      <c r="F457">
        <v>33000</v>
      </c>
      <c r="G457">
        <v>18000</v>
      </c>
      <c r="H457">
        <f>Table1[[#This Row],[Qty]]*Table1[[#This Row],[SellingPrice]]</f>
        <v>33000</v>
      </c>
      <c r="I457">
        <f>Table1[[#This Row],[Qty]]*Table1[[#This Row],[CostPrice]]</f>
        <v>18000</v>
      </c>
      <c r="J457">
        <v>14895</v>
      </c>
      <c r="K457">
        <v>104.99999999999999</v>
      </c>
      <c r="L457" t="s">
        <v>12</v>
      </c>
      <c r="M457" t="s">
        <v>30</v>
      </c>
      <c r="N457">
        <f>MONTH(Table1[[#This Row],[SaleDate]])</f>
        <v>2</v>
      </c>
      <c r="O457" t="str">
        <f>TEXT(Table1[[#This Row],[SaleDate]],"MMM")</f>
        <v>Feb</v>
      </c>
    </row>
    <row r="458" spans="1:15">
      <c r="A458" s="1">
        <v>44985</v>
      </c>
      <c r="B458" t="s">
        <v>24</v>
      </c>
      <c r="C458" t="s">
        <v>22</v>
      </c>
      <c r="D458">
        <v>1</v>
      </c>
      <c r="E458" t="s">
        <v>9</v>
      </c>
      <c r="F458">
        <v>60000</v>
      </c>
      <c r="G458">
        <v>31000</v>
      </c>
      <c r="H458">
        <f>Table1[[#This Row],[Qty]]*Table1[[#This Row],[SellingPrice]]</f>
        <v>60000</v>
      </c>
      <c r="I458">
        <f>Table1[[#This Row],[Qty]]*Table1[[#This Row],[CostPrice]]</f>
        <v>31000</v>
      </c>
      <c r="J458">
        <v>28797</v>
      </c>
      <c r="K458">
        <v>202.99999999999997</v>
      </c>
      <c r="L458" t="s">
        <v>12</v>
      </c>
      <c r="M458" t="s">
        <v>30</v>
      </c>
      <c r="N458">
        <f>MONTH(Table1[[#This Row],[SaleDate]])</f>
        <v>2</v>
      </c>
      <c r="O458" t="str">
        <f>TEXT(Table1[[#This Row],[SaleDate]],"MMM")</f>
        <v>Feb</v>
      </c>
    </row>
    <row r="459" spans="1:15">
      <c r="A459" s="1">
        <v>44985</v>
      </c>
      <c r="B459" t="s">
        <v>24</v>
      </c>
      <c r="C459" t="s">
        <v>22</v>
      </c>
      <c r="D459">
        <v>1</v>
      </c>
      <c r="E459" t="s">
        <v>10</v>
      </c>
      <c r="F459">
        <v>89000</v>
      </c>
      <c r="G459">
        <v>65000</v>
      </c>
      <c r="H459">
        <f>Table1[[#This Row],[Qty]]*Table1[[#This Row],[SellingPrice]]</f>
        <v>89000</v>
      </c>
      <c r="I459">
        <f>Table1[[#This Row],[Qty]]*Table1[[#This Row],[CostPrice]]</f>
        <v>65000</v>
      </c>
      <c r="J459">
        <v>23832</v>
      </c>
      <c r="K459">
        <v>167.99999999999997</v>
      </c>
      <c r="L459" t="s">
        <v>12</v>
      </c>
      <c r="M459" t="s">
        <v>29</v>
      </c>
      <c r="N459">
        <f>MONTH(Table1[[#This Row],[SaleDate]])</f>
        <v>2</v>
      </c>
      <c r="O459" t="str">
        <f>TEXT(Table1[[#This Row],[SaleDate]],"MMM")</f>
        <v>Feb</v>
      </c>
    </row>
    <row r="460" spans="1:15">
      <c r="A460" s="1">
        <v>44985</v>
      </c>
      <c r="B460" t="s">
        <v>25</v>
      </c>
      <c r="C460" t="s">
        <v>21</v>
      </c>
      <c r="D460">
        <v>1</v>
      </c>
      <c r="E460" t="s">
        <v>7</v>
      </c>
      <c r="F460">
        <v>33000</v>
      </c>
      <c r="G460">
        <v>18000</v>
      </c>
      <c r="H460">
        <f>Table1[[#This Row],[Qty]]*Table1[[#This Row],[SellingPrice]]</f>
        <v>33000</v>
      </c>
      <c r="I460">
        <f>Table1[[#This Row],[Qty]]*Table1[[#This Row],[CostPrice]]</f>
        <v>18000</v>
      </c>
      <c r="J460">
        <v>14895</v>
      </c>
      <c r="K460">
        <v>104.99999999999999</v>
      </c>
      <c r="L460" t="s">
        <v>13</v>
      </c>
      <c r="M460" t="s">
        <v>27</v>
      </c>
      <c r="N460">
        <f>MONTH(Table1[[#This Row],[SaleDate]])</f>
        <v>2</v>
      </c>
      <c r="O460" t="str">
        <f>TEXT(Table1[[#This Row],[SaleDate]],"MMM")</f>
        <v>Feb</v>
      </c>
    </row>
    <row r="461" spans="1:15">
      <c r="A461" s="1">
        <v>44985</v>
      </c>
      <c r="B461" t="s">
        <v>25</v>
      </c>
      <c r="C461" t="s">
        <v>21</v>
      </c>
      <c r="D461">
        <v>1</v>
      </c>
      <c r="E461" t="s">
        <v>9</v>
      </c>
      <c r="F461">
        <v>60000</v>
      </c>
      <c r="G461">
        <v>31000</v>
      </c>
      <c r="H461">
        <f>Table1[[#This Row],[Qty]]*Table1[[#This Row],[SellingPrice]]</f>
        <v>60000</v>
      </c>
      <c r="I461">
        <f>Table1[[#This Row],[Qty]]*Table1[[#This Row],[CostPrice]]</f>
        <v>31000</v>
      </c>
      <c r="J461">
        <v>28797</v>
      </c>
      <c r="K461">
        <v>202.99999999999997</v>
      </c>
      <c r="L461" t="s">
        <v>13</v>
      </c>
      <c r="M461" t="s">
        <v>30</v>
      </c>
      <c r="N461">
        <f>MONTH(Table1[[#This Row],[SaleDate]])</f>
        <v>2</v>
      </c>
      <c r="O461" t="str">
        <f>TEXT(Table1[[#This Row],[SaleDate]],"MMM")</f>
        <v>Feb</v>
      </c>
    </row>
    <row r="462" spans="1:15">
      <c r="A462" s="1">
        <v>44985</v>
      </c>
      <c r="B462" t="s">
        <v>25</v>
      </c>
      <c r="C462" t="s">
        <v>21</v>
      </c>
      <c r="D462">
        <v>1</v>
      </c>
      <c r="E462" t="s">
        <v>10</v>
      </c>
      <c r="F462">
        <v>89000</v>
      </c>
      <c r="G462">
        <v>65000</v>
      </c>
      <c r="H462">
        <f>Table1[[#This Row],[Qty]]*Table1[[#This Row],[SellingPrice]]</f>
        <v>89000</v>
      </c>
      <c r="I462">
        <f>Table1[[#This Row],[Qty]]*Table1[[#This Row],[CostPrice]]</f>
        <v>65000</v>
      </c>
      <c r="J462">
        <v>23832</v>
      </c>
      <c r="K462">
        <v>167.99999999999997</v>
      </c>
      <c r="L462" t="s">
        <v>13</v>
      </c>
      <c r="M462" t="s">
        <v>27</v>
      </c>
      <c r="N462">
        <f>MONTH(Table1[[#This Row],[SaleDate]])</f>
        <v>2</v>
      </c>
      <c r="O462" t="str">
        <f>TEXT(Table1[[#This Row],[SaleDate]],"MMM")</f>
        <v>Feb</v>
      </c>
    </row>
    <row r="463" spans="1:15">
      <c r="A463" s="1">
        <v>44986</v>
      </c>
      <c r="B463" t="s">
        <v>23</v>
      </c>
      <c r="C463" t="s">
        <v>19</v>
      </c>
      <c r="D463">
        <v>2</v>
      </c>
      <c r="E463" t="s">
        <v>7</v>
      </c>
      <c r="F463">
        <v>33000</v>
      </c>
      <c r="G463">
        <v>18000</v>
      </c>
      <c r="H463">
        <f>Table1[[#This Row],[Qty]]*Table1[[#This Row],[SellingPrice]]</f>
        <v>66000</v>
      </c>
      <c r="I463">
        <f>Table1[[#This Row],[Qty]]*Table1[[#This Row],[CostPrice]]</f>
        <v>36000</v>
      </c>
      <c r="J463">
        <v>29790</v>
      </c>
      <c r="K463">
        <v>209.99999999999997</v>
      </c>
      <c r="L463" t="s">
        <v>8</v>
      </c>
      <c r="M463" t="s">
        <v>29</v>
      </c>
      <c r="N463">
        <f>MONTH(Table1[[#This Row],[SaleDate]])</f>
        <v>3</v>
      </c>
      <c r="O463" t="str">
        <f>TEXT(Table1[[#This Row],[SaleDate]],"MMM")</f>
        <v>Mar</v>
      </c>
    </row>
    <row r="464" spans="1:15">
      <c r="A464" s="1">
        <v>44986</v>
      </c>
      <c r="B464" t="s">
        <v>23</v>
      </c>
      <c r="C464" t="s">
        <v>19</v>
      </c>
      <c r="D464">
        <v>2</v>
      </c>
      <c r="E464" t="s">
        <v>9</v>
      </c>
      <c r="F464">
        <v>60000</v>
      </c>
      <c r="G464">
        <v>31000</v>
      </c>
      <c r="H464">
        <f>Table1[[#This Row],[Qty]]*Table1[[#This Row],[SellingPrice]]</f>
        <v>120000</v>
      </c>
      <c r="I464">
        <f>Table1[[#This Row],[Qty]]*Table1[[#This Row],[CostPrice]]</f>
        <v>62000</v>
      </c>
      <c r="J464">
        <v>57594</v>
      </c>
      <c r="K464">
        <v>405.99999999999994</v>
      </c>
      <c r="L464" t="s">
        <v>8</v>
      </c>
      <c r="M464" t="s">
        <v>30</v>
      </c>
      <c r="N464">
        <f>MONTH(Table1[[#This Row],[SaleDate]])</f>
        <v>3</v>
      </c>
      <c r="O464" t="str">
        <f>TEXT(Table1[[#This Row],[SaleDate]],"MMM")</f>
        <v>Mar</v>
      </c>
    </row>
    <row r="465" spans="1:15">
      <c r="A465" s="1">
        <v>44986</v>
      </c>
      <c r="B465" t="s">
        <v>23</v>
      </c>
      <c r="C465" t="s">
        <v>19</v>
      </c>
      <c r="D465">
        <v>2</v>
      </c>
      <c r="E465" t="s">
        <v>10</v>
      </c>
      <c r="F465">
        <v>89000</v>
      </c>
      <c r="G465">
        <v>65000</v>
      </c>
      <c r="H465">
        <f>Table1[[#This Row],[Qty]]*Table1[[#This Row],[SellingPrice]]</f>
        <v>178000</v>
      </c>
      <c r="I465">
        <f>Table1[[#This Row],[Qty]]*Table1[[#This Row],[CostPrice]]</f>
        <v>130000</v>
      </c>
      <c r="J465">
        <v>47664</v>
      </c>
      <c r="K465">
        <v>335.99999999999994</v>
      </c>
      <c r="L465" t="s">
        <v>8</v>
      </c>
      <c r="M465" t="s">
        <v>28</v>
      </c>
      <c r="N465">
        <f>MONTH(Table1[[#This Row],[SaleDate]])</f>
        <v>3</v>
      </c>
      <c r="O465" t="str">
        <f>TEXT(Table1[[#This Row],[SaleDate]],"MMM")</f>
        <v>Mar</v>
      </c>
    </row>
    <row r="466" spans="1:15">
      <c r="A466" s="1">
        <v>44986</v>
      </c>
      <c r="B466" t="s">
        <v>26</v>
      </c>
      <c r="C466" t="s">
        <v>20</v>
      </c>
      <c r="D466">
        <v>2</v>
      </c>
      <c r="E466" t="s">
        <v>7</v>
      </c>
      <c r="F466">
        <v>33000</v>
      </c>
      <c r="G466">
        <v>18000</v>
      </c>
      <c r="H466">
        <f>Table1[[#This Row],[Qty]]*Table1[[#This Row],[SellingPrice]]</f>
        <v>66000</v>
      </c>
      <c r="I466">
        <f>Table1[[#This Row],[Qty]]*Table1[[#This Row],[CostPrice]]</f>
        <v>36000</v>
      </c>
      <c r="J466">
        <v>29790</v>
      </c>
      <c r="K466">
        <v>209.99999999999997</v>
      </c>
      <c r="L466" t="s">
        <v>11</v>
      </c>
      <c r="M466" t="s">
        <v>27</v>
      </c>
      <c r="N466">
        <f>MONTH(Table1[[#This Row],[SaleDate]])</f>
        <v>3</v>
      </c>
      <c r="O466" t="str">
        <f>TEXT(Table1[[#This Row],[SaleDate]],"MMM")</f>
        <v>Mar</v>
      </c>
    </row>
    <row r="467" spans="1:15">
      <c r="A467" s="1">
        <v>44986</v>
      </c>
      <c r="B467" t="s">
        <v>24</v>
      </c>
      <c r="C467" t="s">
        <v>22</v>
      </c>
      <c r="D467">
        <v>2</v>
      </c>
      <c r="E467" t="s">
        <v>7</v>
      </c>
      <c r="F467">
        <v>33000</v>
      </c>
      <c r="G467">
        <v>18000</v>
      </c>
      <c r="H467">
        <f>Table1[[#This Row],[Qty]]*Table1[[#This Row],[SellingPrice]]</f>
        <v>66000</v>
      </c>
      <c r="I467">
        <f>Table1[[#This Row],[Qty]]*Table1[[#This Row],[CostPrice]]</f>
        <v>36000</v>
      </c>
      <c r="J467">
        <v>29790</v>
      </c>
      <c r="K467">
        <v>209.99999999999997</v>
      </c>
      <c r="L467" t="s">
        <v>12</v>
      </c>
      <c r="M467" t="s">
        <v>27</v>
      </c>
      <c r="N467">
        <f>MONTH(Table1[[#This Row],[SaleDate]])</f>
        <v>3</v>
      </c>
      <c r="O467" t="str">
        <f>TEXT(Table1[[#This Row],[SaleDate]],"MMM")</f>
        <v>Mar</v>
      </c>
    </row>
    <row r="468" spans="1:15">
      <c r="A468" s="1">
        <v>44986</v>
      </c>
      <c r="B468" t="s">
        <v>24</v>
      </c>
      <c r="C468" t="s">
        <v>22</v>
      </c>
      <c r="D468">
        <v>2</v>
      </c>
      <c r="E468" t="s">
        <v>9</v>
      </c>
      <c r="F468">
        <v>60000</v>
      </c>
      <c r="G468">
        <v>31000</v>
      </c>
      <c r="H468">
        <f>Table1[[#This Row],[Qty]]*Table1[[#This Row],[SellingPrice]]</f>
        <v>120000</v>
      </c>
      <c r="I468">
        <f>Table1[[#This Row],[Qty]]*Table1[[#This Row],[CostPrice]]</f>
        <v>62000</v>
      </c>
      <c r="J468">
        <v>57594</v>
      </c>
      <c r="K468">
        <v>405.99999999999994</v>
      </c>
      <c r="L468" t="s">
        <v>12</v>
      </c>
      <c r="M468" t="s">
        <v>30</v>
      </c>
      <c r="N468">
        <f>MONTH(Table1[[#This Row],[SaleDate]])</f>
        <v>3</v>
      </c>
      <c r="O468" t="str">
        <f>TEXT(Table1[[#This Row],[SaleDate]],"MMM")</f>
        <v>Mar</v>
      </c>
    </row>
    <row r="469" spans="1:15">
      <c r="A469" s="1">
        <v>44986</v>
      </c>
      <c r="B469" t="s">
        <v>24</v>
      </c>
      <c r="C469" t="s">
        <v>22</v>
      </c>
      <c r="D469">
        <v>2</v>
      </c>
      <c r="E469" t="s">
        <v>10</v>
      </c>
      <c r="F469">
        <v>89000</v>
      </c>
      <c r="G469">
        <v>65000</v>
      </c>
      <c r="H469">
        <f>Table1[[#This Row],[Qty]]*Table1[[#This Row],[SellingPrice]]</f>
        <v>178000</v>
      </c>
      <c r="I469">
        <f>Table1[[#This Row],[Qty]]*Table1[[#This Row],[CostPrice]]</f>
        <v>130000</v>
      </c>
      <c r="J469">
        <v>47664</v>
      </c>
      <c r="K469">
        <v>335.99999999999994</v>
      </c>
      <c r="L469" t="s">
        <v>12</v>
      </c>
      <c r="M469" t="s">
        <v>29</v>
      </c>
      <c r="N469">
        <f>MONTH(Table1[[#This Row],[SaleDate]])</f>
        <v>3</v>
      </c>
      <c r="O469" t="str">
        <f>TEXT(Table1[[#This Row],[SaleDate]],"MMM")</f>
        <v>Mar</v>
      </c>
    </row>
    <row r="470" spans="1:15">
      <c r="A470" s="1">
        <v>44986</v>
      </c>
      <c r="B470" t="s">
        <v>25</v>
      </c>
      <c r="C470" t="s">
        <v>21</v>
      </c>
      <c r="D470">
        <v>2</v>
      </c>
      <c r="E470" t="s">
        <v>7</v>
      </c>
      <c r="F470">
        <v>33000</v>
      </c>
      <c r="G470">
        <v>18000</v>
      </c>
      <c r="H470">
        <f>Table1[[#This Row],[Qty]]*Table1[[#This Row],[SellingPrice]]</f>
        <v>66000</v>
      </c>
      <c r="I470">
        <f>Table1[[#This Row],[Qty]]*Table1[[#This Row],[CostPrice]]</f>
        <v>36000</v>
      </c>
      <c r="J470">
        <v>29790</v>
      </c>
      <c r="K470">
        <v>209.99999999999997</v>
      </c>
      <c r="L470" t="s">
        <v>13</v>
      </c>
      <c r="M470" t="s">
        <v>29</v>
      </c>
      <c r="N470">
        <f>MONTH(Table1[[#This Row],[SaleDate]])</f>
        <v>3</v>
      </c>
      <c r="O470" t="str">
        <f>TEXT(Table1[[#This Row],[SaleDate]],"MMM")</f>
        <v>Mar</v>
      </c>
    </row>
    <row r="471" spans="1:15">
      <c r="A471" s="1">
        <v>44986</v>
      </c>
      <c r="B471" t="s">
        <v>25</v>
      </c>
      <c r="C471" t="s">
        <v>21</v>
      </c>
      <c r="D471">
        <v>2</v>
      </c>
      <c r="E471" t="s">
        <v>9</v>
      </c>
      <c r="F471">
        <v>60000</v>
      </c>
      <c r="G471">
        <v>31000</v>
      </c>
      <c r="H471">
        <f>Table1[[#This Row],[Qty]]*Table1[[#This Row],[SellingPrice]]</f>
        <v>120000</v>
      </c>
      <c r="I471">
        <f>Table1[[#This Row],[Qty]]*Table1[[#This Row],[CostPrice]]</f>
        <v>62000</v>
      </c>
      <c r="J471">
        <v>57594</v>
      </c>
      <c r="K471">
        <v>405.99999999999994</v>
      </c>
      <c r="L471" t="s">
        <v>13</v>
      </c>
      <c r="M471" t="s">
        <v>30</v>
      </c>
      <c r="N471">
        <f>MONTH(Table1[[#This Row],[SaleDate]])</f>
        <v>3</v>
      </c>
      <c r="O471" t="str">
        <f>TEXT(Table1[[#This Row],[SaleDate]],"MMM")</f>
        <v>Mar</v>
      </c>
    </row>
    <row r="472" spans="1:15">
      <c r="A472" s="1">
        <v>44986</v>
      </c>
      <c r="B472" t="s">
        <v>25</v>
      </c>
      <c r="C472" t="s">
        <v>21</v>
      </c>
      <c r="D472">
        <v>2</v>
      </c>
      <c r="E472" t="s">
        <v>10</v>
      </c>
      <c r="F472">
        <v>89000</v>
      </c>
      <c r="G472">
        <v>65000</v>
      </c>
      <c r="H472">
        <f>Table1[[#This Row],[Qty]]*Table1[[#This Row],[SellingPrice]]</f>
        <v>178000</v>
      </c>
      <c r="I472">
        <f>Table1[[#This Row],[Qty]]*Table1[[#This Row],[CostPrice]]</f>
        <v>130000</v>
      </c>
      <c r="J472">
        <v>47664</v>
      </c>
      <c r="K472">
        <v>335.99999999999994</v>
      </c>
      <c r="L472" t="s">
        <v>13</v>
      </c>
      <c r="M472" t="s">
        <v>30</v>
      </c>
      <c r="N472">
        <f>MONTH(Table1[[#This Row],[SaleDate]])</f>
        <v>3</v>
      </c>
      <c r="O472" t="str">
        <f>TEXT(Table1[[#This Row],[SaleDate]],"MMM")</f>
        <v>Mar</v>
      </c>
    </row>
    <row r="473" spans="1:15">
      <c r="A473" s="1">
        <v>44987</v>
      </c>
      <c r="B473" t="s">
        <v>23</v>
      </c>
      <c r="C473" t="s">
        <v>19</v>
      </c>
      <c r="D473">
        <v>1</v>
      </c>
      <c r="E473" t="s">
        <v>7</v>
      </c>
      <c r="F473">
        <v>33000</v>
      </c>
      <c r="G473">
        <v>18000</v>
      </c>
      <c r="H473">
        <f>Table1[[#This Row],[Qty]]*Table1[[#This Row],[SellingPrice]]</f>
        <v>33000</v>
      </c>
      <c r="I473">
        <f>Table1[[#This Row],[Qty]]*Table1[[#This Row],[CostPrice]]</f>
        <v>18000</v>
      </c>
      <c r="J473">
        <v>14895</v>
      </c>
      <c r="K473">
        <v>104.99999999999999</v>
      </c>
      <c r="L473" t="s">
        <v>8</v>
      </c>
      <c r="M473" t="s">
        <v>27</v>
      </c>
      <c r="N473">
        <f>MONTH(Table1[[#This Row],[SaleDate]])</f>
        <v>3</v>
      </c>
      <c r="O473" t="str">
        <f>TEXT(Table1[[#This Row],[SaleDate]],"MMM")</f>
        <v>Mar</v>
      </c>
    </row>
    <row r="474" spans="1:15">
      <c r="A474" s="1">
        <v>44987</v>
      </c>
      <c r="B474" t="s">
        <v>23</v>
      </c>
      <c r="C474" t="s">
        <v>19</v>
      </c>
      <c r="D474">
        <v>1</v>
      </c>
      <c r="E474" t="s">
        <v>9</v>
      </c>
      <c r="F474">
        <v>60000</v>
      </c>
      <c r="G474">
        <v>31000</v>
      </c>
      <c r="H474">
        <f>Table1[[#This Row],[Qty]]*Table1[[#This Row],[SellingPrice]]</f>
        <v>60000</v>
      </c>
      <c r="I474">
        <f>Table1[[#This Row],[Qty]]*Table1[[#This Row],[CostPrice]]</f>
        <v>31000</v>
      </c>
      <c r="J474">
        <v>28797</v>
      </c>
      <c r="K474">
        <v>202.99999999999997</v>
      </c>
      <c r="L474" t="s">
        <v>8</v>
      </c>
      <c r="M474" t="s">
        <v>27</v>
      </c>
      <c r="N474">
        <f>MONTH(Table1[[#This Row],[SaleDate]])</f>
        <v>3</v>
      </c>
      <c r="O474" t="str">
        <f>TEXT(Table1[[#This Row],[SaleDate]],"MMM")</f>
        <v>Mar</v>
      </c>
    </row>
    <row r="475" spans="1:15">
      <c r="A475" s="1">
        <v>44987</v>
      </c>
      <c r="B475" t="s">
        <v>23</v>
      </c>
      <c r="C475" t="s">
        <v>19</v>
      </c>
      <c r="D475">
        <v>1</v>
      </c>
      <c r="E475" t="s">
        <v>10</v>
      </c>
      <c r="F475">
        <v>89000</v>
      </c>
      <c r="G475">
        <v>65000</v>
      </c>
      <c r="H475">
        <f>Table1[[#This Row],[Qty]]*Table1[[#This Row],[SellingPrice]]</f>
        <v>89000</v>
      </c>
      <c r="I475">
        <f>Table1[[#This Row],[Qty]]*Table1[[#This Row],[CostPrice]]</f>
        <v>65000</v>
      </c>
      <c r="J475">
        <v>23832</v>
      </c>
      <c r="K475">
        <v>167.99999999999997</v>
      </c>
      <c r="L475" t="s">
        <v>8</v>
      </c>
      <c r="M475" t="s">
        <v>30</v>
      </c>
      <c r="N475">
        <f>MONTH(Table1[[#This Row],[SaleDate]])</f>
        <v>3</v>
      </c>
      <c r="O475" t="str">
        <f>TEXT(Table1[[#This Row],[SaleDate]],"MMM")</f>
        <v>Mar</v>
      </c>
    </row>
    <row r="476" spans="1:15">
      <c r="A476" s="1">
        <v>44987</v>
      </c>
      <c r="B476" t="s">
        <v>26</v>
      </c>
      <c r="C476" t="s">
        <v>20</v>
      </c>
      <c r="D476">
        <v>1</v>
      </c>
      <c r="E476" t="s">
        <v>7</v>
      </c>
      <c r="F476">
        <v>33000</v>
      </c>
      <c r="G476">
        <v>18000</v>
      </c>
      <c r="H476">
        <f>Table1[[#This Row],[Qty]]*Table1[[#This Row],[SellingPrice]]</f>
        <v>33000</v>
      </c>
      <c r="I476">
        <f>Table1[[#This Row],[Qty]]*Table1[[#This Row],[CostPrice]]</f>
        <v>18000</v>
      </c>
      <c r="J476">
        <v>14895</v>
      </c>
      <c r="K476">
        <v>104.99999999999999</v>
      </c>
      <c r="L476" t="s">
        <v>11</v>
      </c>
      <c r="M476" t="s">
        <v>30</v>
      </c>
      <c r="N476">
        <f>MONTH(Table1[[#This Row],[SaleDate]])</f>
        <v>3</v>
      </c>
      <c r="O476" t="str">
        <f>TEXT(Table1[[#This Row],[SaleDate]],"MMM")</f>
        <v>Mar</v>
      </c>
    </row>
    <row r="477" spans="1:15">
      <c r="A477" s="1">
        <v>44987</v>
      </c>
      <c r="B477" t="s">
        <v>24</v>
      </c>
      <c r="C477" t="s">
        <v>22</v>
      </c>
      <c r="D477">
        <v>1</v>
      </c>
      <c r="E477" t="s">
        <v>7</v>
      </c>
      <c r="F477">
        <v>33000</v>
      </c>
      <c r="G477">
        <v>18000</v>
      </c>
      <c r="H477">
        <f>Table1[[#This Row],[Qty]]*Table1[[#This Row],[SellingPrice]]</f>
        <v>33000</v>
      </c>
      <c r="I477">
        <f>Table1[[#This Row],[Qty]]*Table1[[#This Row],[CostPrice]]</f>
        <v>18000</v>
      </c>
      <c r="J477">
        <v>14895</v>
      </c>
      <c r="K477">
        <v>104.99999999999999</v>
      </c>
      <c r="L477" t="s">
        <v>12</v>
      </c>
      <c r="M477" t="s">
        <v>29</v>
      </c>
      <c r="N477">
        <f>MONTH(Table1[[#This Row],[SaleDate]])</f>
        <v>3</v>
      </c>
      <c r="O477" t="str">
        <f>TEXT(Table1[[#This Row],[SaleDate]],"MMM")</f>
        <v>Mar</v>
      </c>
    </row>
    <row r="478" spans="1:15">
      <c r="A478" s="1">
        <v>44987</v>
      </c>
      <c r="B478" t="s">
        <v>24</v>
      </c>
      <c r="C478" t="s">
        <v>22</v>
      </c>
      <c r="D478">
        <v>1</v>
      </c>
      <c r="E478" t="s">
        <v>9</v>
      </c>
      <c r="F478">
        <v>60000</v>
      </c>
      <c r="G478">
        <v>31000</v>
      </c>
      <c r="H478">
        <f>Table1[[#This Row],[Qty]]*Table1[[#This Row],[SellingPrice]]</f>
        <v>60000</v>
      </c>
      <c r="I478">
        <f>Table1[[#This Row],[Qty]]*Table1[[#This Row],[CostPrice]]</f>
        <v>31000</v>
      </c>
      <c r="J478">
        <v>28797</v>
      </c>
      <c r="K478">
        <v>202.99999999999997</v>
      </c>
      <c r="L478" t="s">
        <v>12</v>
      </c>
      <c r="M478" t="s">
        <v>29</v>
      </c>
      <c r="N478">
        <f>MONTH(Table1[[#This Row],[SaleDate]])</f>
        <v>3</v>
      </c>
      <c r="O478" t="str">
        <f>TEXT(Table1[[#This Row],[SaleDate]],"MMM")</f>
        <v>Mar</v>
      </c>
    </row>
    <row r="479" spans="1:15">
      <c r="A479" s="1">
        <v>44987</v>
      </c>
      <c r="B479" t="s">
        <v>24</v>
      </c>
      <c r="C479" t="s">
        <v>22</v>
      </c>
      <c r="D479">
        <v>1</v>
      </c>
      <c r="E479" t="s">
        <v>10</v>
      </c>
      <c r="F479">
        <v>89000</v>
      </c>
      <c r="G479">
        <v>65000</v>
      </c>
      <c r="H479">
        <f>Table1[[#This Row],[Qty]]*Table1[[#This Row],[SellingPrice]]</f>
        <v>89000</v>
      </c>
      <c r="I479">
        <f>Table1[[#This Row],[Qty]]*Table1[[#This Row],[CostPrice]]</f>
        <v>65000</v>
      </c>
      <c r="J479">
        <v>23832</v>
      </c>
      <c r="K479">
        <v>167.99999999999997</v>
      </c>
      <c r="L479" t="s">
        <v>12</v>
      </c>
      <c r="M479" t="s">
        <v>27</v>
      </c>
      <c r="N479">
        <f>MONTH(Table1[[#This Row],[SaleDate]])</f>
        <v>3</v>
      </c>
      <c r="O479" t="str">
        <f>TEXT(Table1[[#This Row],[SaleDate]],"MMM")</f>
        <v>Mar</v>
      </c>
    </row>
    <row r="480" spans="1:15">
      <c r="A480" s="1">
        <v>44987</v>
      </c>
      <c r="B480" t="s">
        <v>25</v>
      </c>
      <c r="C480" t="s">
        <v>21</v>
      </c>
      <c r="D480">
        <v>1</v>
      </c>
      <c r="E480" t="s">
        <v>7</v>
      </c>
      <c r="F480">
        <v>33000</v>
      </c>
      <c r="G480">
        <v>18000</v>
      </c>
      <c r="H480">
        <f>Table1[[#This Row],[Qty]]*Table1[[#This Row],[SellingPrice]]</f>
        <v>33000</v>
      </c>
      <c r="I480">
        <f>Table1[[#This Row],[Qty]]*Table1[[#This Row],[CostPrice]]</f>
        <v>18000</v>
      </c>
      <c r="J480">
        <v>14895</v>
      </c>
      <c r="K480">
        <v>104.99999999999999</v>
      </c>
      <c r="L480" t="s">
        <v>13</v>
      </c>
      <c r="M480" t="s">
        <v>30</v>
      </c>
      <c r="N480">
        <f>MONTH(Table1[[#This Row],[SaleDate]])</f>
        <v>3</v>
      </c>
      <c r="O480" t="str">
        <f>TEXT(Table1[[#This Row],[SaleDate]],"MMM")</f>
        <v>Mar</v>
      </c>
    </row>
    <row r="481" spans="1:15">
      <c r="A481" s="1">
        <v>44987</v>
      </c>
      <c r="B481" t="s">
        <v>25</v>
      </c>
      <c r="C481" t="s">
        <v>21</v>
      </c>
      <c r="D481">
        <v>1</v>
      </c>
      <c r="E481" t="s">
        <v>9</v>
      </c>
      <c r="F481">
        <v>60000</v>
      </c>
      <c r="G481">
        <v>31000</v>
      </c>
      <c r="H481">
        <f>Table1[[#This Row],[Qty]]*Table1[[#This Row],[SellingPrice]]</f>
        <v>60000</v>
      </c>
      <c r="I481">
        <f>Table1[[#This Row],[Qty]]*Table1[[#This Row],[CostPrice]]</f>
        <v>31000</v>
      </c>
      <c r="J481">
        <v>28797</v>
      </c>
      <c r="K481">
        <v>202.99999999999997</v>
      </c>
      <c r="L481" t="s">
        <v>13</v>
      </c>
      <c r="M481" t="s">
        <v>27</v>
      </c>
      <c r="N481">
        <f>MONTH(Table1[[#This Row],[SaleDate]])</f>
        <v>3</v>
      </c>
      <c r="O481" t="str">
        <f>TEXT(Table1[[#This Row],[SaleDate]],"MMM")</f>
        <v>Mar</v>
      </c>
    </row>
    <row r="482" spans="1:15">
      <c r="A482" s="1">
        <v>44987</v>
      </c>
      <c r="B482" t="s">
        <v>25</v>
      </c>
      <c r="C482" t="s">
        <v>21</v>
      </c>
      <c r="D482">
        <v>1</v>
      </c>
      <c r="E482" t="s">
        <v>10</v>
      </c>
      <c r="F482">
        <v>89000</v>
      </c>
      <c r="G482">
        <v>65000</v>
      </c>
      <c r="H482">
        <f>Table1[[#This Row],[Qty]]*Table1[[#This Row],[SellingPrice]]</f>
        <v>89000</v>
      </c>
      <c r="I482">
        <f>Table1[[#This Row],[Qty]]*Table1[[#This Row],[CostPrice]]</f>
        <v>65000</v>
      </c>
      <c r="J482">
        <v>23832</v>
      </c>
      <c r="K482">
        <v>167.99999999999997</v>
      </c>
      <c r="L482" t="s">
        <v>13</v>
      </c>
      <c r="M482" t="s">
        <v>30</v>
      </c>
      <c r="N482">
        <f>MONTH(Table1[[#This Row],[SaleDate]])</f>
        <v>3</v>
      </c>
      <c r="O482" t="str">
        <f>TEXT(Table1[[#This Row],[SaleDate]],"MMM")</f>
        <v>Mar</v>
      </c>
    </row>
    <row r="483" spans="1:15">
      <c r="A483" s="1">
        <v>44988</v>
      </c>
      <c r="B483" t="s">
        <v>23</v>
      </c>
      <c r="C483" t="s">
        <v>19</v>
      </c>
      <c r="D483">
        <v>2</v>
      </c>
      <c r="E483" t="s">
        <v>7</v>
      </c>
      <c r="F483">
        <v>33000</v>
      </c>
      <c r="G483">
        <v>18000</v>
      </c>
      <c r="H483">
        <f>Table1[[#This Row],[Qty]]*Table1[[#This Row],[SellingPrice]]</f>
        <v>66000</v>
      </c>
      <c r="I483">
        <f>Table1[[#This Row],[Qty]]*Table1[[#This Row],[CostPrice]]</f>
        <v>36000</v>
      </c>
      <c r="J483">
        <v>29790</v>
      </c>
      <c r="K483">
        <v>209.99999999999997</v>
      </c>
      <c r="L483" t="s">
        <v>8</v>
      </c>
      <c r="M483" t="s">
        <v>30</v>
      </c>
      <c r="N483">
        <f>MONTH(Table1[[#This Row],[SaleDate]])</f>
        <v>3</v>
      </c>
      <c r="O483" t="str">
        <f>TEXT(Table1[[#This Row],[SaleDate]],"MMM")</f>
        <v>Mar</v>
      </c>
    </row>
    <row r="484" spans="1:15">
      <c r="A484" s="1">
        <v>44988</v>
      </c>
      <c r="B484" t="s">
        <v>23</v>
      </c>
      <c r="C484" t="s">
        <v>19</v>
      </c>
      <c r="D484">
        <v>2</v>
      </c>
      <c r="E484" t="s">
        <v>9</v>
      </c>
      <c r="F484">
        <v>60000</v>
      </c>
      <c r="G484">
        <v>31000</v>
      </c>
      <c r="H484">
        <f>Table1[[#This Row],[Qty]]*Table1[[#This Row],[SellingPrice]]</f>
        <v>120000</v>
      </c>
      <c r="I484">
        <f>Table1[[#This Row],[Qty]]*Table1[[#This Row],[CostPrice]]</f>
        <v>62000</v>
      </c>
      <c r="J484">
        <v>57594</v>
      </c>
      <c r="K484">
        <v>405.99999999999994</v>
      </c>
      <c r="L484" t="s">
        <v>8</v>
      </c>
      <c r="M484" t="s">
        <v>30</v>
      </c>
      <c r="N484">
        <f>MONTH(Table1[[#This Row],[SaleDate]])</f>
        <v>3</v>
      </c>
      <c r="O484" t="str">
        <f>TEXT(Table1[[#This Row],[SaleDate]],"MMM")</f>
        <v>Mar</v>
      </c>
    </row>
    <row r="485" spans="1:15">
      <c r="A485" s="1">
        <v>44988</v>
      </c>
      <c r="B485" t="s">
        <v>23</v>
      </c>
      <c r="C485" t="s">
        <v>19</v>
      </c>
      <c r="D485">
        <v>2</v>
      </c>
      <c r="E485" t="s">
        <v>10</v>
      </c>
      <c r="F485">
        <v>89000</v>
      </c>
      <c r="G485">
        <v>65000</v>
      </c>
      <c r="H485">
        <f>Table1[[#This Row],[Qty]]*Table1[[#This Row],[SellingPrice]]</f>
        <v>178000</v>
      </c>
      <c r="I485">
        <f>Table1[[#This Row],[Qty]]*Table1[[#This Row],[CostPrice]]</f>
        <v>130000</v>
      </c>
      <c r="J485">
        <v>47664</v>
      </c>
      <c r="K485">
        <v>335.99999999999994</v>
      </c>
      <c r="L485" t="s">
        <v>8</v>
      </c>
      <c r="M485" t="s">
        <v>30</v>
      </c>
      <c r="N485">
        <f>MONTH(Table1[[#This Row],[SaleDate]])</f>
        <v>3</v>
      </c>
      <c r="O485" t="str">
        <f>TEXT(Table1[[#This Row],[SaleDate]],"MMM")</f>
        <v>Mar</v>
      </c>
    </row>
    <row r="486" spans="1:15">
      <c r="A486" s="1">
        <v>44988</v>
      </c>
      <c r="B486" t="s">
        <v>26</v>
      </c>
      <c r="C486" t="s">
        <v>20</v>
      </c>
      <c r="D486">
        <v>2</v>
      </c>
      <c r="E486" t="s">
        <v>7</v>
      </c>
      <c r="F486">
        <v>33000</v>
      </c>
      <c r="G486">
        <v>18000</v>
      </c>
      <c r="H486">
        <f>Table1[[#This Row],[Qty]]*Table1[[#This Row],[SellingPrice]]</f>
        <v>66000</v>
      </c>
      <c r="I486">
        <f>Table1[[#This Row],[Qty]]*Table1[[#This Row],[CostPrice]]</f>
        <v>36000</v>
      </c>
      <c r="J486">
        <v>29790</v>
      </c>
      <c r="K486">
        <v>209.99999999999997</v>
      </c>
      <c r="L486" t="s">
        <v>11</v>
      </c>
      <c r="M486" t="s">
        <v>29</v>
      </c>
      <c r="N486">
        <f>MONTH(Table1[[#This Row],[SaleDate]])</f>
        <v>3</v>
      </c>
      <c r="O486" t="str">
        <f>TEXT(Table1[[#This Row],[SaleDate]],"MMM")</f>
        <v>Mar</v>
      </c>
    </row>
    <row r="487" spans="1:15">
      <c r="A487" s="1">
        <v>44988</v>
      </c>
      <c r="B487" t="s">
        <v>24</v>
      </c>
      <c r="C487" t="s">
        <v>22</v>
      </c>
      <c r="D487">
        <v>2</v>
      </c>
      <c r="E487" t="s">
        <v>7</v>
      </c>
      <c r="F487">
        <v>33000</v>
      </c>
      <c r="G487">
        <v>18000</v>
      </c>
      <c r="H487">
        <f>Table1[[#This Row],[Qty]]*Table1[[#This Row],[SellingPrice]]</f>
        <v>66000</v>
      </c>
      <c r="I487">
        <f>Table1[[#This Row],[Qty]]*Table1[[#This Row],[CostPrice]]</f>
        <v>36000</v>
      </c>
      <c r="J487">
        <v>29790</v>
      </c>
      <c r="K487">
        <v>209.99999999999997</v>
      </c>
      <c r="L487" t="s">
        <v>12</v>
      </c>
      <c r="M487" t="s">
        <v>30</v>
      </c>
      <c r="N487">
        <f>MONTH(Table1[[#This Row],[SaleDate]])</f>
        <v>3</v>
      </c>
      <c r="O487" t="str">
        <f>TEXT(Table1[[#This Row],[SaleDate]],"MMM")</f>
        <v>Mar</v>
      </c>
    </row>
    <row r="488" spans="1:15">
      <c r="A488" s="1">
        <v>44988</v>
      </c>
      <c r="B488" t="s">
        <v>24</v>
      </c>
      <c r="C488" t="s">
        <v>22</v>
      </c>
      <c r="D488">
        <v>2</v>
      </c>
      <c r="E488" t="s">
        <v>9</v>
      </c>
      <c r="F488">
        <v>60000</v>
      </c>
      <c r="G488">
        <v>31000</v>
      </c>
      <c r="H488">
        <f>Table1[[#This Row],[Qty]]*Table1[[#This Row],[SellingPrice]]</f>
        <v>120000</v>
      </c>
      <c r="I488">
        <f>Table1[[#This Row],[Qty]]*Table1[[#This Row],[CostPrice]]</f>
        <v>62000</v>
      </c>
      <c r="J488">
        <v>57594</v>
      </c>
      <c r="K488">
        <v>405.99999999999994</v>
      </c>
      <c r="L488" t="s">
        <v>12</v>
      </c>
      <c r="M488" t="s">
        <v>30</v>
      </c>
      <c r="N488">
        <f>MONTH(Table1[[#This Row],[SaleDate]])</f>
        <v>3</v>
      </c>
      <c r="O488" t="str">
        <f>TEXT(Table1[[#This Row],[SaleDate]],"MMM")</f>
        <v>Mar</v>
      </c>
    </row>
    <row r="489" spans="1:15">
      <c r="A489" s="1">
        <v>44988</v>
      </c>
      <c r="B489" t="s">
        <v>24</v>
      </c>
      <c r="C489" t="s">
        <v>22</v>
      </c>
      <c r="D489">
        <v>2</v>
      </c>
      <c r="E489" t="s">
        <v>10</v>
      </c>
      <c r="F489">
        <v>89000</v>
      </c>
      <c r="G489">
        <v>65000</v>
      </c>
      <c r="H489">
        <f>Table1[[#This Row],[Qty]]*Table1[[#This Row],[SellingPrice]]</f>
        <v>178000</v>
      </c>
      <c r="I489">
        <f>Table1[[#This Row],[Qty]]*Table1[[#This Row],[CostPrice]]</f>
        <v>130000</v>
      </c>
      <c r="J489">
        <v>47664</v>
      </c>
      <c r="K489">
        <v>335.99999999999994</v>
      </c>
      <c r="L489" t="s">
        <v>12</v>
      </c>
      <c r="M489" t="s">
        <v>29</v>
      </c>
      <c r="N489">
        <f>MONTH(Table1[[#This Row],[SaleDate]])</f>
        <v>3</v>
      </c>
      <c r="O489" t="str">
        <f>TEXT(Table1[[#This Row],[SaleDate]],"MMM")</f>
        <v>Mar</v>
      </c>
    </row>
    <row r="490" spans="1:15">
      <c r="A490" s="1">
        <v>44988</v>
      </c>
      <c r="B490" t="s">
        <v>25</v>
      </c>
      <c r="C490" t="s">
        <v>21</v>
      </c>
      <c r="D490">
        <v>2</v>
      </c>
      <c r="E490" t="s">
        <v>7</v>
      </c>
      <c r="F490">
        <v>33000</v>
      </c>
      <c r="G490">
        <v>18000</v>
      </c>
      <c r="H490">
        <f>Table1[[#This Row],[Qty]]*Table1[[#This Row],[SellingPrice]]</f>
        <v>66000</v>
      </c>
      <c r="I490">
        <f>Table1[[#This Row],[Qty]]*Table1[[#This Row],[CostPrice]]</f>
        <v>36000</v>
      </c>
      <c r="J490">
        <v>29790</v>
      </c>
      <c r="K490">
        <v>209.99999999999997</v>
      </c>
      <c r="L490" t="s">
        <v>13</v>
      </c>
      <c r="M490" t="s">
        <v>27</v>
      </c>
      <c r="N490">
        <f>MONTH(Table1[[#This Row],[SaleDate]])</f>
        <v>3</v>
      </c>
      <c r="O490" t="str">
        <f>TEXT(Table1[[#This Row],[SaleDate]],"MMM")</f>
        <v>Mar</v>
      </c>
    </row>
    <row r="491" spans="1:15">
      <c r="A491" s="1">
        <v>44988</v>
      </c>
      <c r="B491" t="s">
        <v>25</v>
      </c>
      <c r="C491" t="s">
        <v>21</v>
      </c>
      <c r="D491">
        <v>2</v>
      </c>
      <c r="E491" t="s">
        <v>9</v>
      </c>
      <c r="F491">
        <v>60000</v>
      </c>
      <c r="G491">
        <v>31000</v>
      </c>
      <c r="H491">
        <f>Table1[[#This Row],[Qty]]*Table1[[#This Row],[SellingPrice]]</f>
        <v>120000</v>
      </c>
      <c r="I491">
        <f>Table1[[#This Row],[Qty]]*Table1[[#This Row],[CostPrice]]</f>
        <v>62000</v>
      </c>
      <c r="J491">
        <v>57594</v>
      </c>
      <c r="K491">
        <v>405.99999999999994</v>
      </c>
      <c r="L491" t="s">
        <v>13</v>
      </c>
      <c r="M491" t="s">
        <v>27</v>
      </c>
      <c r="N491">
        <f>MONTH(Table1[[#This Row],[SaleDate]])</f>
        <v>3</v>
      </c>
      <c r="O491" t="str">
        <f>TEXT(Table1[[#This Row],[SaleDate]],"MMM")</f>
        <v>Mar</v>
      </c>
    </row>
    <row r="492" spans="1:15">
      <c r="A492" s="1">
        <v>44988</v>
      </c>
      <c r="B492" t="s">
        <v>25</v>
      </c>
      <c r="C492" t="s">
        <v>21</v>
      </c>
      <c r="D492">
        <v>2</v>
      </c>
      <c r="E492" t="s">
        <v>10</v>
      </c>
      <c r="F492">
        <v>89000</v>
      </c>
      <c r="G492">
        <v>65000</v>
      </c>
      <c r="H492">
        <f>Table1[[#This Row],[Qty]]*Table1[[#This Row],[SellingPrice]]</f>
        <v>178000</v>
      </c>
      <c r="I492">
        <f>Table1[[#This Row],[Qty]]*Table1[[#This Row],[CostPrice]]</f>
        <v>130000</v>
      </c>
      <c r="J492">
        <v>47664</v>
      </c>
      <c r="K492">
        <v>335.99999999999994</v>
      </c>
      <c r="L492" t="s">
        <v>13</v>
      </c>
      <c r="M492" t="s">
        <v>29</v>
      </c>
      <c r="N492">
        <f>MONTH(Table1[[#This Row],[SaleDate]])</f>
        <v>3</v>
      </c>
      <c r="O492" t="str">
        <f>TEXT(Table1[[#This Row],[SaleDate]],"MMM")</f>
        <v>Mar</v>
      </c>
    </row>
    <row r="493" spans="1:15">
      <c r="A493" s="1">
        <v>44989</v>
      </c>
      <c r="B493" t="s">
        <v>23</v>
      </c>
      <c r="C493" t="s">
        <v>19</v>
      </c>
      <c r="D493">
        <v>1</v>
      </c>
      <c r="E493" t="s">
        <v>7</v>
      </c>
      <c r="F493">
        <v>33000</v>
      </c>
      <c r="G493">
        <v>18000</v>
      </c>
      <c r="H493">
        <f>Table1[[#This Row],[Qty]]*Table1[[#This Row],[SellingPrice]]</f>
        <v>33000</v>
      </c>
      <c r="I493">
        <f>Table1[[#This Row],[Qty]]*Table1[[#This Row],[CostPrice]]</f>
        <v>18000</v>
      </c>
      <c r="J493">
        <v>14895</v>
      </c>
      <c r="K493">
        <v>104.99999999999999</v>
      </c>
      <c r="L493" t="s">
        <v>8</v>
      </c>
      <c r="M493" t="s">
        <v>28</v>
      </c>
      <c r="N493">
        <f>MONTH(Table1[[#This Row],[SaleDate]])</f>
        <v>3</v>
      </c>
      <c r="O493" t="str">
        <f>TEXT(Table1[[#This Row],[SaleDate]],"MMM")</f>
        <v>Mar</v>
      </c>
    </row>
    <row r="494" spans="1:15">
      <c r="A494" s="1">
        <v>44989</v>
      </c>
      <c r="B494" t="s">
        <v>23</v>
      </c>
      <c r="C494" t="s">
        <v>19</v>
      </c>
      <c r="D494">
        <v>1</v>
      </c>
      <c r="E494" t="s">
        <v>9</v>
      </c>
      <c r="F494">
        <v>60000</v>
      </c>
      <c r="G494">
        <v>31000</v>
      </c>
      <c r="H494">
        <f>Table1[[#This Row],[Qty]]*Table1[[#This Row],[SellingPrice]]</f>
        <v>60000</v>
      </c>
      <c r="I494">
        <f>Table1[[#This Row],[Qty]]*Table1[[#This Row],[CostPrice]]</f>
        <v>31000</v>
      </c>
      <c r="J494">
        <v>28797</v>
      </c>
      <c r="K494">
        <v>202.99999999999997</v>
      </c>
      <c r="L494" t="s">
        <v>8</v>
      </c>
      <c r="M494" t="s">
        <v>29</v>
      </c>
      <c r="N494">
        <f>MONTH(Table1[[#This Row],[SaleDate]])</f>
        <v>3</v>
      </c>
      <c r="O494" t="str">
        <f>TEXT(Table1[[#This Row],[SaleDate]],"MMM")</f>
        <v>Mar</v>
      </c>
    </row>
    <row r="495" spans="1:15">
      <c r="A495" s="1">
        <v>44989</v>
      </c>
      <c r="B495" t="s">
        <v>23</v>
      </c>
      <c r="C495" t="s">
        <v>19</v>
      </c>
      <c r="D495">
        <v>1</v>
      </c>
      <c r="E495" t="s">
        <v>10</v>
      </c>
      <c r="F495">
        <v>89000</v>
      </c>
      <c r="G495">
        <v>65000</v>
      </c>
      <c r="H495">
        <f>Table1[[#This Row],[Qty]]*Table1[[#This Row],[SellingPrice]]</f>
        <v>89000</v>
      </c>
      <c r="I495">
        <f>Table1[[#This Row],[Qty]]*Table1[[#This Row],[CostPrice]]</f>
        <v>65000</v>
      </c>
      <c r="J495">
        <v>23832</v>
      </c>
      <c r="K495">
        <v>167.99999999999997</v>
      </c>
      <c r="L495" t="s">
        <v>8</v>
      </c>
      <c r="M495" t="s">
        <v>27</v>
      </c>
      <c r="N495">
        <f>MONTH(Table1[[#This Row],[SaleDate]])</f>
        <v>3</v>
      </c>
      <c r="O495" t="str">
        <f>TEXT(Table1[[#This Row],[SaleDate]],"MMM")</f>
        <v>Mar</v>
      </c>
    </row>
    <row r="496" spans="1:15">
      <c r="A496" s="1">
        <v>44989</v>
      </c>
      <c r="B496" t="s">
        <v>26</v>
      </c>
      <c r="C496" t="s">
        <v>20</v>
      </c>
      <c r="D496">
        <v>1</v>
      </c>
      <c r="E496" t="s">
        <v>7</v>
      </c>
      <c r="F496">
        <v>33000</v>
      </c>
      <c r="G496">
        <v>18000</v>
      </c>
      <c r="H496">
        <f>Table1[[#This Row],[Qty]]*Table1[[#This Row],[SellingPrice]]</f>
        <v>33000</v>
      </c>
      <c r="I496">
        <f>Table1[[#This Row],[Qty]]*Table1[[#This Row],[CostPrice]]</f>
        <v>18000</v>
      </c>
      <c r="J496">
        <v>14895</v>
      </c>
      <c r="K496">
        <v>104.99999999999999</v>
      </c>
      <c r="L496" t="s">
        <v>11</v>
      </c>
      <c r="M496" t="s">
        <v>30</v>
      </c>
      <c r="N496">
        <f>MONTH(Table1[[#This Row],[SaleDate]])</f>
        <v>3</v>
      </c>
      <c r="O496" t="str">
        <f>TEXT(Table1[[#This Row],[SaleDate]],"MMM")</f>
        <v>Mar</v>
      </c>
    </row>
    <row r="497" spans="1:15">
      <c r="A497" s="1">
        <v>44989</v>
      </c>
      <c r="B497" t="s">
        <v>24</v>
      </c>
      <c r="C497" t="s">
        <v>22</v>
      </c>
      <c r="D497">
        <v>1</v>
      </c>
      <c r="E497" t="s">
        <v>9</v>
      </c>
      <c r="F497">
        <v>60000</v>
      </c>
      <c r="G497">
        <v>31000</v>
      </c>
      <c r="H497">
        <f>Table1[[#This Row],[Qty]]*Table1[[#This Row],[SellingPrice]]</f>
        <v>60000</v>
      </c>
      <c r="I497">
        <f>Table1[[#This Row],[Qty]]*Table1[[#This Row],[CostPrice]]</f>
        <v>31000</v>
      </c>
      <c r="J497">
        <v>28797</v>
      </c>
      <c r="K497">
        <v>202.99999999999997</v>
      </c>
      <c r="L497" t="s">
        <v>12</v>
      </c>
      <c r="M497" t="s">
        <v>28</v>
      </c>
      <c r="N497">
        <f>MONTH(Table1[[#This Row],[SaleDate]])</f>
        <v>3</v>
      </c>
      <c r="O497" t="str">
        <f>TEXT(Table1[[#This Row],[SaleDate]],"MMM")</f>
        <v>Mar</v>
      </c>
    </row>
    <row r="498" spans="1:15">
      <c r="A498" s="1">
        <v>44989</v>
      </c>
      <c r="B498" t="s">
        <v>24</v>
      </c>
      <c r="C498" t="s">
        <v>22</v>
      </c>
      <c r="D498">
        <v>1</v>
      </c>
      <c r="E498" t="s">
        <v>10</v>
      </c>
      <c r="F498">
        <v>89000</v>
      </c>
      <c r="G498">
        <v>65000</v>
      </c>
      <c r="H498">
        <f>Table1[[#This Row],[Qty]]*Table1[[#This Row],[SellingPrice]]</f>
        <v>89000</v>
      </c>
      <c r="I498">
        <f>Table1[[#This Row],[Qty]]*Table1[[#This Row],[CostPrice]]</f>
        <v>65000</v>
      </c>
      <c r="J498">
        <v>23832</v>
      </c>
      <c r="K498">
        <v>167.99999999999997</v>
      </c>
      <c r="L498" t="s">
        <v>12</v>
      </c>
      <c r="M498" t="s">
        <v>28</v>
      </c>
      <c r="N498">
        <f>MONTH(Table1[[#This Row],[SaleDate]])</f>
        <v>3</v>
      </c>
      <c r="O498" t="str">
        <f>TEXT(Table1[[#This Row],[SaleDate]],"MMM")</f>
        <v>Mar</v>
      </c>
    </row>
    <row r="499" spans="1:15">
      <c r="A499" s="1">
        <v>44989</v>
      </c>
      <c r="B499" t="s">
        <v>25</v>
      </c>
      <c r="C499" t="s">
        <v>21</v>
      </c>
      <c r="D499">
        <v>1</v>
      </c>
      <c r="E499" t="s">
        <v>7</v>
      </c>
      <c r="F499">
        <v>33000</v>
      </c>
      <c r="G499">
        <v>18000</v>
      </c>
      <c r="H499">
        <f>Table1[[#This Row],[Qty]]*Table1[[#This Row],[SellingPrice]]</f>
        <v>33000</v>
      </c>
      <c r="I499">
        <f>Table1[[#This Row],[Qty]]*Table1[[#This Row],[CostPrice]]</f>
        <v>18000</v>
      </c>
      <c r="J499">
        <v>14895</v>
      </c>
      <c r="K499">
        <v>104.99999999999999</v>
      </c>
      <c r="L499" t="s">
        <v>13</v>
      </c>
      <c r="M499" t="s">
        <v>27</v>
      </c>
      <c r="N499">
        <f>MONTH(Table1[[#This Row],[SaleDate]])</f>
        <v>3</v>
      </c>
      <c r="O499" t="str">
        <f>TEXT(Table1[[#This Row],[SaleDate]],"MMM")</f>
        <v>Mar</v>
      </c>
    </row>
    <row r="500" spans="1:15">
      <c r="A500" s="1">
        <v>44989</v>
      </c>
      <c r="B500" t="s">
        <v>25</v>
      </c>
      <c r="C500" t="s">
        <v>21</v>
      </c>
      <c r="D500">
        <v>1</v>
      </c>
      <c r="E500" t="s">
        <v>9</v>
      </c>
      <c r="F500">
        <v>60000</v>
      </c>
      <c r="G500">
        <v>31000</v>
      </c>
      <c r="H500">
        <f>Table1[[#This Row],[Qty]]*Table1[[#This Row],[SellingPrice]]</f>
        <v>60000</v>
      </c>
      <c r="I500">
        <f>Table1[[#This Row],[Qty]]*Table1[[#This Row],[CostPrice]]</f>
        <v>31000</v>
      </c>
      <c r="J500">
        <v>28797</v>
      </c>
      <c r="K500">
        <v>202.99999999999997</v>
      </c>
      <c r="L500" t="s">
        <v>13</v>
      </c>
      <c r="M500" t="s">
        <v>30</v>
      </c>
      <c r="N500">
        <f>MONTH(Table1[[#This Row],[SaleDate]])</f>
        <v>3</v>
      </c>
      <c r="O500" t="str">
        <f>TEXT(Table1[[#This Row],[SaleDate]],"MMM")</f>
        <v>Mar</v>
      </c>
    </row>
    <row r="501" spans="1:15">
      <c r="A501" s="1">
        <v>44989</v>
      </c>
      <c r="B501" t="s">
        <v>25</v>
      </c>
      <c r="C501" t="s">
        <v>21</v>
      </c>
      <c r="D501">
        <v>1</v>
      </c>
      <c r="E501" t="s">
        <v>10</v>
      </c>
      <c r="F501">
        <v>89000</v>
      </c>
      <c r="G501">
        <v>65000</v>
      </c>
      <c r="H501">
        <f>Table1[[#This Row],[Qty]]*Table1[[#This Row],[SellingPrice]]</f>
        <v>89000</v>
      </c>
      <c r="I501">
        <f>Table1[[#This Row],[Qty]]*Table1[[#This Row],[CostPrice]]</f>
        <v>65000</v>
      </c>
      <c r="J501">
        <v>23832</v>
      </c>
      <c r="K501">
        <v>167.99999999999997</v>
      </c>
      <c r="L501" t="s">
        <v>13</v>
      </c>
      <c r="M501" t="s">
        <v>30</v>
      </c>
      <c r="N501">
        <f>MONTH(Table1[[#This Row],[SaleDate]])</f>
        <v>3</v>
      </c>
      <c r="O501" t="str">
        <f>TEXT(Table1[[#This Row],[SaleDate]],"MMM")</f>
        <v>Mar</v>
      </c>
    </row>
    <row r="502" spans="1:15">
      <c r="A502" s="1">
        <v>44990</v>
      </c>
      <c r="B502" t="s">
        <v>23</v>
      </c>
      <c r="C502" t="s">
        <v>19</v>
      </c>
      <c r="D502">
        <v>2</v>
      </c>
      <c r="E502" t="s">
        <v>7</v>
      </c>
      <c r="F502">
        <v>33000</v>
      </c>
      <c r="G502">
        <v>18000</v>
      </c>
      <c r="H502">
        <f>Table1[[#This Row],[Qty]]*Table1[[#This Row],[SellingPrice]]</f>
        <v>66000</v>
      </c>
      <c r="I502">
        <f>Table1[[#This Row],[Qty]]*Table1[[#This Row],[CostPrice]]</f>
        <v>36000</v>
      </c>
      <c r="J502">
        <v>29790</v>
      </c>
      <c r="K502">
        <v>209.99999999999997</v>
      </c>
      <c r="L502" t="s">
        <v>8</v>
      </c>
      <c r="M502" t="s">
        <v>29</v>
      </c>
      <c r="N502">
        <f>MONTH(Table1[[#This Row],[SaleDate]])</f>
        <v>3</v>
      </c>
      <c r="O502" t="str">
        <f>TEXT(Table1[[#This Row],[SaleDate]],"MMM")</f>
        <v>Mar</v>
      </c>
    </row>
    <row r="503" spans="1:15">
      <c r="A503" s="1">
        <v>44990</v>
      </c>
      <c r="B503" t="s">
        <v>23</v>
      </c>
      <c r="C503" t="s">
        <v>19</v>
      </c>
      <c r="D503">
        <v>2</v>
      </c>
      <c r="E503" t="s">
        <v>9</v>
      </c>
      <c r="F503">
        <v>60000</v>
      </c>
      <c r="G503">
        <v>31000</v>
      </c>
      <c r="H503">
        <f>Table1[[#This Row],[Qty]]*Table1[[#This Row],[SellingPrice]]</f>
        <v>120000</v>
      </c>
      <c r="I503">
        <f>Table1[[#This Row],[Qty]]*Table1[[#This Row],[CostPrice]]</f>
        <v>62000</v>
      </c>
      <c r="J503">
        <v>57594</v>
      </c>
      <c r="K503">
        <v>405.99999999999994</v>
      </c>
      <c r="L503" t="s">
        <v>8</v>
      </c>
      <c r="M503" t="s">
        <v>27</v>
      </c>
      <c r="N503">
        <f>MONTH(Table1[[#This Row],[SaleDate]])</f>
        <v>3</v>
      </c>
      <c r="O503" t="str">
        <f>TEXT(Table1[[#This Row],[SaleDate]],"MMM")</f>
        <v>Mar</v>
      </c>
    </row>
    <row r="504" spans="1:15">
      <c r="A504" s="1">
        <v>44990</v>
      </c>
      <c r="B504" t="s">
        <v>23</v>
      </c>
      <c r="C504" t="s">
        <v>19</v>
      </c>
      <c r="D504">
        <v>2</v>
      </c>
      <c r="E504" t="s">
        <v>10</v>
      </c>
      <c r="F504">
        <v>89000</v>
      </c>
      <c r="G504">
        <v>65000</v>
      </c>
      <c r="H504">
        <f>Table1[[#This Row],[Qty]]*Table1[[#This Row],[SellingPrice]]</f>
        <v>178000</v>
      </c>
      <c r="I504">
        <f>Table1[[#This Row],[Qty]]*Table1[[#This Row],[CostPrice]]</f>
        <v>130000</v>
      </c>
      <c r="J504">
        <v>47664</v>
      </c>
      <c r="K504">
        <v>335.99999999999994</v>
      </c>
      <c r="L504" t="s">
        <v>8</v>
      </c>
      <c r="M504" t="s">
        <v>30</v>
      </c>
      <c r="N504">
        <f>MONTH(Table1[[#This Row],[SaleDate]])</f>
        <v>3</v>
      </c>
      <c r="O504" t="str">
        <f>TEXT(Table1[[#This Row],[SaleDate]],"MMM")</f>
        <v>Mar</v>
      </c>
    </row>
    <row r="505" spans="1:15">
      <c r="A505" s="1">
        <v>44990</v>
      </c>
      <c r="B505" t="s">
        <v>26</v>
      </c>
      <c r="C505" t="s">
        <v>20</v>
      </c>
      <c r="D505">
        <v>2</v>
      </c>
      <c r="E505" t="s">
        <v>7</v>
      </c>
      <c r="F505">
        <v>33000</v>
      </c>
      <c r="G505">
        <v>18000</v>
      </c>
      <c r="H505">
        <f>Table1[[#This Row],[Qty]]*Table1[[#This Row],[SellingPrice]]</f>
        <v>66000</v>
      </c>
      <c r="I505">
        <f>Table1[[#This Row],[Qty]]*Table1[[#This Row],[CostPrice]]</f>
        <v>36000</v>
      </c>
      <c r="J505">
        <v>29790</v>
      </c>
      <c r="K505">
        <v>209.99999999999997</v>
      </c>
      <c r="L505" t="s">
        <v>11</v>
      </c>
      <c r="M505" t="s">
        <v>29</v>
      </c>
      <c r="N505">
        <f>MONTH(Table1[[#This Row],[SaleDate]])</f>
        <v>3</v>
      </c>
      <c r="O505" t="str">
        <f>TEXT(Table1[[#This Row],[SaleDate]],"MMM")</f>
        <v>Mar</v>
      </c>
    </row>
    <row r="506" spans="1:15">
      <c r="A506" s="1">
        <v>44990</v>
      </c>
      <c r="B506" t="s">
        <v>24</v>
      </c>
      <c r="C506" t="s">
        <v>22</v>
      </c>
      <c r="D506">
        <v>2</v>
      </c>
      <c r="E506" t="s">
        <v>7</v>
      </c>
      <c r="F506">
        <v>33000</v>
      </c>
      <c r="G506">
        <v>18000</v>
      </c>
      <c r="H506">
        <f>Table1[[#This Row],[Qty]]*Table1[[#This Row],[SellingPrice]]</f>
        <v>66000</v>
      </c>
      <c r="I506">
        <f>Table1[[#This Row],[Qty]]*Table1[[#This Row],[CostPrice]]</f>
        <v>36000</v>
      </c>
      <c r="J506">
        <v>29790</v>
      </c>
      <c r="K506">
        <v>209.99999999999997</v>
      </c>
      <c r="L506" t="s">
        <v>12</v>
      </c>
      <c r="M506" t="s">
        <v>30</v>
      </c>
      <c r="N506">
        <f>MONTH(Table1[[#This Row],[SaleDate]])</f>
        <v>3</v>
      </c>
      <c r="O506" t="str">
        <f>TEXT(Table1[[#This Row],[SaleDate]],"MMM")</f>
        <v>Mar</v>
      </c>
    </row>
    <row r="507" spans="1:15">
      <c r="A507" s="1">
        <v>44990</v>
      </c>
      <c r="B507" t="s">
        <v>24</v>
      </c>
      <c r="C507" t="s">
        <v>22</v>
      </c>
      <c r="D507">
        <v>2</v>
      </c>
      <c r="E507" t="s">
        <v>9</v>
      </c>
      <c r="F507">
        <v>60000</v>
      </c>
      <c r="G507">
        <v>31000</v>
      </c>
      <c r="H507">
        <f>Table1[[#This Row],[Qty]]*Table1[[#This Row],[SellingPrice]]</f>
        <v>120000</v>
      </c>
      <c r="I507">
        <f>Table1[[#This Row],[Qty]]*Table1[[#This Row],[CostPrice]]</f>
        <v>62000</v>
      </c>
      <c r="J507">
        <v>57594</v>
      </c>
      <c r="K507">
        <v>405.99999999999994</v>
      </c>
      <c r="L507" t="s">
        <v>12</v>
      </c>
      <c r="M507" t="s">
        <v>29</v>
      </c>
      <c r="N507">
        <f>MONTH(Table1[[#This Row],[SaleDate]])</f>
        <v>3</v>
      </c>
      <c r="O507" t="str">
        <f>TEXT(Table1[[#This Row],[SaleDate]],"MMM")</f>
        <v>Mar</v>
      </c>
    </row>
    <row r="508" spans="1:15">
      <c r="A508" s="1">
        <v>44990</v>
      </c>
      <c r="B508" t="s">
        <v>24</v>
      </c>
      <c r="C508" t="s">
        <v>22</v>
      </c>
      <c r="D508">
        <v>2</v>
      </c>
      <c r="E508" t="s">
        <v>10</v>
      </c>
      <c r="F508">
        <v>89000</v>
      </c>
      <c r="G508">
        <v>65000</v>
      </c>
      <c r="H508">
        <f>Table1[[#This Row],[Qty]]*Table1[[#This Row],[SellingPrice]]</f>
        <v>178000</v>
      </c>
      <c r="I508">
        <f>Table1[[#This Row],[Qty]]*Table1[[#This Row],[CostPrice]]</f>
        <v>130000</v>
      </c>
      <c r="J508">
        <v>47664</v>
      </c>
      <c r="K508">
        <v>335.99999999999994</v>
      </c>
      <c r="L508" t="s">
        <v>12</v>
      </c>
      <c r="M508" t="s">
        <v>30</v>
      </c>
      <c r="N508">
        <f>MONTH(Table1[[#This Row],[SaleDate]])</f>
        <v>3</v>
      </c>
      <c r="O508" t="str">
        <f>TEXT(Table1[[#This Row],[SaleDate]],"MMM")</f>
        <v>Mar</v>
      </c>
    </row>
    <row r="509" spans="1:15">
      <c r="A509" s="1">
        <v>44990</v>
      </c>
      <c r="B509" t="s">
        <v>25</v>
      </c>
      <c r="C509" t="s">
        <v>21</v>
      </c>
      <c r="D509">
        <v>2</v>
      </c>
      <c r="E509" t="s">
        <v>7</v>
      </c>
      <c r="F509">
        <v>33000</v>
      </c>
      <c r="G509">
        <v>18000</v>
      </c>
      <c r="H509">
        <f>Table1[[#This Row],[Qty]]*Table1[[#This Row],[SellingPrice]]</f>
        <v>66000</v>
      </c>
      <c r="I509">
        <f>Table1[[#This Row],[Qty]]*Table1[[#This Row],[CostPrice]]</f>
        <v>36000</v>
      </c>
      <c r="J509">
        <v>29790</v>
      </c>
      <c r="K509">
        <v>209.99999999999997</v>
      </c>
      <c r="L509" t="s">
        <v>13</v>
      </c>
      <c r="M509" t="s">
        <v>27</v>
      </c>
      <c r="N509">
        <f>MONTH(Table1[[#This Row],[SaleDate]])</f>
        <v>3</v>
      </c>
      <c r="O509" t="str">
        <f>TEXT(Table1[[#This Row],[SaleDate]],"MMM")</f>
        <v>Mar</v>
      </c>
    </row>
    <row r="510" spans="1:15">
      <c r="A510" s="1">
        <v>44990</v>
      </c>
      <c r="B510" t="s">
        <v>25</v>
      </c>
      <c r="C510" t="s">
        <v>21</v>
      </c>
      <c r="D510">
        <v>2</v>
      </c>
      <c r="E510" t="s">
        <v>9</v>
      </c>
      <c r="F510">
        <v>60000</v>
      </c>
      <c r="G510">
        <v>31000</v>
      </c>
      <c r="H510">
        <f>Table1[[#This Row],[Qty]]*Table1[[#This Row],[SellingPrice]]</f>
        <v>120000</v>
      </c>
      <c r="I510">
        <f>Table1[[#This Row],[Qty]]*Table1[[#This Row],[CostPrice]]</f>
        <v>62000</v>
      </c>
      <c r="J510">
        <v>57594</v>
      </c>
      <c r="K510">
        <v>405.99999999999994</v>
      </c>
      <c r="L510" t="s">
        <v>13</v>
      </c>
      <c r="M510" t="s">
        <v>30</v>
      </c>
      <c r="N510">
        <f>MONTH(Table1[[#This Row],[SaleDate]])</f>
        <v>3</v>
      </c>
      <c r="O510" t="str">
        <f>TEXT(Table1[[#This Row],[SaleDate]],"MMM")</f>
        <v>Mar</v>
      </c>
    </row>
    <row r="511" spans="1:15">
      <c r="A511" s="1">
        <v>44990</v>
      </c>
      <c r="B511" t="s">
        <v>25</v>
      </c>
      <c r="C511" t="s">
        <v>21</v>
      </c>
      <c r="D511">
        <v>2</v>
      </c>
      <c r="E511" t="s">
        <v>10</v>
      </c>
      <c r="F511">
        <v>89000</v>
      </c>
      <c r="G511">
        <v>65000</v>
      </c>
      <c r="H511">
        <f>Table1[[#This Row],[Qty]]*Table1[[#This Row],[SellingPrice]]</f>
        <v>178000</v>
      </c>
      <c r="I511">
        <f>Table1[[#This Row],[Qty]]*Table1[[#This Row],[CostPrice]]</f>
        <v>130000</v>
      </c>
      <c r="J511">
        <v>47664</v>
      </c>
      <c r="K511">
        <v>335.99999999999994</v>
      </c>
      <c r="L511" t="s">
        <v>13</v>
      </c>
      <c r="M511" t="s">
        <v>29</v>
      </c>
      <c r="N511">
        <f>MONTH(Table1[[#This Row],[SaleDate]])</f>
        <v>3</v>
      </c>
      <c r="O511" t="str">
        <f>TEXT(Table1[[#This Row],[SaleDate]],"MMM")</f>
        <v>Mar</v>
      </c>
    </row>
    <row r="512" spans="1:15">
      <c r="A512" s="1">
        <v>44991</v>
      </c>
      <c r="B512" t="s">
        <v>23</v>
      </c>
      <c r="C512" t="s">
        <v>19</v>
      </c>
      <c r="D512">
        <v>2</v>
      </c>
      <c r="E512" t="s">
        <v>7</v>
      </c>
      <c r="F512">
        <v>33000</v>
      </c>
      <c r="G512">
        <v>18000</v>
      </c>
      <c r="H512">
        <f>Table1[[#This Row],[Qty]]*Table1[[#This Row],[SellingPrice]]</f>
        <v>66000</v>
      </c>
      <c r="I512">
        <f>Table1[[#This Row],[Qty]]*Table1[[#This Row],[CostPrice]]</f>
        <v>36000</v>
      </c>
      <c r="J512">
        <v>29790</v>
      </c>
      <c r="K512">
        <v>209.99999999999997</v>
      </c>
      <c r="L512" t="s">
        <v>8</v>
      </c>
      <c r="M512" t="s">
        <v>29</v>
      </c>
      <c r="N512">
        <f>MONTH(Table1[[#This Row],[SaleDate]])</f>
        <v>3</v>
      </c>
      <c r="O512" t="str">
        <f>TEXT(Table1[[#This Row],[SaleDate]],"MMM")</f>
        <v>Mar</v>
      </c>
    </row>
    <row r="513" spans="1:15">
      <c r="A513" s="1">
        <v>44991</v>
      </c>
      <c r="B513" t="s">
        <v>23</v>
      </c>
      <c r="C513" t="s">
        <v>19</v>
      </c>
      <c r="D513">
        <v>2</v>
      </c>
      <c r="E513" t="s">
        <v>9</v>
      </c>
      <c r="F513">
        <v>60000</v>
      </c>
      <c r="G513">
        <v>31000</v>
      </c>
      <c r="H513">
        <f>Table1[[#This Row],[Qty]]*Table1[[#This Row],[SellingPrice]]</f>
        <v>120000</v>
      </c>
      <c r="I513">
        <f>Table1[[#This Row],[Qty]]*Table1[[#This Row],[CostPrice]]</f>
        <v>62000</v>
      </c>
      <c r="J513">
        <v>57594</v>
      </c>
      <c r="K513">
        <v>405.99999999999994</v>
      </c>
      <c r="L513" t="s">
        <v>8</v>
      </c>
      <c r="M513" t="s">
        <v>30</v>
      </c>
      <c r="N513">
        <f>MONTH(Table1[[#This Row],[SaleDate]])</f>
        <v>3</v>
      </c>
      <c r="O513" t="str">
        <f>TEXT(Table1[[#This Row],[SaleDate]],"MMM")</f>
        <v>Mar</v>
      </c>
    </row>
    <row r="514" spans="1:15">
      <c r="A514" s="1">
        <v>44991</v>
      </c>
      <c r="B514" t="s">
        <v>23</v>
      </c>
      <c r="C514" t="s">
        <v>19</v>
      </c>
      <c r="D514">
        <v>2</v>
      </c>
      <c r="E514" t="s">
        <v>10</v>
      </c>
      <c r="F514">
        <v>89000</v>
      </c>
      <c r="G514">
        <v>65000</v>
      </c>
      <c r="H514">
        <f>Table1[[#This Row],[Qty]]*Table1[[#This Row],[SellingPrice]]</f>
        <v>178000</v>
      </c>
      <c r="I514">
        <f>Table1[[#This Row],[Qty]]*Table1[[#This Row],[CostPrice]]</f>
        <v>130000</v>
      </c>
      <c r="J514">
        <v>47664</v>
      </c>
      <c r="K514">
        <v>335.99999999999994</v>
      </c>
      <c r="L514" t="s">
        <v>8</v>
      </c>
      <c r="M514" t="s">
        <v>30</v>
      </c>
      <c r="N514">
        <f>MONTH(Table1[[#This Row],[SaleDate]])</f>
        <v>3</v>
      </c>
      <c r="O514" t="str">
        <f>TEXT(Table1[[#This Row],[SaleDate]],"MMM")</f>
        <v>Mar</v>
      </c>
    </row>
    <row r="515" spans="1:15">
      <c r="A515" s="1">
        <v>44991</v>
      </c>
      <c r="B515" t="s">
        <v>26</v>
      </c>
      <c r="C515" t="s">
        <v>20</v>
      </c>
      <c r="D515">
        <v>2</v>
      </c>
      <c r="E515" t="s">
        <v>7</v>
      </c>
      <c r="F515">
        <v>33000</v>
      </c>
      <c r="G515">
        <v>18000</v>
      </c>
      <c r="H515">
        <f>Table1[[#This Row],[Qty]]*Table1[[#This Row],[SellingPrice]]</f>
        <v>66000</v>
      </c>
      <c r="I515">
        <f>Table1[[#This Row],[Qty]]*Table1[[#This Row],[CostPrice]]</f>
        <v>36000</v>
      </c>
      <c r="J515">
        <v>29790</v>
      </c>
      <c r="K515">
        <v>209.99999999999997</v>
      </c>
      <c r="L515" t="s">
        <v>11</v>
      </c>
      <c r="M515" t="s">
        <v>28</v>
      </c>
      <c r="N515">
        <f>MONTH(Table1[[#This Row],[SaleDate]])</f>
        <v>3</v>
      </c>
      <c r="O515" t="str">
        <f>TEXT(Table1[[#This Row],[SaleDate]],"MMM")</f>
        <v>Mar</v>
      </c>
    </row>
    <row r="516" spans="1:15">
      <c r="A516" s="1">
        <v>44991</v>
      </c>
      <c r="B516" t="s">
        <v>24</v>
      </c>
      <c r="C516" t="s">
        <v>22</v>
      </c>
      <c r="D516">
        <v>2</v>
      </c>
      <c r="E516" t="s">
        <v>7</v>
      </c>
      <c r="F516">
        <v>33000</v>
      </c>
      <c r="G516">
        <v>18000</v>
      </c>
      <c r="H516">
        <f>Table1[[#This Row],[Qty]]*Table1[[#This Row],[SellingPrice]]</f>
        <v>66000</v>
      </c>
      <c r="I516">
        <f>Table1[[#This Row],[Qty]]*Table1[[#This Row],[CostPrice]]</f>
        <v>36000</v>
      </c>
      <c r="J516">
        <v>29790</v>
      </c>
      <c r="K516">
        <v>209.99999999999997</v>
      </c>
      <c r="L516" t="s">
        <v>12</v>
      </c>
      <c r="M516" t="s">
        <v>30</v>
      </c>
      <c r="N516">
        <f>MONTH(Table1[[#This Row],[SaleDate]])</f>
        <v>3</v>
      </c>
      <c r="O516" t="str">
        <f>TEXT(Table1[[#This Row],[SaleDate]],"MMM")</f>
        <v>Mar</v>
      </c>
    </row>
    <row r="517" spans="1:15">
      <c r="A517" s="1">
        <v>44991</v>
      </c>
      <c r="B517" t="s">
        <v>24</v>
      </c>
      <c r="C517" t="s">
        <v>22</v>
      </c>
      <c r="D517">
        <v>2</v>
      </c>
      <c r="E517" t="s">
        <v>9</v>
      </c>
      <c r="F517">
        <v>60000</v>
      </c>
      <c r="G517">
        <v>31000</v>
      </c>
      <c r="H517">
        <f>Table1[[#This Row],[Qty]]*Table1[[#This Row],[SellingPrice]]</f>
        <v>120000</v>
      </c>
      <c r="I517">
        <f>Table1[[#This Row],[Qty]]*Table1[[#This Row],[CostPrice]]</f>
        <v>62000</v>
      </c>
      <c r="J517">
        <v>57594</v>
      </c>
      <c r="K517">
        <v>405.99999999999994</v>
      </c>
      <c r="L517" t="s">
        <v>12</v>
      </c>
      <c r="M517" t="s">
        <v>30</v>
      </c>
      <c r="N517">
        <f>MONTH(Table1[[#This Row],[SaleDate]])</f>
        <v>3</v>
      </c>
      <c r="O517" t="str">
        <f>TEXT(Table1[[#This Row],[SaleDate]],"MMM")</f>
        <v>Mar</v>
      </c>
    </row>
    <row r="518" spans="1:15">
      <c r="A518" s="1">
        <v>44991</v>
      </c>
      <c r="B518" t="s">
        <v>24</v>
      </c>
      <c r="C518" t="s">
        <v>22</v>
      </c>
      <c r="D518">
        <v>2</v>
      </c>
      <c r="E518" t="s">
        <v>10</v>
      </c>
      <c r="F518">
        <v>89000</v>
      </c>
      <c r="G518">
        <v>65000</v>
      </c>
      <c r="H518">
        <f>Table1[[#This Row],[Qty]]*Table1[[#This Row],[SellingPrice]]</f>
        <v>178000</v>
      </c>
      <c r="I518">
        <f>Table1[[#This Row],[Qty]]*Table1[[#This Row],[CostPrice]]</f>
        <v>130000</v>
      </c>
      <c r="J518">
        <v>47664</v>
      </c>
      <c r="K518">
        <v>335.99999999999994</v>
      </c>
      <c r="L518" t="s">
        <v>12</v>
      </c>
      <c r="M518" t="s">
        <v>29</v>
      </c>
      <c r="N518">
        <f>MONTH(Table1[[#This Row],[SaleDate]])</f>
        <v>3</v>
      </c>
      <c r="O518" t="str">
        <f>TEXT(Table1[[#This Row],[SaleDate]],"MMM")</f>
        <v>Mar</v>
      </c>
    </row>
    <row r="519" spans="1:15">
      <c r="A519" s="1">
        <v>44991</v>
      </c>
      <c r="B519" t="s">
        <v>25</v>
      </c>
      <c r="C519" t="s">
        <v>21</v>
      </c>
      <c r="D519">
        <v>2</v>
      </c>
      <c r="E519" t="s">
        <v>7</v>
      </c>
      <c r="F519">
        <v>33000</v>
      </c>
      <c r="G519">
        <v>18000</v>
      </c>
      <c r="H519">
        <f>Table1[[#This Row],[Qty]]*Table1[[#This Row],[SellingPrice]]</f>
        <v>66000</v>
      </c>
      <c r="I519">
        <f>Table1[[#This Row],[Qty]]*Table1[[#This Row],[CostPrice]]</f>
        <v>36000</v>
      </c>
      <c r="J519">
        <v>29790</v>
      </c>
      <c r="K519">
        <v>209.99999999999997</v>
      </c>
      <c r="L519" t="s">
        <v>13</v>
      </c>
      <c r="M519" t="s">
        <v>30</v>
      </c>
      <c r="N519">
        <f>MONTH(Table1[[#This Row],[SaleDate]])</f>
        <v>3</v>
      </c>
      <c r="O519" t="str">
        <f>TEXT(Table1[[#This Row],[SaleDate]],"MMM")</f>
        <v>Mar</v>
      </c>
    </row>
    <row r="520" spans="1:15">
      <c r="A520" s="1">
        <v>44991</v>
      </c>
      <c r="B520" t="s">
        <v>25</v>
      </c>
      <c r="C520" t="s">
        <v>21</v>
      </c>
      <c r="D520">
        <v>2</v>
      </c>
      <c r="E520" t="s">
        <v>9</v>
      </c>
      <c r="F520">
        <v>60000</v>
      </c>
      <c r="G520">
        <v>31000</v>
      </c>
      <c r="H520">
        <f>Table1[[#This Row],[Qty]]*Table1[[#This Row],[SellingPrice]]</f>
        <v>120000</v>
      </c>
      <c r="I520">
        <f>Table1[[#This Row],[Qty]]*Table1[[#This Row],[CostPrice]]</f>
        <v>62000</v>
      </c>
      <c r="J520">
        <v>57594</v>
      </c>
      <c r="K520">
        <v>405.99999999999994</v>
      </c>
      <c r="L520" t="s">
        <v>13</v>
      </c>
      <c r="M520" t="s">
        <v>29</v>
      </c>
      <c r="N520">
        <f>MONTH(Table1[[#This Row],[SaleDate]])</f>
        <v>3</v>
      </c>
      <c r="O520" t="str">
        <f>TEXT(Table1[[#This Row],[SaleDate]],"MMM")</f>
        <v>Mar</v>
      </c>
    </row>
    <row r="521" spans="1:15">
      <c r="A521" s="1">
        <v>44992</v>
      </c>
      <c r="B521" t="s">
        <v>23</v>
      </c>
      <c r="C521" t="s">
        <v>19</v>
      </c>
      <c r="D521">
        <v>2</v>
      </c>
      <c r="E521" t="s">
        <v>7</v>
      </c>
      <c r="F521">
        <v>33000</v>
      </c>
      <c r="G521">
        <v>18000</v>
      </c>
      <c r="H521">
        <f>Table1[[#This Row],[Qty]]*Table1[[#This Row],[SellingPrice]]</f>
        <v>66000</v>
      </c>
      <c r="I521">
        <f>Table1[[#This Row],[Qty]]*Table1[[#This Row],[CostPrice]]</f>
        <v>36000</v>
      </c>
      <c r="J521">
        <v>29790</v>
      </c>
      <c r="K521">
        <v>209.99999999999997</v>
      </c>
      <c r="L521" t="s">
        <v>8</v>
      </c>
      <c r="M521" t="s">
        <v>28</v>
      </c>
      <c r="N521">
        <f>MONTH(Table1[[#This Row],[SaleDate]])</f>
        <v>3</v>
      </c>
      <c r="O521" t="str">
        <f>TEXT(Table1[[#This Row],[SaleDate]],"MMM")</f>
        <v>Mar</v>
      </c>
    </row>
    <row r="522" spans="1:15">
      <c r="A522" s="1">
        <v>44992</v>
      </c>
      <c r="B522" t="s">
        <v>23</v>
      </c>
      <c r="C522" t="s">
        <v>19</v>
      </c>
      <c r="D522">
        <v>2</v>
      </c>
      <c r="E522" t="s">
        <v>9</v>
      </c>
      <c r="F522">
        <v>60000</v>
      </c>
      <c r="G522">
        <v>31000</v>
      </c>
      <c r="H522">
        <f>Table1[[#This Row],[Qty]]*Table1[[#This Row],[SellingPrice]]</f>
        <v>120000</v>
      </c>
      <c r="I522">
        <f>Table1[[#This Row],[Qty]]*Table1[[#This Row],[CostPrice]]</f>
        <v>62000</v>
      </c>
      <c r="J522">
        <v>57594</v>
      </c>
      <c r="K522">
        <v>405.99999999999994</v>
      </c>
      <c r="L522" t="s">
        <v>8</v>
      </c>
      <c r="M522" t="s">
        <v>30</v>
      </c>
      <c r="N522">
        <f>MONTH(Table1[[#This Row],[SaleDate]])</f>
        <v>3</v>
      </c>
      <c r="O522" t="str">
        <f>TEXT(Table1[[#This Row],[SaleDate]],"MMM")</f>
        <v>Mar</v>
      </c>
    </row>
    <row r="523" spans="1:15">
      <c r="A523" s="1">
        <v>44992</v>
      </c>
      <c r="B523" t="s">
        <v>23</v>
      </c>
      <c r="C523" t="s">
        <v>19</v>
      </c>
      <c r="D523">
        <v>2</v>
      </c>
      <c r="E523" t="s">
        <v>10</v>
      </c>
      <c r="F523">
        <v>89000</v>
      </c>
      <c r="G523">
        <v>65000</v>
      </c>
      <c r="H523">
        <f>Table1[[#This Row],[Qty]]*Table1[[#This Row],[SellingPrice]]</f>
        <v>178000</v>
      </c>
      <c r="I523">
        <f>Table1[[#This Row],[Qty]]*Table1[[#This Row],[CostPrice]]</f>
        <v>130000</v>
      </c>
      <c r="J523">
        <v>47664</v>
      </c>
      <c r="K523">
        <v>335.99999999999994</v>
      </c>
      <c r="L523" t="s">
        <v>8</v>
      </c>
      <c r="M523" t="s">
        <v>27</v>
      </c>
      <c r="N523">
        <f>MONTH(Table1[[#This Row],[SaleDate]])</f>
        <v>3</v>
      </c>
      <c r="O523" t="str">
        <f>TEXT(Table1[[#This Row],[SaleDate]],"MMM")</f>
        <v>Mar</v>
      </c>
    </row>
    <row r="524" spans="1:15">
      <c r="A524" s="1">
        <v>44992</v>
      </c>
      <c r="B524" t="s">
        <v>26</v>
      </c>
      <c r="C524" t="s">
        <v>20</v>
      </c>
      <c r="D524">
        <v>2</v>
      </c>
      <c r="E524" t="s">
        <v>7</v>
      </c>
      <c r="F524">
        <v>33000</v>
      </c>
      <c r="G524">
        <v>18000</v>
      </c>
      <c r="H524">
        <f>Table1[[#This Row],[Qty]]*Table1[[#This Row],[SellingPrice]]</f>
        <v>66000</v>
      </c>
      <c r="I524">
        <f>Table1[[#This Row],[Qty]]*Table1[[#This Row],[CostPrice]]</f>
        <v>36000</v>
      </c>
      <c r="J524">
        <v>29790</v>
      </c>
      <c r="K524">
        <v>209.99999999999997</v>
      </c>
      <c r="L524" t="s">
        <v>11</v>
      </c>
      <c r="M524" t="s">
        <v>30</v>
      </c>
      <c r="N524">
        <f>MONTH(Table1[[#This Row],[SaleDate]])</f>
        <v>3</v>
      </c>
      <c r="O524" t="str">
        <f>TEXT(Table1[[#This Row],[SaleDate]],"MMM")</f>
        <v>Mar</v>
      </c>
    </row>
    <row r="525" spans="1:15">
      <c r="A525" s="1">
        <v>44992</v>
      </c>
      <c r="B525" t="s">
        <v>24</v>
      </c>
      <c r="C525" t="s">
        <v>22</v>
      </c>
      <c r="D525">
        <v>2</v>
      </c>
      <c r="E525" t="s">
        <v>7</v>
      </c>
      <c r="F525">
        <v>33000</v>
      </c>
      <c r="G525">
        <v>18000</v>
      </c>
      <c r="H525">
        <f>Table1[[#This Row],[Qty]]*Table1[[#This Row],[SellingPrice]]</f>
        <v>66000</v>
      </c>
      <c r="I525">
        <f>Table1[[#This Row],[Qty]]*Table1[[#This Row],[CostPrice]]</f>
        <v>36000</v>
      </c>
      <c r="J525">
        <v>29790</v>
      </c>
      <c r="K525">
        <v>209.99999999999997</v>
      </c>
      <c r="L525" t="s">
        <v>12</v>
      </c>
      <c r="M525" t="s">
        <v>28</v>
      </c>
      <c r="N525">
        <f>MONTH(Table1[[#This Row],[SaleDate]])</f>
        <v>3</v>
      </c>
      <c r="O525" t="str">
        <f>TEXT(Table1[[#This Row],[SaleDate]],"MMM")</f>
        <v>Mar</v>
      </c>
    </row>
    <row r="526" spans="1:15">
      <c r="A526" s="1">
        <v>44992</v>
      </c>
      <c r="B526" t="s">
        <v>24</v>
      </c>
      <c r="C526" t="s">
        <v>22</v>
      </c>
      <c r="D526">
        <v>2</v>
      </c>
      <c r="E526" t="s">
        <v>9</v>
      </c>
      <c r="F526">
        <v>60000</v>
      </c>
      <c r="G526">
        <v>31000</v>
      </c>
      <c r="H526">
        <f>Table1[[#This Row],[Qty]]*Table1[[#This Row],[SellingPrice]]</f>
        <v>120000</v>
      </c>
      <c r="I526">
        <f>Table1[[#This Row],[Qty]]*Table1[[#This Row],[CostPrice]]</f>
        <v>62000</v>
      </c>
      <c r="J526">
        <v>57594</v>
      </c>
      <c r="K526">
        <v>405.99999999999994</v>
      </c>
      <c r="L526" t="s">
        <v>12</v>
      </c>
      <c r="M526" t="s">
        <v>27</v>
      </c>
      <c r="N526">
        <f>MONTH(Table1[[#This Row],[SaleDate]])</f>
        <v>3</v>
      </c>
      <c r="O526" t="str">
        <f>TEXT(Table1[[#This Row],[SaleDate]],"MMM")</f>
        <v>Mar</v>
      </c>
    </row>
    <row r="527" spans="1:15">
      <c r="A527" s="1">
        <v>44992</v>
      </c>
      <c r="B527" t="s">
        <v>24</v>
      </c>
      <c r="C527" t="s">
        <v>22</v>
      </c>
      <c r="D527">
        <v>2</v>
      </c>
      <c r="E527" t="s">
        <v>10</v>
      </c>
      <c r="F527">
        <v>89000</v>
      </c>
      <c r="G527">
        <v>65000</v>
      </c>
      <c r="H527">
        <f>Table1[[#This Row],[Qty]]*Table1[[#This Row],[SellingPrice]]</f>
        <v>178000</v>
      </c>
      <c r="I527">
        <f>Table1[[#This Row],[Qty]]*Table1[[#This Row],[CostPrice]]</f>
        <v>130000</v>
      </c>
      <c r="J527">
        <v>47664</v>
      </c>
      <c r="K527">
        <v>335.99999999999994</v>
      </c>
      <c r="L527" t="s">
        <v>12</v>
      </c>
      <c r="M527" t="s">
        <v>29</v>
      </c>
      <c r="N527">
        <f>MONTH(Table1[[#This Row],[SaleDate]])</f>
        <v>3</v>
      </c>
      <c r="O527" t="str">
        <f>TEXT(Table1[[#This Row],[SaleDate]],"MMM")</f>
        <v>Mar</v>
      </c>
    </row>
    <row r="528" spans="1:15">
      <c r="A528" s="1">
        <v>44992</v>
      </c>
      <c r="B528" t="s">
        <v>25</v>
      </c>
      <c r="C528" t="s">
        <v>21</v>
      </c>
      <c r="D528">
        <v>2</v>
      </c>
      <c r="E528" t="s">
        <v>7</v>
      </c>
      <c r="F528">
        <v>33000</v>
      </c>
      <c r="G528">
        <v>18000</v>
      </c>
      <c r="H528">
        <f>Table1[[#This Row],[Qty]]*Table1[[#This Row],[SellingPrice]]</f>
        <v>66000</v>
      </c>
      <c r="I528">
        <f>Table1[[#This Row],[Qty]]*Table1[[#This Row],[CostPrice]]</f>
        <v>36000</v>
      </c>
      <c r="J528">
        <v>29790</v>
      </c>
      <c r="K528">
        <v>209.99999999999997</v>
      </c>
      <c r="L528" t="s">
        <v>13</v>
      </c>
      <c r="M528" t="s">
        <v>30</v>
      </c>
      <c r="N528">
        <f>MONTH(Table1[[#This Row],[SaleDate]])</f>
        <v>3</v>
      </c>
      <c r="O528" t="str">
        <f>TEXT(Table1[[#This Row],[SaleDate]],"MMM")</f>
        <v>Mar</v>
      </c>
    </row>
    <row r="529" spans="1:15">
      <c r="A529" s="1">
        <v>44992</v>
      </c>
      <c r="B529" t="s">
        <v>25</v>
      </c>
      <c r="C529" t="s">
        <v>21</v>
      </c>
      <c r="D529">
        <v>2</v>
      </c>
      <c r="E529" t="s">
        <v>9</v>
      </c>
      <c r="F529">
        <v>60000</v>
      </c>
      <c r="G529">
        <v>31000</v>
      </c>
      <c r="H529">
        <f>Table1[[#This Row],[Qty]]*Table1[[#This Row],[SellingPrice]]</f>
        <v>120000</v>
      </c>
      <c r="I529">
        <f>Table1[[#This Row],[Qty]]*Table1[[#This Row],[CostPrice]]</f>
        <v>62000</v>
      </c>
      <c r="J529">
        <v>57594</v>
      </c>
      <c r="K529">
        <v>405.99999999999994</v>
      </c>
      <c r="L529" t="s">
        <v>13</v>
      </c>
      <c r="M529" t="s">
        <v>30</v>
      </c>
      <c r="N529">
        <f>MONTH(Table1[[#This Row],[SaleDate]])</f>
        <v>3</v>
      </c>
      <c r="O529" t="str">
        <f>TEXT(Table1[[#This Row],[SaleDate]],"MMM")</f>
        <v>Mar</v>
      </c>
    </row>
    <row r="530" spans="1:15">
      <c r="A530" s="1">
        <v>44993</v>
      </c>
      <c r="B530" t="s">
        <v>23</v>
      </c>
      <c r="C530" t="s">
        <v>19</v>
      </c>
      <c r="D530">
        <v>1</v>
      </c>
      <c r="E530" t="s">
        <v>7</v>
      </c>
      <c r="F530">
        <v>33000</v>
      </c>
      <c r="G530">
        <v>18000</v>
      </c>
      <c r="H530">
        <f>Table1[[#This Row],[Qty]]*Table1[[#This Row],[SellingPrice]]</f>
        <v>33000</v>
      </c>
      <c r="I530">
        <f>Table1[[#This Row],[Qty]]*Table1[[#This Row],[CostPrice]]</f>
        <v>18000</v>
      </c>
      <c r="J530">
        <v>14895</v>
      </c>
      <c r="K530">
        <v>104.99999999999999</v>
      </c>
      <c r="L530" t="s">
        <v>8</v>
      </c>
      <c r="M530" t="s">
        <v>30</v>
      </c>
      <c r="N530">
        <f>MONTH(Table1[[#This Row],[SaleDate]])</f>
        <v>3</v>
      </c>
      <c r="O530" t="str">
        <f>TEXT(Table1[[#This Row],[SaleDate]],"MMM")</f>
        <v>Mar</v>
      </c>
    </row>
    <row r="531" spans="1:15">
      <c r="A531" s="1">
        <v>44993</v>
      </c>
      <c r="B531" t="s">
        <v>23</v>
      </c>
      <c r="C531" t="s">
        <v>19</v>
      </c>
      <c r="D531">
        <v>1</v>
      </c>
      <c r="E531" t="s">
        <v>9</v>
      </c>
      <c r="F531">
        <v>60000</v>
      </c>
      <c r="G531">
        <v>31000</v>
      </c>
      <c r="H531">
        <f>Table1[[#This Row],[Qty]]*Table1[[#This Row],[SellingPrice]]</f>
        <v>60000</v>
      </c>
      <c r="I531">
        <f>Table1[[#This Row],[Qty]]*Table1[[#This Row],[CostPrice]]</f>
        <v>31000</v>
      </c>
      <c r="J531">
        <v>28797</v>
      </c>
      <c r="K531">
        <v>202.99999999999997</v>
      </c>
      <c r="L531" t="s">
        <v>8</v>
      </c>
      <c r="M531" t="s">
        <v>30</v>
      </c>
      <c r="N531">
        <f>MONTH(Table1[[#This Row],[SaleDate]])</f>
        <v>3</v>
      </c>
      <c r="O531" t="str">
        <f>TEXT(Table1[[#This Row],[SaleDate]],"MMM")</f>
        <v>Mar</v>
      </c>
    </row>
    <row r="532" spans="1:15">
      <c r="A532" s="1">
        <v>44993</v>
      </c>
      <c r="B532" t="s">
        <v>23</v>
      </c>
      <c r="C532" t="s">
        <v>19</v>
      </c>
      <c r="D532">
        <v>1</v>
      </c>
      <c r="E532" t="s">
        <v>10</v>
      </c>
      <c r="F532">
        <v>89000</v>
      </c>
      <c r="G532">
        <v>65000</v>
      </c>
      <c r="H532">
        <f>Table1[[#This Row],[Qty]]*Table1[[#This Row],[SellingPrice]]</f>
        <v>89000</v>
      </c>
      <c r="I532">
        <f>Table1[[#This Row],[Qty]]*Table1[[#This Row],[CostPrice]]</f>
        <v>65000</v>
      </c>
      <c r="J532">
        <v>23832</v>
      </c>
      <c r="K532">
        <v>167.99999999999997</v>
      </c>
      <c r="L532" t="s">
        <v>8</v>
      </c>
      <c r="M532" t="s">
        <v>27</v>
      </c>
      <c r="N532">
        <f>MONTH(Table1[[#This Row],[SaleDate]])</f>
        <v>3</v>
      </c>
      <c r="O532" t="str">
        <f>TEXT(Table1[[#This Row],[SaleDate]],"MMM")</f>
        <v>Mar</v>
      </c>
    </row>
    <row r="533" spans="1:15">
      <c r="A533" s="1">
        <v>44993</v>
      </c>
      <c r="B533" t="s">
        <v>26</v>
      </c>
      <c r="C533" t="s">
        <v>20</v>
      </c>
      <c r="D533">
        <v>1</v>
      </c>
      <c r="E533" t="s">
        <v>7</v>
      </c>
      <c r="F533">
        <v>33000</v>
      </c>
      <c r="G533">
        <v>18000</v>
      </c>
      <c r="H533">
        <f>Table1[[#This Row],[Qty]]*Table1[[#This Row],[SellingPrice]]</f>
        <v>33000</v>
      </c>
      <c r="I533">
        <f>Table1[[#This Row],[Qty]]*Table1[[#This Row],[CostPrice]]</f>
        <v>18000</v>
      </c>
      <c r="J533">
        <v>14895</v>
      </c>
      <c r="K533">
        <v>104.99999999999999</v>
      </c>
      <c r="L533" t="s">
        <v>11</v>
      </c>
      <c r="M533" t="s">
        <v>27</v>
      </c>
      <c r="N533">
        <f>MONTH(Table1[[#This Row],[SaleDate]])</f>
        <v>3</v>
      </c>
      <c r="O533" t="str">
        <f>TEXT(Table1[[#This Row],[SaleDate]],"MMM")</f>
        <v>Mar</v>
      </c>
    </row>
    <row r="534" spans="1:15">
      <c r="A534" s="1">
        <v>44993</v>
      </c>
      <c r="B534" t="s">
        <v>24</v>
      </c>
      <c r="C534" t="s">
        <v>22</v>
      </c>
      <c r="D534">
        <v>1</v>
      </c>
      <c r="E534" t="s">
        <v>7</v>
      </c>
      <c r="F534">
        <v>33000</v>
      </c>
      <c r="G534">
        <v>18000</v>
      </c>
      <c r="H534">
        <f>Table1[[#This Row],[Qty]]*Table1[[#This Row],[SellingPrice]]</f>
        <v>33000</v>
      </c>
      <c r="I534">
        <f>Table1[[#This Row],[Qty]]*Table1[[#This Row],[CostPrice]]</f>
        <v>18000</v>
      </c>
      <c r="J534">
        <v>14895</v>
      </c>
      <c r="K534">
        <v>104.99999999999999</v>
      </c>
      <c r="L534" t="s">
        <v>12</v>
      </c>
      <c r="M534" t="s">
        <v>30</v>
      </c>
      <c r="N534">
        <f>MONTH(Table1[[#This Row],[SaleDate]])</f>
        <v>3</v>
      </c>
      <c r="O534" t="str">
        <f>TEXT(Table1[[#This Row],[SaleDate]],"MMM")</f>
        <v>Mar</v>
      </c>
    </row>
    <row r="535" spans="1:15">
      <c r="A535" s="1">
        <v>44993</v>
      </c>
      <c r="B535" t="s">
        <v>24</v>
      </c>
      <c r="C535" t="s">
        <v>22</v>
      </c>
      <c r="D535">
        <v>1</v>
      </c>
      <c r="E535" t="s">
        <v>9</v>
      </c>
      <c r="F535">
        <v>60000</v>
      </c>
      <c r="G535">
        <v>31000</v>
      </c>
      <c r="H535">
        <f>Table1[[#This Row],[Qty]]*Table1[[#This Row],[SellingPrice]]</f>
        <v>60000</v>
      </c>
      <c r="I535">
        <f>Table1[[#This Row],[Qty]]*Table1[[#This Row],[CostPrice]]</f>
        <v>31000</v>
      </c>
      <c r="J535">
        <v>28797</v>
      </c>
      <c r="K535">
        <v>202.99999999999997</v>
      </c>
      <c r="L535" t="s">
        <v>12</v>
      </c>
      <c r="M535" t="s">
        <v>29</v>
      </c>
      <c r="N535">
        <f>MONTH(Table1[[#This Row],[SaleDate]])</f>
        <v>3</v>
      </c>
      <c r="O535" t="str">
        <f>TEXT(Table1[[#This Row],[SaleDate]],"MMM")</f>
        <v>Mar</v>
      </c>
    </row>
    <row r="536" spans="1:15">
      <c r="A536" s="1">
        <v>44993</v>
      </c>
      <c r="B536" t="s">
        <v>24</v>
      </c>
      <c r="C536" t="s">
        <v>22</v>
      </c>
      <c r="D536">
        <v>1</v>
      </c>
      <c r="E536" t="s">
        <v>10</v>
      </c>
      <c r="F536">
        <v>89000</v>
      </c>
      <c r="G536">
        <v>65000</v>
      </c>
      <c r="H536">
        <f>Table1[[#This Row],[Qty]]*Table1[[#This Row],[SellingPrice]]</f>
        <v>89000</v>
      </c>
      <c r="I536">
        <f>Table1[[#This Row],[Qty]]*Table1[[#This Row],[CostPrice]]</f>
        <v>65000</v>
      </c>
      <c r="J536">
        <v>23832</v>
      </c>
      <c r="K536">
        <v>167.99999999999997</v>
      </c>
      <c r="L536" t="s">
        <v>12</v>
      </c>
      <c r="M536" t="s">
        <v>29</v>
      </c>
      <c r="N536">
        <f>MONTH(Table1[[#This Row],[SaleDate]])</f>
        <v>3</v>
      </c>
      <c r="O536" t="str">
        <f>TEXT(Table1[[#This Row],[SaleDate]],"MMM")</f>
        <v>Mar</v>
      </c>
    </row>
    <row r="537" spans="1:15">
      <c r="A537" s="1">
        <v>44993</v>
      </c>
      <c r="B537" t="s">
        <v>25</v>
      </c>
      <c r="C537" t="s">
        <v>21</v>
      </c>
      <c r="D537">
        <v>1</v>
      </c>
      <c r="E537" t="s">
        <v>7</v>
      </c>
      <c r="F537">
        <v>33000</v>
      </c>
      <c r="G537">
        <v>18000</v>
      </c>
      <c r="H537">
        <f>Table1[[#This Row],[Qty]]*Table1[[#This Row],[SellingPrice]]</f>
        <v>33000</v>
      </c>
      <c r="I537">
        <f>Table1[[#This Row],[Qty]]*Table1[[#This Row],[CostPrice]]</f>
        <v>18000</v>
      </c>
      <c r="J537">
        <v>14895</v>
      </c>
      <c r="K537">
        <v>104.99999999999999</v>
      </c>
      <c r="L537" t="s">
        <v>13</v>
      </c>
      <c r="M537" t="s">
        <v>29</v>
      </c>
      <c r="N537">
        <f>MONTH(Table1[[#This Row],[SaleDate]])</f>
        <v>3</v>
      </c>
      <c r="O537" t="str">
        <f>TEXT(Table1[[#This Row],[SaleDate]],"MMM")</f>
        <v>Mar</v>
      </c>
    </row>
    <row r="538" spans="1:15">
      <c r="A538" s="1">
        <v>44994</v>
      </c>
      <c r="B538" t="s">
        <v>23</v>
      </c>
      <c r="C538" t="s">
        <v>19</v>
      </c>
      <c r="D538">
        <v>2</v>
      </c>
      <c r="E538" t="s">
        <v>7</v>
      </c>
      <c r="F538">
        <v>33000</v>
      </c>
      <c r="G538">
        <v>18000</v>
      </c>
      <c r="H538">
        <f>Table1[[#This Row],[Qty]]*Table1[[#This Row],[SellingPrice]]</f>
        <v>66000</v>
      </c>
      <c r="I538">
        <f>Table1[[#This Row],[Qty]]*Table1[[#This Row],[CostPrice]]</f>
        <v>36000</v>
      </c>
      <c r="J538">
        <v>29790</v>
      </c>
      <c r="K538">
        <v>209.99999999999997</v>
      </c>
      <c r="L538" t="s">
        <v>8</v>
      </c>
      <c r="M538" t="s">
        <v>28</v>
      </c>
      <c r="N538">
        <f>MONTH(Table1[[#This Row],[SaleDate]])</f>
        <v>3</v>
      </c>
      <c r="O538" t="str">
        <f>TEXT(Table1[[#This Row],[SaleDate]],"MMM")</f>
        <v>Mar</v>
      </c>
    </row>
    <row r="539" spans="1:15">
      <c r="A539" s="1">
        <v>44994</v>
      </c>
      <c r="B539" t="s">
        <v>23</v>
      </c>
      <c r="C539" t="s">
        <v>19</v>
      </c>
      <c r="D539">
        <v>2</v>
      </c>
      <c r="E539" t="s">
        <v>9</v>
      </c>
      <c r="F539">
        <v>60000</v>
      </c>
      <c r="G539">
        <v>31000</v>
      </c>
      <c r="H539">
        <f>Table1[[#This Row],[Qty]]*Table1[[#This Row],[SellingPrice]]</f>
        <v>120000</v>
      </c>
      <c r="I539">
        <f>Table1[[#This Row],[Qty]]*Table1[[#This Row],[CostPrice]]</f>
        <v>62000</v>
      </c>
      <c r="J539">
        <v>57594</v>
      </c>
      <c r="K539">
        <v>405.99999999999994</v>
      </c>
      <c r="L539" t="s">
        <v>8</v>
      </c>
      <c r="M539" t="s">
        <v>27</v>
      </c>
      <c r="N539">
        <f>MONTH(Table1[[#This Row],[SaleDate]])</f>
        <v>3</v>
      </c>
      <c r="O539" t="str">
        <f>TEXT(Table1[[#This Row],[SaleDate]],"MMM")</f>
        <v>Mar</v>
      </c>
    </row>
    <row r="540" spans="1:15">
      <c r="A540" s="1">
        <v>44994</v>
      </c>
      <c r="B540" t="s">
        <v>23</v>
      </c>
      <c r="C540" t="s">
        <v>19</v>
      </c>
      <c r="D540">
        <v>2</v>
      </c>
      <c r="E540" t="s">
        <v>10</v>
      </c>
      <c r="F540">
        <v>89000</v>
      </c>
      <c r="G540">
        <v>65000</v>
      </c>
      <c r="H540">
        <f>Table1[[#This Row],[Qty]]*Table1[[#This Row],[SellingPrice]]</f>
        <v>178000</v>
      </c>
      <c r="I540">
        <f>Table1[[#This Row],[Qty]]*Table1[[#This Row],[CostPrice]]</f>
        <v>130000</v>
      </c>
      <c r="J540">
        <v>47664</v>
      </c>
      <c r="K540">
        <v>335.99999999999994</v>
      </c>
      <c r="L540" t="s">
        <v>8</v>
      </c>
      <c r="M540" t="s">
        <v>27</v>
      </c>
      <c r="N540">
        <f>MONTH(Table1[[#This Row],[SaleDate]])</f>
        <v>3</v>
      </c>
      <c r="O540" t="str">
        <f>TEXT(Table1[[#This Row],[SaleDate]],"MMM")</f>
        <v>Mar</v>
      </c>
    </row>
    <row r="541" spans="1:15">
      <c r="A541" s="1">
        <v>44994</v>
      </c>
      <c r="B541" t="s">
        <v>26</v>
      </c>
      <c r="C541" t="s">
        <v>20</v>
      </c>
      <c r="D541">
        <v>2</v>
      </c>
      <c r="E541" t="s">
        <v>7</v>
      </c>
      <c r="F541">
        <v>33000</v>
      </c>
      <c r="G541">
        <v>18000</v>
      </c>
      <c r="H541">
        <f>Table1[[#This Row],[Qty]]*Table1[[#This Row],[SellingPrice]]</f>
        <v>66000</v>
      </c>
      <c r="I541">
        <f>Table1[[#This Row],[Qty]]*Table1[[#This Row],[CostPrice]]</f>
        <v>36000</v>
      </c>
      <c r="J541">
        <v>29790</v>
      </c>
      <c r="K541">
        <v>209.99999999999997</v>
      </c>
      <c r="L541" t="s">
        <v>11</v>
      </c>
      <c r="M541" t="s">
        <v>30</v>
      </c>
      <c r="N541">
        <f>MONTH(Table1[[#This Row],[SaleDate]])</f>
        <v>3</v>
      </c>
      <c r="O541" t="str">
        <f>TEXT(Table1[[#This Row],[SaleDate]],"MMM")</f>
        <v>Mar</v>
      </c>
    </row>
    <row r="542" spans="1:15">
      <c r="A542" s="1">
        <v>44994</v>
      </c>
      <c r="B542" t="s">
        <v>24</v>
      </c>
      <c r="C542" t="s">
        <v>22</v>
      </c>
      <c r="D542">
        <v>2</v>
      </c>
      <c r="E542" t="s">
        <v>7</v>
      </c>
      <c r="F542">
        <v>33000</v>
      </c>
      <c r="G542">
        <v>18000</v>
      </c>
      <c r="H542">
        <f>Table1[[#This Row],[Qty]]*Table1[[#This Row],[SellingPrice]]</f>
        <v>66000</v>
      </c>
      <c r="I542">
        <f>Table1[[#This Row],[Qty]]*Table1[[#This Row],[CostPrice]]</f>
        <v>36000</v>
      </c>
      <c r="J542">
        <v>29790</v>
      </c>
      <c r="K542">
        <v>209.99999999999997</v>
      </c>
      <c r="L542" t="s">
        <v>12</v>
      </c>
      <c r="M542" t="s">
        <v>30</v>
      </c>
      <c r="N542">
        <f>MONTH(Table1[[#This Row],[SaleDate]])</f>
        <v>3</v>
      </c>
      <c r="O542" t="str">
        <f>TEXT(Table1[[#This Row],[SaleDate]],"MMM")</f>
        <v>Mar</v>
      </c>
    </row>
    <row r="543" spans="1:15">
      <c r="A543" s="1">
        <v>44994</v>
      </c>
      <c r="B543" t="s">
        <v>24</v>
      </c>
      <c r="C543" t="s">
        <v>22</v>
      </c>
      <c r="D543">
        <v>2</v>
      </c>
      <c r="E543" t="s">
        <v>9</v>
      </c>
      <c r="F543">
        <v>60000</v>
      </c>
      <c r="G543">
        <v>31000</v>
      </c>
      <c r="H543">
        <f>Table1[[#This Row],[Qty]]*Table1[[#This Row],[SellingPrice]]</f>
        <v>120000</v>
      </c>
      <c r="I543">
        <f>Table1[[#This Row],[Qty]]*Table1[[#This Row],[CostPrice]]</f>
        <v>62000</v>
      </c>
      <c r="J543">
        <v>57594</v>
      </c>
      <c r="K543">
        <v>405.99999999999994</v>
      </c>
      <c r="L543" t="s">
        <v>12</v>
      </c>
      <c r="M543" t="s">
        <v>27</v>
      </c>
      <c r="N543">
        <f>MONTH(Table1[[#This Row],[SaleDate]])</f>
        <v>3</v>
      </c>
      <c r="O543" t="str">
        <f>TEXT(Table1[[#This Row],[SaleDate]],"MMM")</f>
        <v>Mar</v>
      </c>
    </row>
    <row r="544" spans="1:15">
      <c r="A544" s="1">
        <v>44994</v>
      </c>
      <c r="B544" t="s">
        <v>24</v>
      </c>
      <c r="C544" t="s">
        <v>22</v>
      </c>
      <c r="D544">
        <v>2</v>
      </c>
      <c r="E544" t="s">
        <v>10</v>
      </c>
      <c r="F544">
        <v>89000</v>
      </c>
      <c r="G544">
        <v>65000</v>
      </c>
      <c r="H544">
        <f>Table1[[#This Row],[Qty]]*Table1[[#This Row],[SellingPrice]]</f>
        <v>178000</v>
      </c>
      <c r="I544">
        <f>Table1[[#This Row],[Qty]]*Table1[[#This Row],[CostPrice]]</f>
        <v>130000</v>
      </c>
      <c r="J544">
        <v>47664</v>
      </c>
      <c r="K544">
        <v>335.99999999999994</v>
      </c>
      <c r="L544" t="s">
        <v>12</v>
      </c>
      <c r="M544" t="s">
        <v>30</v>
      </c>
      <c r="N544">
        <f>MONTH(Table1[[#This Row],[SaleDate]])</f>
        <v>3</v>
      </c>
      <c r="O544" t="str">
        <f>TEXT(Table1[[#This Row],[SaleDate]],"MMM")</f>
        <v>Mar</v>
      </c>
    </row>
    <row r="545" spans="1:15">
      <c r="A545" s="1">
        <v>44994</v>
      </c>
      <c r="B545" t="s">
        <v>25</v>
      </c>
      <c r="C545" t="s">
        <v>21</v>
      </c>
      <c r="D545">
        <v>2</v>
      </c>
      <c r="E545" t="s">
        <v>7</v>
      </c>
      <c r="F545">
        <v>33000</v>
      </c>
      <c r="G545">
        <v>18000</v>
      </c>
      <c r="H545">
        <f>Table1[[#This Row],[Qty]]*Table1[[#This Row],[SellingPrice]]</f>
        <v>66000</v>
      </c>
      <c r="I545">
        <f>Table1[[#This Row],[Qty]]*Table1[[#This Row],[CostPrice]]</f>
        <v>36000</v>
      </c>
      <c r="J545">
        <v>29790</v>
      </c>
      <c r="K545">
        <v>209.99999999999997</v>
      </c>
      <c r="L545" t="s">
        <v>13</v>
      </c>
      <c r="M545" t="s">
        <v>27</v>
      </c>
      <c r="N545">
        <f>MONTH(Table1[[#This Row],[SaleDate]])</f>
        <v>3</v>
      </c>
      <c r="O545" t="str">
        <f>TEXT(Table1[[#This Row],[SaleDate]],"MMM")</f>
        <v>Mar</v>
      </c>
    </row>
    <row r="546" spans="1:15">
      <c r="A546" s="1">
        <v>44995</v>
      </c>
      <c r="B546" t="s">
        <v>23</v>
      </c>
      <c r="C546" t="s">
        <v>19</v>
      </c>
      <c r="D546">
        <v>2</v>
      </c>
      <c r="E546" t="s">
        <v>7</v>
      </c>
      <c r="F546">
        <v>33000</v>
      </c>
      <c r="G546">
        <v>18000</v>
      </c>
      <c r="H546">
        <f>Table1[[#This Row],[Qty]]*Table1[[#This Row],[SellingPrice]]</f>
        <v>66000</v>
      </c>
      <c r="I546">
        <f>Table1[[#This Row],[Qty]]*Table1[[#This Row],[CostPrice]]</f>
        <v>36000</v>
      </c>
      <c r="J546">
        <v>29790</v>
      </c>
      <c r="K546">
        <v>209.99999999999997</v>
      </c>
      <c r="L546" t="s">
        <v>8</v>
      </c>
      <c r="M546" t="s">
        <v>27</v>
      </c>
      <c r="N546">
        <f>MONTH(Table1[[#This Row],[SaleDate]])</f>
        <v>3</v>
      </c>
      <c r="O546" t="str">
        <f>TEXT(Table1[[#This Row],[SaleDate]],"MMM")</f>
        <v>Mar</v>
      </c>
    </row>
    <row r="547" spans="1:15">
      <c r="A547" s="1">
        <v>44995</v>
      </c>
      <c r="B547" t="s">
        <v>23</v>
      </c>
      <c r="C547" t="s">
        <v>19</v>
      </c>
      <c r="D547">
        <v>2</v>
      </c>
      <c r="E547" t="s">
        <v>9</v>
      </c>
      <c r="F547">
        <v>60000</v>
      </c>
      <c r="G547">
        <v>31000</v>
      </c>
      <c r="H547">
        <f>Table1[[#This Row],[Qty]]*Table1[[#This Row],[SellingPrice]]</f>
        <v>120000</v>
      </c>
      <c r="I547">
        <f>Table1[[#This Row],[Qty]]*Table1[[#This Row],[CostPrice]]</f>
        <v>62000</v>
      </c>
      <c r="J547">
        <v>57594</v>
      </c>
      <c r="K547">
        <v>405.99999999999994</v>
      </c>
      <c r="L547" t="s">
        <v>8</v>
      </c>
      <c r="M547" t="s">
        <v>30</v>
      </c>
      <c r="N547">
        <f>MONTH(Table1[[#This Row],[SaleDate]])</f>
        <v>3</v>
      </c>
      <c r="O547" t="str">
        <f>TEXT(Table1[[#This Row],[SaleDate]],"MMM")</f>
        <v>Mar</v>
      </c>
    </row>
    <row r="548" spans="1:15">
      <c r="A548" s="1">
        <v>44995</v>
      </c>
      <c r="B548" t="s">
        <v>23</v>
      </c>
      <c r="C548" t="s">
        <v>19</v>
      </c>
      <c r="D548">
        <v>2</v>
      </c>
      <c r="E548" t="s">
        <v>10</v>
      </c>
      <c r="F548">
        <v>89000</v>
      </c>
      <c r="G548">
        <v>65000</v>
      </c>
      <c r="H548">
        <f>Table1[[#This Row],[Qty]]*Table1[[#This Row],[SellingPrice]]</f>
        <v>178000</v>
      </c>
      <c r="I548">
        <f>Table1[[#This Row],[Qty]]*Table1[[#This Row],[CostPrice]]</f>
        <v>130000</v>
      </c>
      <c r="J548">
        <v>47664</v>
      </c>
      <c r="K548">
        <v>335.99999999999994</v>
      </c>
      <c r="L548" t="s">
        <v>8</v>
      </c>
      <c r="M548" t="s">
        <v>27</v>
      </c>
      <c r="N548">
        <f>MONTH(Table1[[#This Row],[SaleDate]])</f>
        <v>3</v>
      </c>
      <c r="O548" t="str">
        <f>TEXT(Table1[[#This Row],[SaleDate]],"MMM")</f>
        <v>Mar</v>
      </c>
    </row>
    <row r="549" spans="1:15">
      <c r="A549" s="1">
        <v>44995</v>
      </c>
      <c r="B549" t="s">
        <v>26</v>
      </c>
      <c r="C549" t="s">
        <v>20</v>
      </c>
      <c r="D549">
        <v>2</v>
      </c>
      <c r="E549" t="s">
        <v>7</v>
      </c>
      <c r="F549">
        <v>33000</v>
      </c>
      <c r="G549">
        <v>18000</v>
      </c>
      <c r="H549">
        <f>Table1[[#This Row],[Qty]]*Table1[[#This Row],[SellingPrice]]</f>
        <v>66000</v>
      </c>
      <c r="I549">
        <f>Table1[[#This Row],[Qty]]*Table1[[#This Row],[CostPrice]]</f>
        <v>36000</v>
      </c>
      <c r="J549">
        <v>29790</v>
      </c>
      <c r="K549">
        <v>209.99999999999997</v>
      </c>
      <c r="L549" t="s">
        <v>11</v>
      </c>
      <c r="M549" t="s">
        <v>29</v>
      </c>
      <c r="N549">
        <f>MONTH(Table1[[#This Row],[SaleDate]])</f>
        <v>3</v>
      </c>
      <c r="O549" t="str">
        <f>TEXT(Table1[[#This Row],[SaleDate]],"MMM")</f>
        <v>Mar</v>
      </c>
    </row>
    <row r="550" spans="1:15">
      <c r="A550" s="1">
        <v>44995</v>
      </c>
      <c r="B550" t="s">
        <v>24</v>
      </c>
      <c r="C550" t="s">
        <v>22</v>
      </c>
      <c r="D550">
        <v>2</v>
      </c>
      <c r="E550" t="s">
        <v>7</v>
      </c>
      <c r="F550">
        <v>33000</v>
      </c>
      <c r="G550">
        <v>18000</v>
      </c>
      <c r="H550">
        <f>Table1[[#This Row],[Qty]]*Table1[[#This Row],[SellingPrice]]</f>
        <v>66000</v>
      </c>
      <c r="I550">
        <f>Table1[[#This Row],[Qty]]*Table1[[#This Row],[CostPrice]]</f>
        <v>36000</v>
      </c>
      <c r="J550">
        <v>29790</v>
      </c>
      <c r="K550">
        <v>209.99999999999997</v>
      </c>
      <c r="L550" t="s">
        <v>12</v>
      </c>
      <c r="M550" t="s">
        <v>30</v>
      </c>
      <c r="N550">
        <f>MONTH(Table1[[#This Row],[SaleDate]])</f>
        <v>3</v>
      </c>
      <c r="O550" t="str">
        <f>TEXT(Table1[[#This Row],[SaleDate]],"MMM")</f>
        <v>Mar</v>
      </c>
    </row>
    <row r="551" spans="1:15">
      <c r="A551" s="1">
        <v>44995</v>
      </c>
      <c r="B551" t="s">
        <v>24</v>
      </c>
      <c r="C551" t="s">
        <v>22</v>
      </c>
      <c r="D551">
        <v>2</v>
      </c>
      <c r="E551" t="s">
        <v>9</v>
      </c>
      <c r="F551">
        <v>60000</v>
      </c>
      <c r="G551">
        <v>31000</v>
      </c>
      <c r="H551">
        <f>Table1[[#This Row],[Qty]]*Table1[[#This Row],[SellingPrice]]</f>
        <v>120000</v>
      </c>
      <c r="I551">
        <f>Table1[[#This Row],[Qty]]*Table1[[#This Row],[CostPrice]]</f>
        <v>62000</v>
      </c>
      <c r="J551">
        <v>57594</v>
      </c>
      <c r="K551">
        <v>405.99999999999994</v>
      </c>
      <c r="L551" t="s">
        <v>12</v>
      </c>
      <c r="M551" t="s">
        <v>30</v>
      </c>
      <c r="N551">
        <f>MONTH(Table1[[#This Row],[SaleDate]])</f>
        <v>3</v>
      </c>
      <c r="O551" t="str">
        <f>TEXT(Table1[[#This Row],[SaleDate]],"MMM")</f>
        <v>Mar</v>
      </c>
    </row>
    <row r="552" spans="1:15">
      <c r="A552" s="1">
        <v>44995</v>
      </c>
      <c r="B552" t="s">
        <v>24</v>
      </c>
      <c r="C552" t="s">
        <v>22</v>
      </c>
      <c r="D552">
        <v>2</v>
      </c>
      <c r="E552" t="s">
        <v>10</v>
      </c>
      <c r="F552">
        <v>89000</v>
      </c>
      <c r="G552">
        <v>65000</v>
      </c>
      <c r="H552">
        <f>Table1[[#This Row],[Qty]]*Table1[[#This Row],[SellingPrice]]</f>
        <v>178000</v>
      </c>
      <c r="I552">
        <f>Table1[[#This Row],[Qty]]*Table1[[#This Row],[CostPrice]]</f>
        <v>130000</v>
      </c>
      <c r="J552">
        <v>47664</v>
      </c>
      <c r="K552">
        <v>335.99999999999994</v>
      </c>
      <c r="L552" t="s">
        <v>12</v>
      </c>
      <c r="M552" t="s">
        <v>27</v>
      </c>
      <c r="N552">
        <f>MONTH(Table1[[#This Row],[SaleDate]])</f>
        <v>3</v>
      </c>
      <c r="O552" t="str">
        <f>TEXT(Table1[[#This Row],[SaleDate]],"MMM")</f>
        <v>Mar</v>
      </c>
    </row>
    <row r="553" spans="1:15">
      <c r="A553" s="1">
        <v>44995</v>
      </c>
      <c r="B553" t="s">
        <v>25</v>
      </c>
      <c r="C553" t="s">
        <v>21</v>
      </c>
      <c r="D553">
        <v>2</v>
      </c>
      <c r="E553" t="s">
        <v>7</v>
      </c>
      <c r="F553">
        <v>33000</v>
      </c>
      <c r="G553">
        <v>18000</v>
      </c>
      <c r="H553">
        <f>Table1[[#This Row],[Qty]]*Table1[[#This Row],[SellingPrice]]</f>
        <v>66000</v>
      </c>
      <c r="I553">
        <f>Table1[[#This Row],[Qty]]*Table1[[#This Row],[CostPrice]]</f>
        <v>36000</v>
      </c>
      <c r="J553">
        <v>29790</v>
      </c>
      <c r="K553">
        <v>209.99999999999997</v>
      </c>
      <c r="L553" t="s">
        <v>13</v>
      </c>
      <c r="M553" t="s">
        <v>30</v>
      </c>
      <c r="N553">
        <f>MONTH(Table1[[#This Row],[SaleDate]])</f>
        <v>3</v>
      </c>
      <c r="O553" t="str">
        <f>TEXT(Table1[[#This Row],[SaleDate]],"MMM")</f>
        <v>Mar</v>
      </c>
    </row>
    <row r="554" spans="1:15">
      <c r="A554" s="1">
        <v>44996</v>
      </c>
      <c r="B554" t="s">
        <v>23</v>
      </c>
      <c r="C554" t="s">
        <v>19</v>
      </c>
      <c r="D554">
        <v>2</v>
      </c>
      <c r="E554" t="s">
        <v>7</v>
      </c>
      <c r="F554">
        <v>33000</v>
      </c>
      <c r="G554">
        <v>18000</v>
      </c>
      <c r="H554">
        <f>Table1[[#This Row],[Qty]]*Table1[[#This Row],[SellingPrice]]</f>
        <v>66000</v>
      </c>
      <c r="I554">
        <f>Table1[[#This Row],[Qty]]*Table1[[#This Row],[CostPrice]]</f>
        <v>36000</v>
      </c>
      <c r="J554">
        <v>29790</v>
      </c>
      <c r="K554">
        <v>209.99999999999997</v>
      </c>
      <c r="L554" t="s">
        <v>8</v>
      </c>
      <c r="M554" t="s">
        <v>30</v>
      </c>
      <c r="N554">
        <f>MONTH(Table1[[#This Row],[SaleDate]])</f>
        <v>3</v>
      </c>
      <c r="O554" t="str">
        <f>TEXT(Table1[[#This Row],[SaleDate]],"MMM")</f>
        <v>Mar</v>
      </c>
    </row>
    <row r="555" spans="1:15">
      <c r="A555" s="1">
        <v>44996</v>
      </c>
      <c r="B555" t="s">
        <v>23</v>
      </c>
      <c r="C555" t="s">
        <v>19</v>
      </c>
      <c r="D555">
        <v>2</v>
      </c>
      <c r="E555" t="s">
        <v>9</v>
      </c>
      <c r="F555">
        <v>60000</v>
      </c>
      <c r="G555">
        <v>31000</v>
      </c>
      <c r="H555">
        <f>Table1[[#This Row],[Qty]]*Table1[[#This Row],[SellingPrice]]</f>
        <v>120000</v>
      </c>
      <c r="I555">
        <f>Table1[[#This Row],[Qty]]*Table1[[#This Row],[CostPrice]]</f>
        <v>62000</v>
      </c>
      <c r="J555">
        <v>57594</v>
      </c>
      <c r="K555">
        <v>405.99999999999994</v>
      </c>
      <c r="L555" t="s">
        <v>8</v>
      </c>
      <c r="M555" t="s">
        <v>27</v>
      </c>
      <c r="N555">
        <f>MONTH(Table1[[#This Row],[SaleDate]])</f>
        <v>3</v>
      </c>
      <c r="O555" t="str">
        <f>TEXT(Table1[[#This Row],[SaleDate]],"MMM")</f>
        <v>Mar</v>
      </c>
    </row>
    <row r="556" spans="1:15">
      <c r="A556" s="1">
        <v>44996</v>
      </c>
      <c r="B556" t="s">
        <v>23</v>
      </c>
      <c r="C556" t="s">
        <v>19</v>
      </c>
      <c r="D556">
        <v>2</v>
      </c>
      <c r="E556" t="s">
        <v>10</v>
      </c>
      <c r="F556">
        <v>89000</v>
      </c>
      <c r="G556">
        <v>65000</v>
      </c>
      <c r="H556">
        <f>Table1[[#This Row],[Qty]]*Table1[[#This Row],[SellingPrice]]</f>
        <v>178000</v>
      </c>
      <c r="I556">
        <f>Table1[[#This Row],[Qty]]*Table1[[#This Row],[CostPrice]]</f>
        <v>130000</v>
      </c>
      <c r="J556">
        <v>47664</v>
      </c>
      <c r="K556">
        <v>335.99999999999994</v>
      </c>
      <c r="L556" t="s">
        <v>8</v>
      </c>
      <c r="M556" t="s">
        <v>29</v>
      </c>
      <c r="N556">
        <f>MONTH(Table1[[#This Row],[SaleDate]])</f>
        <v>3</v>
      </c>
      <c r="O556" t="str">
        <f>TEXT(Table1[[#This Row],[SaleDate]],"MMM")</f>
        <v>Mar</v>
      </c>
    </row>
    <row r="557" spans="1:15">
      <c r="A557" s="1">
        <v>44996</v>
      </c>
      <c r="B557" t="s">
        <v>26</v>
      </c>
      <c r="C557" t="s">
        <v>20</v>
      </c>
      <c r="D557">
        <v>2</v>
      </c>
      <c r="E557" t="s">
        <v>7</v>
      </c>
      <c r="F557">
        <v>33000</v>
      </c>
      <c r="G557">
        <v>18000</v>
      </c>
      <c r="H557">
        <f>Table1[[#This Row],[Qty]]*Table1[[#This Row],[SellingPrice]]</f>
        <v>66000</v>
      </c>
      <c r="I557">
        <f>Table1[[#This Row],[Qty]]*Table1[[#This Row],[CostPrice]]</f>
        <v>36000</v>
      </c>
      <c r="J557">
        <v>29790</v>
      </c>
      <c r="K557">
        <v>209.99999999999997</v>
      </c>
      <c r="L557" t="s">
        <v>11</v>
      </c>
      <c r="M557" t="s">
        <v>30</v>
      </c>
      <c r="N557">
        <f>MONTH(Table1[[#This Row],[SaleDate]])</f>
        <v>3</v>
      </c>
      <c r="O557" t="str">
        <f>TEXT(Table1[[#This Row],[SaleDate]],"MMM")</f>
        <v>Mar</v>
      </c>
    </row>
    <row r="558" spans="1:15">
      <c r="A558" s="1">
        <v>44996</v>
      </c>
      <c r="B558" t="s">
        <v>24</v>
      </c>
      <c r="C558" t="s">
        <v>22</v>
      </c>
      <c r="D558">
        <v>2</v>
      </c>
      <c r="E558" t="s">
        <v>7</v>
      </c>
      <c r="F558">
        <v>33000</v>
      </c>
      <c r="G558">
        <v>18000</v>
      </c>
      <c r="H558">
        <f>Table1[[#This Row],[Qty]]*Table1[[#This Row],[SellingPrice]]</f>
        <v>66000</v>
      </c>
      <c r="I558">
        <f>Table1[[#This Row],[Qty]]*Table1[[#This Row],[CostPrice]]</f>
        <v>36000</v>
      </c>
      <c r="J558">
        <v>29790</v>
      </c>
      <c r="K558">
        <v>209.99999999999997</v>
      </c>
      <c r="L558" t="s">
        <v>12</v>
      </c>
      <c r="M558" t="s">
        <v>29</v>
      </c>
      <c r="N558">
        <f>MONTH(Table1[[#This Row],[SaleDate]])</f>
        <v>3</v>
      </c>
      <c r="O558" t="str">
        <f>TEXT(Table1[[#This Row],[SaleDate]],"MMM")</f>
        <v>Mar</v>
      </c>
    </row>
    <row r="559" spans="1:15">
      <c r="A559" s="1">
        <v>44996</v>
      </c>
      <c r="B559" t="s">
        <v>24</v>
      </c>
      <c r="C559" t="s">
        <v>22</v>
      </c>
      <c r="D559">
        <v>2</v>
      </c>
      <c r="E559" t="s">
        <v>9</v>
      </c>
      <c r="F559">
        <v>60000</v>
      </c>
      <c r="G559">
        <v>31000</v>
      </c>
      <c r="H559">
        <f>Table1[[#This Row],[Qty]]*Table1[[#This Row],[SellingPrice]]</f>
        <v>120000</v>
      </c>
      <c r="I559">
        <f>Table1[[#This Row],[Qty]]*Table1[[#This Row],[CostPrice]]</f>
        <v>62000</v>
      </c>
      <c r="J559">
        <v>57594</v>
      </c>
      <c r="K559">
        <v>405.99999999999994</v>
      </c>
      <c r="L559" t="s">
        <v>12</v>
      </c>
      <c r="M559" t="s">
        <v>27</v>
      </c>
      <c r="N559">
        <f>MONTH(Table1[[#This Row],[SaleDate]])</f>
        <v>3</v>
      </c>
      <c r="O559" t="str">
        <f>TEXT(Table1[[#This Row],[SaleDate]],"MMM")</f>
        <v>Mar</v>
      </c>
    </row>
    <row r="560" spans="1:15">
      <c r="A560" s="1">
        <v>44996</v>
      </c>
      <c r="B560" t="s">
        <v>24</v>
      </c>
      <c r="C560" t="s">
        <v>22</v>
      </c>
      <c r="D560">
        <v>2</v>
      </c>
      <c r="E560" t="s">
        <v>10</v>
      </c>
      <c r="F560">
        <v>89000</v>
      </c>
      <c r="G560">
        <v>65000</v>
      </c>
      <c r="H560">
        <f>Table1[[#This Row],[Qty]]*Table1[[#This Row],[SellingPrice]]</f>
        <v>178000</v>
      </c>
      <c r="I560">
        <f>Table1[[#This Row],[Qty]]*Table1[[#This Row],[CostPrice]]</f>
        <v>130000</v>
      </c>
      <c r="J560">
        <v>47664</v>
      </c>
      <c r="K560">
        <v>335.99999999999994</v>
      </c>
      <c r="L560" t="s">
        <v>12</v>
      </c>
      <c r="M560" t="s">
        <v>30</v>
      </c>
      <c r="N560">
        <f>MONTH(Table1[[#This Row],[SaleDate]])</f>
        <v>3</v>
      </c>
      <c r="O560" t="str">
        <f>TEXT(Table1[[#This Row],[SaleDate]],"MMM")</f>
        <v>Mar</v>
      </c>
    </row>
    <row r="561" spans="1:15">
      <c r="A561" s="1">
        <v>44996</v>
      </c>
      <c r="B561" t="s">
        <v>25</v>
      </c>
      <c r="C561" t="s">
        <v>21</v>
      </c>
      <c r="D561">
        <v>2</v>
      </c>
      <c r="E561" t="s">
        <v>7</v>
      </c>
      <c r="F561">
        <v>33000</v>
      </c>
      <c r="G561">
        <v>18000</v>
      </c>
      <c r="H561">
        <f>Table1[[#This Row],[Qty]]*Table1[[#This Row],[SellingPrice]]</f>
        <v>66000</v>
      </c>
      <c r="I561">
        <f>Table1[[#This Row],[Qty]]*Table1[[#This Row],[CostPrice]]</f>
        <v>36000</v>
      </c>
      <c r="J561">
        <v>29790</v>
      </c>
      <c r="K561">
        <v>209.99999999999997</v>
      </c>
      <c r="L561" t="s">
        <v>13</v>
      </c>
      <c r="M561" t="s">
        <v>29</v>
      </c>
      <c r="N561">
        <f>MONTH(Table1[[#This Row],[SaleDate]])</f>
        <v>3</v>
      </c>
      <c r="O561" t="str">
        <f>TEXT(Table1[[#This Row],[SaleDate]],"MMM")</f>
        <v>Mar</v>
      </c>
    </row>
    <row r="562" spans="1:15">
      <c r="A562" s="1">
        <v>44997</v>
      </c>
      <c r="B562" t="s">
        <v>23</v>
      </c>
      <c r="C562" t="s">
        <v>19</v>
      </c>
      <c r="D562">
        <v>1</v>
      </c>
      <c r="E562" t="s">
        <v>7</v>
      </c>
      <c r="F562">
        <v>33000</v>
      </c>
      <c r="G562">
        <v>18000</v>
      </c>
      <c r="H562">
        <f>Table1[[#This Row],[Qty]]*Table1[[#This Row],[SellingPrice]]</f>
        <v>33000</v>
      </c>
      <c r="I562">
        <f>Table1[[#This Row],[Qty]]*Table1[[#This Row],[CostPrice]]</f>
        <v>18000</v>
      </c>
      <c r="J562">
        <v>14895</v>
      </c>
      <c r="K562">
        <v>104.99999999999999</v>
      </c>
      <c r="L562" t="s">
        <v>8</v>
      </c>
      <c r="M562" t="s">
        <v>29</v>
      </c>
      <c r="N562">
        <f>MONTH(Table1[[#This Row],[SaleDate]])</f>
        <v>3</v>
      </c>
      <c r="O562" t="str">
        <f>TEXT(Table1[[#This Row],[SaleDate]],"MMM")</f>
        <v>Mar</v>
      </c>
    </row>
    <row r="563" spans="1:15">
      <c r="A563" s="1">
        <v>44997</v>
      </c>
      <c r="B563" t="s">
        <v>23</v>
      </c>
      <c r="C563" t="s">
        <v>19</v>
      </c>
      <c r="D563">
        <v>1</v>
      </c>
      <c r="E563" t="s">
        <v>9</v>
      </c>
      <c r="F563">
        <v>60000</v>
      </c>
      <c r="G563">
        <v>31000</v>
      </c>
      <c r="H563">
        <f>Table1[[#This Row],[Qty]]*Table1[[#This Row],[SellingPrice]]</f>
        <v>60000</v>
      </c>
      <c r="I563">
        <f>Table1[[#This Row],[Qty]]*Table1[[#This Row],[CostPrice]]</f>
        <v>31000</v>
      </c>
      <c r="J563">
        <v>28797</v>
      </c>
      <c r="K563">
        <v>202.99999999999997</v>
      </c>
      <c r="L563" t="s">
        <v>8</v>
      </c>
      <c r="M563" t="s">
        <v>29</v>
      </c>
      <c r="N563">
        <f>MONTH(Table1[[#This Row],[SaleDate]])</f>
        <v>3</v>
      </c>
      <c r="O563" t="str">
        <f>TEXT(Table1[[#This Row],[SaleDate]],"MMM")</f>
        <v>Mar</v>
      </c>
    </row>
    <row r="564" spans="1:15">
      <c r="A564" s="1">
        <v>44997</v>
      </c>
      <c r="B564" t="s">
        <v>23</v>
      </c>
      <c r="C564" t="s">
        <v>19</v>
      </c>
      <c r="D564">
        <v>1</v>
      </c>
      <c r="E564" t="s">
        <v>10</v>
      </c>
      <c r="F564">
        <v>89000</v>
      </c>
      <c r="G564">
        <v>65000</v>
      </c>
      <c r="H564">
        <f>Table1[[#This Row],[Qty]]*Table1[[#This Row],[SellingPrice]]</f>
        <v>89000</v>
      </c>
      <c r="I564">
        <f>Table1[[#This Row],[Qty]]*Table1[[#This Row],[CostPrice]]</f>
        <v>65000</v>
      </c>
      <c r="J564">
        <v>23832</v>
      </c>
      <c r="K564">
        <v>167.99999999999997</v>
      </c>
      <c r="L564" t="s">
        <v>8</v>
      </c>
      <c r="M564" t="s">
        <v>29</v>
      </c>
      <c r="N564">
        <f>MONTH(Table1[[#This Row],[SaleDate]])</f>
        <v>3</v>
      </c>
      <c r="O564" t="str">
        <f>TEXT(Table1[[#This Row],[SaleDate]],"MMM")</f>
        <v>Mar</v>
      </c>
    </row>
    <row r="565" spans="1:15">
      <c r="A565" s="1">
        <v>44997</v>
      </c>
      <c r="B565" t="s">
        <v>26</v>
      </c>
      <c r="C565" t="s">
        <v>20</v>
      </c>
      <c r="D565">
        <v>1</v>
      </c>
      <c r="E565" t="s">
        <v>7</v>
      </c>
      <c r="F565">
        <v>33000</v>
      </c>
      <c r="G565">
        <v>18000</v>
      </c>
      <c r="H565">
        <f>Table1[[#This Row],[Qty]]*Table1[[#This Row],[SellingPrice]]</f>
        <v>33000</v>
      </c>
      <c r="I565">
        <f>Table1[[#This Row],[Qty]]*Table1[[#This Row],[CostPrice]]</f>
        <v>18000</v>
      </c>
      <c r="J565">
        <v>14895</v>
      </c>
      <c r="K565">
        <v>104.99999999999999</v>
      </c>
      <c r="L565" t="s">
        <v>11</v>
      </c>
      <c r="M565" t="s">
        <v>30</v>
      </c>
      <c r="N565">
        <f>MONTH(Table1[[#This Row],[SaleDate]])</f>
        <v>3</v>
      </c>
      <c r="O565" t="str">
        <f>TEXT(Table1[[#This Row],[SaleDate]],"MMM")</f>
        <v>Mar</v>
      </c>
    </row>
    <row r="566" spans="1:15">
      <c r="A566" s="1">
        <v>44997</v>
      </c>
      <c r="B566" t="s">
        <v>24</v>
      </c>
      <c r="C566" t="s">
        <v>22</v>
      </c>
      <c r="D566">
        <v>1</v>
      </c>
      <c r="E566" t="s">
        <v>7</v>
      </c>
      <c r="F566">
        <v>33000</v>
      </c>
      <c r="G566">
        <v>18000</v>
      </c>
      <c r="H566">
        <f>Table1[[#This Row],[Qty]]*Table1[[#This Row],[SellingPrice]]</f>
        <v>33000</v>
      </c>
      <c r="I566">
        <f>Table1[[#This Row],[Qty]]*Table1[[#This Row],[CostPrice]]</f>
        <v>18000</v>
      </c>
      <c r="J566">
        <v>14895</v>
      </c>
      <c r="K566">
        <v>104.99999999999999</v>
      </c>
      <c r="L566" t="s">
        <v>12</v>
      </c>
      <c r="M566" t="s">
        <v>29</v>
      </c>
      <c r="N566">
        <f>MONTH(Table1[[#This Row],[SaleDate]])</f>
        <v>3</v>
      </c>
      <c r="O566" t="str">
        <f>TEXT(Table1[[#This Row],[SaleDate]],"MMM")</f>
        <v>Mar</v>
      </c>
    </row>
    <row r="567" spans="1:15">
      <c r="A567" s="1">
        <v>44997</v>
      </c>
      <c r="B567" t="s">
        <v>24</v>
      </c>
      <c r="C567" t="s">
        <v>22</v>
      </c>
      <c r="D567">
        <v>1</v>
      </c>
      <c r="E567" t="s">
        <v>9</v>
      </c>
      <c r="F567">
        <v>60000</v>
      </c>
      <c r="G567">
        <v>31000</v>
      </c>
      <c r="H567">
        <f>Table1[[#This Row],[Qty]]*Table1[[#This Row],[SellingPrice]]</f>
        <v>60000</v>
      </c>
      <c r="I567">
        <f>Table1[[#This Row],[Qty]]*Table1[[#This Row],[CostPrice]]</f>
        <v>31000</v>
      </c>
      <c r="J567">
        <v>28797</v>
      </c>
      <c r="K567">
        <v>202.99999999999997</v>
      </c>
      <c r="L567" t="s">
        <v>12</v>
      </c>
      <c r="M567" t="s">
        <v>28</v>
      </c>
      <c r="N567">
        <f>MONTH(Table1[[#This Row],[SaleDate]])</f>
        <v>3</v>
      </c>
      <c r="O567" t="str">
        <f>TEXT(Table1[[#This Row],[SaleDate]],"MMM")</f>
        <v>Mar</v>
      </c>
    </row>
    <row r="568" spans="1:15">
      <c r="A568" s="1">
        <v>44997</v>
      </c>
      <c r="B568" t="s">
        <v>24</v>
      </c>
      <c r="C568" t="s">
        <v>22</v>
      </c>
      <c r="D568">
        <v>1</v>
      </c>
      <c r="E568" t="s">
        <v>10</v>
      </c>
      <c r="F568">
        <v>89000</v>
      </c>
      <c r="G568">
        <v>65000</v>
      </c>
      <c r="H568">
        <f>Table1[[#This Row],[Qty]]*Table1[[#This Row],[SellingPrice]]</f>
        <v>89000</v>
      </c>
      <c r="I568">
        <f>Table1[[#This Row],[Qty]]*Table1[[#This Row],[CostPrice]]</f>
        <v>65000</v>
      </c>
      <c r="J568">
        <v>23832</v>
      </c>
      <c r="K568">
        <v>167.99999999999997</v>
      </c>
      <c r="L568" t="s">
        <v>12</v>
      </c>
      <c r="M568" t="s">
        <v>30</v>
      </c>
      <c r="N568">
        <f>MONTH(Table1[[#This Row],[SaleDate]])</f>
        <v>3</v>
      </c>
      <c r="O568" t="str">
        <f>TEXT(Table1[[#This Row],[SaleDate]],"MMM")</f>
        <v>Mar</v>
      </c>
    </row>
    <row r="569" spans="1:15">
      <c r="A569" s="1">
        <v>44997</v>
      </c>
      <c r="B569" t="s">
        <v>25</v>
      </c>
      <c r="C569" t="s">
        <v>21</v>
      </c>
      <c r="D569">
        <v>1</v>
      </c>
      <c r="E569" t="s">
        <v>7</v>
      </c>
      <c r="F569">
        <v>33000</v>
      </c>
      <c r="G569">
        <v>18000</v>
      </c>
      <c r="H569">
        <f>Table1[[#This Row],[Qty]]*Table1[[#This Row],[SellingPrice]]</f>
        <v>33000</v>
      </c>
      <c r="I569">
        <f>Table1[[#This Row],[Qty]]*Table1[[#This Row],[CostPrice]]</f>
        <v>18000</v>
      </c>
      <c r="J569">
        <v>14895</v>
      </c>
      <c r="K569">
        <v>104.99999999999999</v>
      </c>
      <c r="L569" t="s">
        <v>13</v>
      </c>
      <c r="M569" t="s">
        <v>30</v>
      </c>
      <c r="N569">
        <f>MONTH(Table1[[#This Row],[SaleDate]])</f>
        <v>3</v>
      </c>
      <c r="O569" t="str">
        <f>TEXT(Table1[[#This Row],[SaleDate]],"MMM")</f>
        <v>Mar</v>
      </c>
    </row>
    <row r="570" spans="1:15">
      <c r="A570" s="1">
        <v>44997</v>
      </c>
      <c r="B570" t="s">
        <v>25</v>
      </c>
      <c r="C570" t="s">
        <v>21</v>
      </c>
      <c r="D570">
        <v>1</v>
      </c>
      <c r="E570" t="s">
        <v>10</v>
      </c>
      <c r="F570">
        <v>89000</v>
      </c>
      <c r="G570">
        <v>65000</v>
      </c>
      <c r="H570">
        <f>Table1[[#This Row],[Qty]]*Table1[[#This Row],[SellingPrice]]</f>
        <v>89000</v>
      </c>
      <c r="I570">
        <f>Table1[[#This Row],[Qty]]*Table1[[#This Row],[CostPrice]]</f>
        <v>65000</v>
      </c>
      <c r="J570">
        <v>23832</v>
      </c>
      <c r="K570">
        <v>167.99999999999997</v>
      </c>
      <c r="L570" t="s">
        <v>13</v>
      </c>
      <c r="M570" t="s">
        <v>29</v>
      </c>
      <c r="N570">
        <f>MONTH(Table1[[#This Row],[SaleDate]])</f>
        <v>3</v>
      </c>
      <c r="O570" t="str">
        <f>TEXT(Table1[[#This Row],[SaleDate]],"MMM")</f>
        <v>Mar</v>
      </c>
    </row>
    <row r="571" spans="1:15">
      <c r="A571" s="1">
        <v>44998</v>
      </c>
      <c r="B571" t="s">
        <v>23</v>
      </c>
      <c r="C571" t="s">
        <v>19</v>
      </c>
      <c r="D571">
        <v>2</v>
      </c>
      <c r="E571" t="s">
        <v>7</v>
      </c>
      <c r="F571">
        <v>33000</v>
      </c>
      <c r="G571">
        <v>18000</v>
      </c>
      <c r="H571">
        <f>Table1[[#This Row],[Qty]]*Table1[[#This Row],[SellingPrice]]</f>
        <v>66000</v>
      </c>
      <c r="I571">
        <f>Table1[[#This Row],[Qty]]*Table1[[#This Row],[CostPrice]]</f>
        <v>36000</v>
      </c>
      <c r="J571">
        <v>29790</v>
      </c>
      <c r="K571">
        <v>209.99999999999997</v>
      </c>
      <c r="L571" t="s">
        <v>8</v>
      </c>
      <c r="M571" t="s">
        <v>27</v>
      </c>
      <c r="N571">
        <f>MONTH(Table1[[#This Row],[SaleDate]])</f>
        <v>3</v>
      </c>
      <c r="O571" t="str">
        <f>TEXT(Table1[[#This Row],[SaleDate]],"MMM")</f>
        <v>Mar</v>
      </c>
    </row>
    <row r="572" spans="1:15">
      <c r="A572" s="1">
        <v>44998</v>
      </c>
      <c r="B572" t="s">
        <v>23</v>
      </c>
      <c r="C572" t="s">
        <v>19</v>
      </c>
      <c r="D572">
        <v>2</v>
      </c>
      <c r="E572" t="s">
        <v>9</v>
      </c>
      <c r="F572">
        <v>60000</v>
      </c>
      <c r="G572">
        <v>31000</v>
      </c>
      <c r="H572">
        <f>Table1[[#This Row],[Qty]]*Table1[[#This Row],[SellingPrice]]</f>
        <v>120000</v>
      </c>
      <c r="I572">
        <f>Table1[[#This Row],[Qty]]*Table1[[#This Row],[CostPrice]]</f>
        <v>62000</v>
      </c>
      <c r="J572">
        <v>57594</v>
      </c>
      <c r="K572">
        <v>405.99999999999994</v>
      </c>
      <c r="L572" t="s">
        <v>8</v>
      </c>
      <c r="M572" t="s">
        <v>29</v>
      </c>
      <c r="N572">
        <f>MONTH(Table1[[#This Row],[SaleDate]])</f>
        <v>3</v>
      </c>
      <c r="O572" t="str">
        <f>TEXT(Table1[[#This Row],[SaleDate]],"MMM")</f>
        <v>Mar</v>
      </c>
    </row>
    <row r="573" spans="1:15">
      <c r="A573" s="1">
        <v>44998</v>
      </c>
      <c r="B573" t="s">
        <v>23</v>
      </c>
      <c r="C573" t="s">
        <v>19</v>
      </c>
      <c r="D573">
        <v>2</v>
      </c>
      <c r="E573" t="s">
        <v>10</v>
      </c>
      <c r="F573">
        <v>89000</v>
      </c>
      <c r="G573">
        <v>65000</v>
      </c>
      <c r="H573">
        <f>Table1[[#This Row],[Qty]]*Table1[[#This Row],[SellingPrice]]</f>
        <v>178000</v>
      </c>
      <c r="I573">
        <f>Table1[[#This Row],[Qty]]*Table1[[#This Row],[CostPrice]]</f>
        <v>130000</v>
      </c>
      <c r="J573">
        <v>47664</v>
      </c>
      <c r="K573">
        <v>335.99999999999994</v>
      </c>
      <c r="L573" t="s">
        <v>8</v>
      </c>
      <c r="M573" t="s">
        <v>28</v>
      </c>
      <c r="N573">
        <f>MONTH(Table1[[#This Row],[SaleDate]])</f>
        <v>3</v>
      </c>
      <c r="O573" t="str">
        <f>TEXT(Table1[[#This Row],[SaleDate]],"MMM")</f>
        <v>Mar</v>
      </c>
    </row>
    <row r="574" spans="1:15">
      <c r="A574" s="1">
        <v>44998</v>
      </c>
      <c r="B574" t="s">
        <v>26</v>
      </c>
      <c r="C574" t="s">
        <v>20</v>
      </c>
      <c r="D574">
        <v>2</v>
      </c>
      <c r="E574" t="s">
        <v>7</v>
      </c>
      <c r="F574">
        <v>33000</v>
      </c>
      <c r="G574">
        <v>18000</v>
      </c>
      <c r="H574">
        <f>Table1[[#This Row],[Qty]]*Table1[[#This Row],[SellingPrice]]</f>
        <v>66000</v>
      </c>
      <c r="I574">
        <f>Table1[[#This Row],[Qty]]*Table1[[#This Row],[CostPrice]]</f>
        <v>36000</v>
      </c>
      <c r="J574">
        <v>29790</v>
      </c>
      <c r="K574">
        <v>209.99999999999997</v>
      </c>
      <c r="L574" t="s">
        <v>11</v>
      </c>
      <c r="M574" t="s">
        <v>28</v>
      </c>
      <c r="N574">
        <f>MONTH(Table1[[#This Row],[SaleDate]])</f>
        <v>3</v>
      </c>
      <c r="O574" t="str">
        <f>TEXT(Table1[[#This Row],[SaleDate]],"MMM")</f>
        <v>Mar</v>
      </c>
    </row>
    <row r="575" spans="1:15">
      <c r="A575" s="1">
        <v>44998</v>
      </c>
      <c r="B575" t="s">
        <v>24</v>
      </c>
      <c r="C575" t="s">
        <v>22</v>
      </c>
      <c r="D575">
        <v>2</v>
      </c>
      <c r="E575" t="s">
        <v>7</v>
      </c>
      <c r="F575">
        <v>33000</v>
      </c>
      <c r="G575">
        <v>18000</v>
      </c>
      <c r="H575">
        <f>Table1[[#This Row],[Qty]]*Table1[[#This Row],[SellingPrice]]</f>
        <v>66000</v>
      </c>
      <c r="I575">
        <f>Table1[[#This Row],[Qty]]*Table1[[#This Row],[CostPrice]]</f>
        <v>36000</v>
      </c>
      <c r="J575">
        <v>29790</v>
      </c>
      <c r="K575">
        <v>209.99999999999997</v>
      </c>
      <c r="L575" t="s">
        <v>12</v>
      </c>
      <c r="M575" t="s">
        <v>29</v>
      </c>
      <c r="N575">
        <f>MONTH(Table1[[#This Row],[SaleDate]])</f>
        <v>3</v>
      </c>
      <c r="O575" t="str">
        <f>TEXT(Table1[[#This Row],[SaleDate]],"MMM")</f>
        <v>Mar</v>
      </c>
    </row>
    <row r="576" spans="1:15">
      <c r="A576" s="1">
        <v>44998</v>
      </c>
      <c r="B576" t="s">
        <v>24</v>
      </c>
      <c r="C576" t="s">
        <v>22</v>
      </c>
      <c r="D576">
        <v>2</v>
      </c>
      <c r="E576" t="s">
        <v>9</v>
      </c>
      <c r="F576">
        <v>60000</v>
      </c>
      <c r="G576">
        <v>31000</v>
      </c>
      <c r="H576">
        <f>Table1[[#This Row],[Qty]]*Table1[[#This Row],[SellingPrice]]</f>
        <v>120000</v>
      </c>
      <c r="I576">
        <f>Table1[[#This Row],[Qty]]*Table1[[#This Row],[CostPrice]]</f>
        <v>62000</v>
      </c>
      <c r="J576">
        <v>57594</v>
      </c>
      <c r="K576">
        <v>405.99999999999994</v>
      </c>
      <c r="L576" t="s">
        <v>12</v>
      </c>
      <c r="M576" t="s">
        <v>27</v>
      </c>
      <c r="N576">
        <f>MONTH(Table1[[#This Row],[SaleDate]])</f>
        <v>3</v>
      </c>
      <c r="O576" t="str">
        <f>TEXT(Table1[[#This Row],[SaleDate]],"MMM")</f>
        <v>Mar</v>
      </c>
    </row>
    <row r="577" spans="1:15">
      <c r="A577" s="1">
        <v>44998</v>
      </c>
      <c r="B577" t="s">
        <v>24</v>
      </c>
      <c r="C577" t="s">
        <v>22</v>
      </c>
      <c r="D577">
        <v>2</v>
      </c>
      <c r="E577" t="s">
        <v>10</v>
      </c>
      <c r="F577">
        <v>89000</v>
      </c>
      <c r="G577">
        <v>65000</v>
      </c>
      <c r="H577">
        <f>Table1[[#This Row],[Qty]]*Table1[[#This Row],[SellingPrice]]</f>
        <v>178000</v>
      </c>
      <c r="I577">
        <f>Table1[[#This Row],[Qty]]*Table1[[#This Row],[CostPrice]]</f>
        <v>130000</v>
      </c>
      <c r="J577">
        <v>47664</v>
      </c>
      <c r="K577">
        <v>335.99999999999994</v>
      </c>
      <c r="L577" t="s">
        <v>12</v>
      </c>
      <c r="M577" t="s">
        <v>27</v>
      </c>
      <c r="N577">
        <f>MONTH(Table1[[#This Row],[SaleDate]])</f>
        <v>3</v>
      </c>
      <c r="O577" t="str">
        <f>TEXT(Table1[[#This Row],[SaleDate]],"MMM")</f>
        <v>Mar</v>
      </c>
    </row>
    <row r="578" spans="1:15">
      <c r="A578" s="1">
        <v>44998</v>
      </c>
      <c r="B578" t="s">
        <v>25</v>
      </c>
      <c r="C578" t="s">
        <v>21</v>
      </c>
      <c r="D578">
        <v>2</v>
      </c>
      <c r="E578" t="s">
        <v>7</v>
      </c>
      <c r="F578">
        <v>33000</v>
      </c>
      <c r="G578">
        <v>18000</v>
      </c>
      <c r="H578">
        <f>Table1[[#This Row],[Qty]]*Table1[[#This Row],[SellingPrice]]</f>
        <v>66000</v>
      </c>
      <c r="I578">
        <f>Table1[[#This Row],[Qty]]*Table1[[#This Row],[CostPrice]]</f>
        <v>36000</v>
      </c>
      <c r="J578">
        <v>29790</v>
      </c>
      <c r="K578">
        <v>209.99999999999997</v>
      </c>
      <c r="L578" t="s">
        <v>13</v>
      </c>
      <c r="M578" t="s">
        <v>29</v>
      </c>
      <c r="N578">
        <f>MONTH(Table1[[#This Row],[SaleDate]])</f>
        <v>3</v>
      </c>
      <c r="O578" t="str">
        <f>TEXT(Table1[[#This Row],[SaleDate]],"MMM")</f>
        <v>Mar</v>
      </c>
    </row>
    <row r="579" spans="1:15">
      <c r="A579" s="1">
        <v>44998</v>
      </c>
      <c r="B579" t="s">
        <v>25</v>
      </c>
      <c r="C579" t="s">
        <v>21</v>
      </c>
      <c r="D579">
        <v>2</v>
      </c>
      <c r="E579" t="s">
        <v>10</v>
      </c>
      <c r="F579">
        <v>89000</v>
      </c>
      <c r="G579">
        <v>65000</v>
      </c>
      <c r="H579">
        <f>Table1[[#This Row],[Qty]]*Table1[[#This Row],[SellingPrice]]</f>
        <v>178000</v>
      </c>
      <c r="I579">
        <f>Table1[[#This Row],[Qty]]*Table1[[#This Row],[CostPrice]]</f>
        <v>130000</v>
      </c>
      <c r="J579">
        <v>47664</v>
      </c>
      <c r="K579">
        <v>335.99999999999994</v>
      </c>
      <c r="L579" t="s">
        <v>13</v>
      </c>
      <c r="M579" t="s">
        <v>29</v>
      </c>
      <c r="N579">
        <f>MONTH(Table1[[#This Row],[SaleDate]])</f>
        <v>3</v>
      </c>
      <c r="O579" t="str">
        <f>TEXT(Table1[[#This Row],[SaleDate]],"MMM")</f>
        <v>Mar</v>
      </c>
    </row>
    <row r="580" spans="1:15">
      <c r="A580" s="1">
        <v>44999</v>
      </c>
      <c r="B580" t="s">
        <v>23</v>
      </c>
      <c r="C580" t="s">
        <v>19</v>
      </c>
      <c r="D580">
        <v>1</v>
      </c>
      <c r="E580" t="s">
        <v>7</v>
      </c>
      <c r="F580">
        <v>33000</v>
      </c>
      <c r="G580">
        <v>18000</v>
      </c>
      <c r="H580">
        <f>Table1[[#This Row],[Qty]]*Table1[[#This Row],[SellingPrice]]</f>
        <v>33000</v>
      </c>
      <c r="I580">
        <f>Table1[[#This Row],[Qty]]*Table1[[#This Row],[CostPrice]]</f>
        <v>18000</v>
      </c>
      <c r="J580">
        <v>14895</v>
      </c>
      <c r="K580">
        <v>104.99999999999999</v>
      </c>
      <c r="L580" t="s">
        <v>8</v>
      </c>
      <c r="M580" t="s">
        <v>27</v>
      </c>
      <c r="N580">
        <f>MONTH(Table1[[#This Row],[SaleDate]])</f>
        <v>3</v>
      </c>
      <c r="O580" t="str">
        <f>TEXT(Table1[[#This Row],[SaleDate]],"MMM")</f>
        <v>Mar</v>
      </c>
    </row>
    <row r="581" spans="1:15">
      <c r="A581" s="1">
        <v>44999</v>
      </c>
      <c r="B581" t="s">
        <v>23</v>
      </c>
      <c r="C581" t="s">
        <v>19</v>
      </c>
      <c r="D581">
        <v>1</v>
      </c>
      <c r="E581" t="s">
        <v>9</v>
      </c>
      <c r="F581">
        <v>60000</v>
      </c>
      <c r="G581">
        <v>31000</v>
      </c>
      <c r="H581">
        <f>Table1[[#This Row],[Qty]]*Table1[[#This Row],[SellingPrice]]</f>
        <v>60000</v>
      </c>
      <c r="I581">
        <f>Table1[[#This Row],[Qty]]*Table1[[#This Row],[CostPrice]]</f>
        <v>31000</v>
      </c>
      <c r="J581">
        <v>28797</v>
      </c>
      <c r="K581">
        <v>202.99999999999997</v>
      </c>
      <c r="L581" t="s">
        <v>8</v>
      </c>
      <c r="M581" t="s">
        <v>30</v>
      </c>
      <c r="N581">
        <f>MONTH(Table1[[#This Row],[SaleDate]])</f>
        <v>3</v>
      </c>
      <c r="O581" t="str">
        <f>TEXT(Table1[[#This Row],[SaleDate]],"MMM")</f>
        <v>Mar</v>
      </c>
    </row>
    <row r="582" spans="1:15">
      <c r="A582" s="1">
        <v>44999</v>
      </c>
      <c r="B582" t="s">
        <v>23</v>
      </c>
      <c r="C582" t="s">
        <v>19</v>
      </c>
      <c r="D582">
        <v>1</v>
      </c>
      <c r="E582" t="s">
        <v>10</v>
      </c>
      <c r="F582">
        <v>89000</v>
      </c>
      <c r="G582">
        <v>65000</v>
      </c>
      <c r="H582">
        <f>Table1[[#This Row],[Qty]]*Table1[[#This Row],[SellingPrice]]</f>
        <v>89000</v>
      </c>
      <c r="I582">
        <f>Table1[[#This Row],[Qty]]*Table1[[#This Row],[CostPrice]]</f>
        <v>65000</v>
      </c>
      <c r="J582">
        <v>23832</v>
      </c>
      <c r="K582">
        <v>167.99999999999997</v>
      </c>
      <c r="L582" t="s">
        <v>8</v>
      </c>
      <c r="M582" t="s">
        <v>30</v>
      </c>
      <c r="N582">
        <f>MONTH(Table1[[#This Row],[SaleDate]])</f>
        <v>3</v>
      </c>
      <c r="O582" t="str">
        <f>TEXT(Table1[[#This Row],[SaleDate]],"MMM")</f>
        <v>Mar</v>
      </c>
    </row>
    <row r="583" spans="1:15">
      <c r="A583" s="1">
        <v>44999</v>
      </c>
      <c r="B583" t="s">
        <v>26</v>
      </c>
      <c r="C583" t="s">
        <v>20</v>
      </c>
      <c r="D583">
        <v>1</v>
      </c>
      <c r="E583" t="s">
        <v>7</v>
      </c>
      <c r="F583">
        <v>33000</v>
      </c>
      <c r="G583">
        <v>18000</v>
      </c>
      <c r="H583">
        <f>Table1[[#This Row],[Qty]]*Table1[[#This Row],[SellingPrice]]</f>
        <v>33000</v>
      </c>
      <c r="I583">
        <f>Table1[[#This Row],[Qty]]*Table1[[#This Row],[CostPrice]]</f>
        <v>18000</v>
      </c>
      <c r="J583">
        <v>14895</v>
      </c>
      <c r="K583">
        <v>104.99999999999999</v>
      </c>
      <c r="L583" t="s">
        <v>11</v>
      </c>
      <c r="M583" t="s">
        <v>30</v>
      </c>
      <c r="N583">
        <f>MONTH(Table1[[#This Row],[SaleDate]])</f>
        <v>3</v>
      </c>
      <c r="O583" t="str">
        <f>TEXT(Table1[[#This Row],[SaleDate]],"MMM")</f>
        <v>Mar</v>
      </c>
    </row>
    <row r="584" spans="1:15">
      <c r="A584" s="1">
        <v>44999</v>
      </c>
      <c r="B584" t="s">
        <v>24</v>
      </c>
      <c r="C584" t="s">
        <v>22</v>
      </c>
      <c r="D584">
        <v>1</v>
      </c>
      <c r="E584" t="s">
        <v>7</v>
      </c>
      <c r="F584">
        <v>33000</v>
      </c>
      <c r="G584">
        <v>18000</v>
      </c>
      <c r="H584">
        <f>Table1[[#This Row],[Qty]]*Table1[[#This Row],[SellingPrice]]</f>
        <v>33000</v>
      </c>
      <c r="I584">
        <f>Table1[[#This Row],[Qty]]*Table1[[#This Row],[CostPrice]]</f>
        <v>18000</v>
      </c>
      <c r="J584">
        <v>14895</v>
      </c>
      <c r="K584">
        <v>104.99999999999999</v>
      </c>
      <c r="L584" t="s">
        <v>12</v>
      </c>
      <c r="M584" t="s">
        <v>30</v>
      </c>
      <c r="N584">
        <f>MONTH(Table1[[#This Row],[SaleDate]])</f>
        <v>3</v>
      </c>
      <c r="O584" t="str">
        <f>TEXT(Table1[[#This Row],[SaleDate]],"MMM")</f>
        <v>Mar</v>
      </c>
    </row>
    <row r="585" spans="1:15">
      <c r="A585" s="1">
        <v>44999</v>
      </c>
      <c r="B585" t="s">
        <v>24</v>
      </c>
      <c r="C585" t="s">
        <v>22</v>
      </c>
      <c r="D585">
        <v>1</v>
      </c>
      <c r="E585" t="s">
        <v>9</v>
      </c>
      <c r="F585">
        <v>60000</v>
      </c>
      <c r="G585">
        <v>31000</v>
      </c>
      <c r="H585">
        <f>Table1[[#This Row],[Qty]]*Table1[[#This Row],[SellingPrice]]</f>
        <v>60000</v>
      </c>
      <c r="I585">
        <f>Table1[[#This Row],[Qty]]*Table1[[#This Row],[CostPrice]]</f>
        <v>31000</v>
      </c>
      <c r="J585">
        <v>28797</v>
      </c>
      <c r="K585">
        <v>202.99999999999997</v>
      </c>
      <c r="L585" t="s">
        <v>12</v>
      </c>
      <c r="M585" t="s">
        <v>27</v>
      </c>
      <c r="N585">
        <f>MONTH(Table1[[#This Row],[SaleDate]])</f>
        <v>3</v>
      </c>
      <c r="O585" t="str">
        <f>TEXT(Table1[[#This Row],[SaleDate]],"MMM")</f>
        <v>Mar</v>
      </c>
    </row>
    <row r="586" spans="1:15">
      <c r="A586" s="1">
        <v>44999</v>
      </c>
      <c r="B586" t="s">
        <v>24</v>
      </c>
      <c r="C586" t="s">
        <v>22</v>
      </c>
      <c r="D586">
        <v>1</v>
      </c>
      <c r="E586" t="s">
        <v>10</v>
      </c>
      <c r="F586">
        <v>89000</v>
      </c>
      <c r="G586">
        <v>65000</v>
      </c>
      <c r="H586">
        <f>Table1[[#This Row],[Qty]]*Table1[[#This Row],[SellingPrice]]</f>
        <v>89000</v>
      </c>
      <c r="I586">
        <f>Table1[[#This Row],[Qty]]*Table1[[#This Row],[CostPrice]]</f>
        <v>65000</v>
      </c>
      <c r="J586">
        <v>23832</v>
      </c>
      <c r="K586">
        <v>167.99999999999997</v>
      </c>
      <c r="L586" t="s">
        <v>12</v>
      </c>
      <c r="M586" t="s">
        <v>28</v>
      </c>
      <c r="N586">
        <f>MONTH(Table1[[#This Row],[SaleDate]])</f>
        <v>3</v>
      </c>
      <c r="O586" t="str">
        <f>TEXT(Table1[[#This Row],[SaleDate]],"MMM")</f>
        <v>Mar</v>
      </c>
    </row>
    <row r="587" spans="1:15">
      <c r="A587" s="1">
        <v>44999</v>
      </c>
      <c r="B587" t="s">
        <v>25</v>
      </c>
      <c r="C587" t="s">
        <v>21</v>
      </c>
      <c r="D587">
        <v>1</v>
      </c>
      <c r="E587" t="s">
        <v>7</v>
      </c>
      <c r="F587">
        <v>33000</v>
      </c>
      <c r="G587">
        <v>18000</v>
      </c>
      <c r="H587">
        <f>Table1[[#This Row],[Qty]]*Table1[[#This Row],[SellingPrice]]</f>
        <v>33000</v>
      </c>
      <c r="I587">
        <f>Table1[[#This Row],[Qty]]*Table1[[#This Row],[CostPrice]]</f>
        <v>18000</v>
      </c>
      <c r="J587">
        <v>14895</v>
      </c>
      <c r="K587">
        <v>104.99999999999999</v>
      </c>
      <c r="L587" t="s">
        <v>13</v>
      </c>
      <c r="M587" t="s">
        <v>30</v>
      </c>
      <c r="N587">
        <f>MONTH(Table1[[#This Row],[SaleDate]])</f>
        <v>3</v>
      </c>
      <c r="O587" t="str">
        <f>TEXT(Table1[[#This Row],[SaleDate]],"MMM")</f>
        <v>Mar</v>
      </c>
    </row>
    <row r="588" spans="1:15">
      <c r="A588" s="1">
        <v>44999</v>
      </c>
      <c r="B588" t="s">
        <v>25</v>
      </c>
      <c r="C588" t="s">
        <v>21</v>
      </c>
      <c r="D588">
        <v>1</v>
      </c>
      <c r="E588" t="s">
        <v>10</v>
      </c>
      <c r="F588">
        <v>89000</v>
      </c>
      <c r="G588">
        <v>65000</v>
      </c>
      <c r="H588">
        <f>Table1[[#This Row],[Qty]]*Table1[[#This Row],[SellingPrice]]</f>
        <v>89000</v>
      </c>
      <c r="I588">
        <f>Table1[[#This Row],[Qty]]*Table1[[#This Row],[CostPrice]]</f>
        <v>65000</v>
      </c>
      <c r="J588">
        <v>23832</v>
      </c>
      <c r="K588">
        <v>167.99999999999997</v>
      </c>
      <c r="L588" t="s">
        <v>13</v>
      </c>
      <c r="M588" t="s">
        <v>30</v>
      </c>
      <c r="N588">
        <f>MONTH(Table1[[#This Row],[SaleDate]])</f>
        <v>3</v>
      </c>
      <c r="O588" t="str">
        <f>TEXT(Table1[[#This Row],[SaleDate]],"MMM")</f>
        <v>Mar</v>
      </c>
    </row>
    <row r="589" spans="1:15">
      <c r="A589" s="1">
        <v>45000</v>
      </c>
      <c r="B589" t="s">
        <v>23</v>
      </c>
      <c r="C589" t="s">
        <v>19</v>
      </c>
      <c r="D589">
        <v>1</v>
      </c>
      <c r="E589" t="s">
        <v>7</v>
      </c>
      <c r="F589">
        <v>33000</v>
      </c>
      <c r="G589">
        <v>18000</v>
      </c>
      <c r="H589">
        <f>Table1[[#This Row],[Qty]]*Table1[[#This Row],[SellingPrice]]</f>
        <v>33000</v>
      </c>
      <c r="I589">
        <f>Table1[[#This Row],[Qty]]*Table1[[#This Row],[CostPrice]]</f>
        <v>18000</v>
      </c>
      <c r="J589">
        <v>14895</v>
      </c>
      <c r="K589">
        <v>104.99999999999999</v>
      </c>
      <c r="L589" t="s">
        <v>8</v>
      </c>
      <c r="M589" t="s">
        <v>27</v>
      </c>
      <c r="N589">
        <f>MONTH(Table1[[#This Row],[SaleDate]])</f>
        <v>3</v>
      </c>
      <c r="O589" t="str">
        <f>TEXT(Table1[[#This Row],[SaleDate]],"MMM")</f>
        <v>Mar</v>
      </c>
    </row>
    <row r="590" spans="1:15">
      <c r="A590" s="1">
        <v>45000</v>
      </c>
      <c r="B590" t="s">
        <v>23</v>
      </c>
      <c r="C590" t="s">
        <v>19</v>
      </c>
      <c r="D590">
        <v>1</v>
      </c>
      <c r="E590" t="s">
        <v>9</v>
      </c>
      <c r="F590">
        <v>60000</v>
      </c>
      <c r="G590">
        <v>31000</v>
      </c>
      <c r="H590">
        <f>Table1[[#This Row],[Qty]]*Table1[[#This Row],[SellingPrice]]</f>
        <v>60000</v>
      </c>
      <c r="I590">
        <f>Table1[[#This Row],[Qty]]*Table1[[#This Row],[CostPrice]]</f>
        <v>31000</v>
      </c>
      <c r="J590">
        <v>28797</v>
      </c>
      <c r="K590">
        <v>202.99999999999997</v>
      </c>
      <c r="L590" t="s">
        <v>8</v>
      </c>
      <c r="M590" t="s">
        <v>30</v>
      </c>
      <c r="N590">
        <f>MONTH(Table1[[#This Row],[SaleDate]])</f>
        <v>3</v>
      </c>
      <c r="O590" t="str">
        <f>TEXT(Table1[[#This Row],[SaleDate]],"MMM")</f>
        <v>Mar</v>
      </c>
    </row>
    <row r="591" spans="1:15">
      <c r="A591" s="1">
        <v>45000</v>
      </c>
      <c r="B591" t="s">
        <v>23</v>
      </c>
      <c r="C591" t="s">
        <v>19</v>
      </c>
      <c r="D591">
        <v>1</v>
      </c>
      <c r="E591" t="s">
        <v>10</v>
      </c>
      <c r="F591">
        <v>89000</v>
      </c>
      <c r="G591">
        <v>65000</v>
      </c>
      <c r="H591">
        <f>Table1[[#This Row],[Qty]]*Table1[[#This Row],[SellingPrice]]</f>
        <v>89000</v>
      </c>
      <c r="I591">
        <f>Table1[[#This Row],[Qty]]*Table1[[#This Row],[CostPrice]]</f>
        <v>65000</v>
      </c>
      <c r="J591">
        <v>23832</v>
      </c>
      <c r="K591">
        <v>167.99999999999997</v>
      </c>
      <c r="L591" t="s">
        <v>8</v>
      </c>
      <c r="M591" t="s">
        <v>29</v>
      </c>
      <c r="N591">
        <f>MONTH(Table1[[#This Row],[SaleDate]])</f>
        <v>3</v>
      </c>
      <c r="O591" t="str">
        <f>TEXT(Table1[[#This Row],[SaleDate]],"MMM")</f>
        <v>Mar</v>
      </c>
    </row>
    <row r="592" spans="1:15">
      <c r="A592" s="1">
        <v>45000</v>
      </c>
      <c r="B592" t="s">
        <v>24</v>
      </c>
      <c r="C592" t="s">
        <v>22</v>
      </c>
      <c r="D592">
        <v>1</v>
      </c>
      <c r="E592" t="s">
        <v>9</v>
      </c>
      <c r="F592">
        <v>60000</v>
      </c>
      <c r="G592">
        <v>31000</v>
      </c>
      <c r="H592">
        <f>Table1[[#This Row],[Qty]]*Table1[[#This Row],[SellingPrice]]</f>
        <v>60000</v>
      </c>
      <c r="I592">
        <f>Table1[[#This Row],[Qty]]*Table1[[#This Row],[CostPrice]]</f>
        <v>31000</v>
      </c>
      <c r="J592">
        <v>28797</v>
      </c>
      <c r="K592">
        <v>202.99999999999997</v>
      </c>
      <c r="L592" t="s">
        <v>12</v>
      </c>
      <c r="M592" t="s">
        <v>27</v>
      </c>
      <c r="N592">
        <f>MONTH(Table1[[#This Row],[SaleDate]])</f>
        <v>3</v>
      </c>
      <c r="O592" t="str">
        <f>TEXT(Table1[[#This Row],[SaleDate]],"MMM")</f>
        <v>Mar</v>
      </c>
    </row>
    <row r="593" spans="1:15">
      <c r="A593" s="1">
        <v>45000</v>
      </c>
      <c r="B593" t="s">
        <v>24</v>
      </c>
      <c r="C593" t="s">
        <v>22</v>
      </c>
      <c r="D593">
        <v>1</v>
      </c>
      <c r="E593" t="s">
        <v>10</v>
      </c>
      <c r="F593">
        <v>89000</v>
      </c>
      <c r="G593">
        <v>65000</v>
      </c>
      <c r="H593">
        <f>Table1[[#This Row],[Qty]]*Table1[[#This Row],[SellingPrice]]</f>
        <v>89000</v>
      </c>
      <c r="I593">
        <f>Table1[[#This Row],[Qty]]*Table1[[#This Row],[CostPrice]]</f>
        <v>65000</v>
      </c>
      <c r="J593">
        <v>23832</v>
      </c>
      <c r="K593">
        <v>167.99999999999997</v>
      </c>
      <c r="L593" t="s">
        <v>12</v>
      </c>
      <c r="M593" t="s">
        <v>29</v>
      </c>
      <c r="N593">
        <f>MONTH(Table1[[#This Row],[SaleDate]])</f>
        <v>3</v>
      </c>
      <c r="O593" t="str">
        <f>TEXT(Table1[[#This Row],[SaleDate]],"MMM")</f>
        <v>Mar</v>
      </c>
    </row>
    <row r="594" spans="1:15">
      <c r="A594" s="1">
        <v>45000</v>
      </c>
      <c r="B594" t="s">
        <v>25</v>
      </c>
      <c r="C594" t="s">
        <v>21</v>
      </c>
      <c r="D594">
        <v>1</v>
      </c>
      <c r="E594" t="s">
        <v>7</v>
      </c>
      <c r="F594">
        <v>33000</v>
      </c>
      <c r="G594">
        <v>18000</v>
      </c>
      <c r="H594">
        <f>Table1[[#This Row],[Qty]]*Table1[[#This Row],[SellingPrice]]</f>
        <v>33000</v>
      </c>
      <c r="I594">
        <f>Table1[[#This Row],[Qty]]*Table1[[#This Row],[CostPrice]]</f>
        <v>18000</v>
      </c>
      <c r="J594">
        <v>14895</v>
      </c>
      <c r="K594">
        <v>104.99999999999999</v>
      </c>
      <c r="L594" t="s">
        <v>13</v>
      </c>
      <c r="M594" t="s">
        <v>27</v>
      </c>
      <c r="N594">
        <f>MONTH(Table1[[#This Row],[SaleDate]])</f>
        <v>3</v>
      </c>
      <c r="O594" t="str">
        <f>TEXT(Table1[[#This Row],[SaleDate]],"MMM")</f>
        <v>Mar</v>
      </c>
    </row>
    <row r="595" spans="1:15">
      <c r="A595" s="1">
        <v>45000</v>
      </c>
      <c r="B595" t="s">
        <v>25</v>
      </c>
      <c r="C595" t="s">
        <v>21</v>
      </c>
      <c r="D595">
        <v>1</v>
      </c>
      <c r="E595" t="s">
        <v>10</v>
      </c>
      <c r="F595">
        <v>89000</v>
      </c>
      <c r="G595">
        <v>65000</v>
      </c>
      <c r="H595">
        <f>Table1[[#This Row],[Qty]]*Table1[[#This Row],[SellingPrice]]</f>
        <v>89000</v>
      </c>
      <c r="I595">
        <f>Table1[[#This Row],[Qty]]*Table1[[#This Row],[CostPrice]]</f>
        <v>65000</v>
      </c>
      <c r="J595">
        <v>23832</v>
      </c>
      <c r="K595">
        <v>167.99999999999997</v>
      </c>
      <c r="L595" t="s">
        <v>13</v>
      </c>
      <c r="M595" t="s">
        <v>28</v>
      </c>
      <c r="N595">
        <f>MONTH(Table1[[#This Row],[SaleDate]])</f>
        <v>3</v>
      </c>
      <c r="O595" t="str">
        <f>TEXT(Table1[[#This Row],[SaleDate]],"MMM")</f>
        <v>Mar</v>
      </c>
    </row>
    <row r="596" spans="1:15">
      <c r="A596" s="1">
        <v>45001</v>
      </c>
      <c r="B596" t="s">
        <v>23</v>
      </c>
      <c r="C596" t="s">
        <v>19</v>
      </c>
      <c r="D596">
        <v>1</v>
      </c>
      <c r="E596" t="s">
        <v>7</v>
      </c>
      <c r="F596">
        <v>33000</v>
      </c>
      <c r="G596">
        <v>18000</v>
      </c>
      <c r="H596">
        <f>Table1[[#This Row],[Qty]]*Table1[[#This Row],[SellingPrice]]</f>
        <v>33000</v>
      </c>
      <c r="I596">
        <f>Table1[[#This Row],[Qty]]*Table1[[#This Row],[CostPrice]]</f>
        <v>18000</v>
      </c>
      <c r="J596">
        <v>14895</v>
      </c>
      <c r="K596">
        <v>104.99999999999999</v>
      </c>
      <c r="L596" t="s">
        <v>8</v>
      </c>
      <c r="M596" t="s">
        <v>30</v>
      </c>
      <c r="N596">
        <f>MONTH(Table1[[#This Row],[SaleDate]])</f>
        <v>3</v>
      </c>
      <c r="O596" t="str">
        <f>TEXT(Table1[[#This Row],[SaleDate]],"MMM")</f>
        <v>Mar</v>
      </c>
    </row>
    <row r="597" spans="1:15">
      <c r="A597" s="1">
        <v>45001</v>
      </c>
      <c r="B597" t="s">
        <v>23</v>
      </c>
      <c r="C597" t="s">
        <v>19</v>
      </c>
      <c r="D597">
        <v>1</v>
      </c>
      <c r="E597" t="s">
        <v>9</v>
      </c>
      <c r="F597">
        <v>60000</v>
      </c>
      <c r="G597">
        <v>31000</v>
      </c>
      <c r="H597">
        <f>Table1[[#This Row],[Qty]]*Table1[[#This Row],[SellingPrice]]</f>
        <v>60000</v>
      </c>
      <c r="I597">
        <f>Table1[[#This Row],[Qty]]*Table1[[#This Row],[CostPrice]]</f>
        <v>31000</v>
      </c>
      <c r="J597">
        <v>28797</v>
      </c>
      <c r="K597">
        <v>202.99999999999997</v>
      </c>
      <c r="L597" t="s">
        <v>8</v>
      </c>
      <c r="M597" t="s">
        <v>30</v>
      </c>
      <c r="N597">
        <f>MONTH(Table1[[#This Row],[SaleDate]])</f>
        <v>3</v>
      </c>
      <c r="O597" t="str">
        <f>TEXT(Table1[[#This Row],[SaleDate]],"MMM")</f>
        <v>Mar</v>
      </c>
    </row>
    <row r="598" spans="1:15">
      <c r="A598" s="1">
        <v>45001</v>
      </c>
      <c r="B598" t="s">
        <v>23</v>
      </c>
      <c r="C598" t="s">
        <v>19</v>
      </c>
      <c r="D598">
        <v>1</v>
      </c>
      <c r="E598" t="s">
        <v>10</v>
      </c>
      <c r="F598">
        <v>89000</v>
      </c>
      <c r="G598">
        <v>65000</v>
      </c>
      <c r="H598">
        <f>Table1[[#This Row],[Qty]]*Table1[[#This Row],[SellingPrice]]</f>
        <v>89000</v>
      </c>
      <c r="I598">
        <f>Table1[[#This Row],[Qty]]*Table1[[#This Row],[CostPrice]]</f>
        <v>65000</v>
      </c>
      <c r="J598">
        <v>23832</v>
      </c>
      <c r="K598">
        <v>167.99999999999997</v>
      </c>
      <c r="L598" t="s">
        <v>8</v>
      </c>
      <c r="M598" t="s">
        <v>27</v>
      </c>
      <c r="N598">
        <f>MONTH(Table1[[#This Row],[SaleDate]])</f>
        <v>3</v>
      </c>
      <c r="O598" t="str">
        <f>TEXT(Table1[[#This Row],[SaleDate]],"MMM")</f>
        <v>Mar</v>
      </c>
    </row>
    <row r="599" spans="1:15">
      <c r="A599" s="1">
        <v>45001</v>
      </c>
      <c r="B599" t="s">
        <v>24</v>
      </c>
      <c r="C599" t="s">
        <v>22</v>
      </c>
      <c r="D599">
        <v>1</v>
      </c>
      <c r="E599" t="s">
        <v>9</v>
      </c>
      <c r="F599">
        <v>60000</v>
      </c>
      <c r="G599">
        <v>31000</v>
      </c>
      <c r="H599">
        <f>Table1[[#This Row],[Qty]]*Table1[[#This Row],[SellingPrice]]</f>
        <v>60000</v>
      </c>
      <c r="I599">
        <f>Table1[[#This Row],[Qty]]*Table1[[#This Row],[CostPrice]]</f>
        <v>31000</v>
      </c>
      <c r="J599">
        <v>28797</v>
      </c>
      <c r="K599">
        <v>202.99999999999997</v>
      </c>
      <c r="L599" t="s">
        <v>12</v>
      </c>
      <c r="M599" t="s">
        <v>29</v>
      </c>
      <c r="N599">
        <f>MONTH(Table1[[#This Row],[SaleDate]])</f>
        <v>3</v>
      </c>
      <c r="O599" t="str">
        <f>TEXT(Table1[[#This Row],[SaleDate]],"MMM")</f>
        <v>Mar</v>
      </c>
    </row>
    <row r="600" spans="1:15">
      <c r="A600" s="1">
        <v>45001</v>
      </c>
      <c r="B600" t="s">
        <v>24</v>
      </c>
      <c r="C600" t="s">
        <v>22</v>
      </c>
      <c r="D600">
        <v>1</v>
      </c>
      <c r="E600" t="s">
        <v>10</v>
      </c>
      <c r="F600">
        <v>89000</v>
      </c>
      <c r="G600">
        <v>65000</v>
      </c>
      <c r="H600">
        <f>Table1[[#This Row],[Qty]]*Table1[[#This Row],[SellingPrice]]</f>
        <v>89000</v>
      </c>
      <c r="I600">
        <f>Table1[[#This Row],[Qty]]*Table1[[#This Row],[CostPrice]]</f>
        <v>65000</v>
      </c>
      <c r="J600">
        <v>23832</v>
      </c>
      <c r="K600">
        <v>167.99999999999997</v>
      </c>
      <c r="L600" t="s">
        <v>12</v>
      </c>
      <c r="M600" t="s">
        <v>30</v>
      </c>
      <c r="N600">
        <f>MONTH(Table1[[#This Row],[SaleDate]])</f>
        <v>3</v>
      </c>
      <c r="O600" t="str">
        <f>TEXT(Table1[[#This Row],[SaleDate]],"MMM")</f>
        <v>Mar</v>
      </c>
    </row>
    <row r="601" spans="1:15">
      <c r="A601" s="1">
        <v>45001</v>
      </c>
      <c r="B601" t="s">
        <v>25</v>
      </c>
      <c r="C601" t="s">
        <v>21</v>
      </c>
      <c r="D601">
        <v>1</v>
      </c>
      <c r="E601" t="s">
        <v>7</v>
      </c>
      <c r="F601">
        <v>33000</v>
      </c>
      <c r="G601">
        <v>18000</v>
      </c>
      <c r="H601">
        <f>Table1[[#This Row],[Qty]]*Table1[[#This Row],[SellingPrice]]</f>
        <v>33000</v>
      </c>
      <c r="I601">
        <f>Table1[[#This Row],[Qty]]*Table1[[#This Row],[CostPrice]]</f>
        <v>18000</v>
      </c>
      <c r="J601">
        <v>14895</v>
      </c>
      <c r="K601">
        <v>104.99999999999999</v>
      </c>
      <c r="L601" t="s">
        <v>13</v>
      </c>
      <c r="M601" t="s">
        <v>30</v>
      </c>
      <c r="N601">
        <f>MONTH(Table1[[#This Row],[SaleDate]])</f>
        <v>3</v>
      </c>
      <c r="O601" t="str">
        <f>TEXT(Table1[[#This Row],[SaleDate]],"MMM")</f>
        <v>Mar</v>
      </c>
    </row>
    <row r="602" spans="1:15">
      <c r="A602" s="1">
        <v>45001</v>
      </c>
      <c r="B602" t="s">
        <v>25</v>
      </c>
      <c r="C602" t="s">
        <v>21</v>
      </c>
      <c r="D602">
        <v>1</v>
      </c>
      <c r="E602" t="s">
        <v>10</v>
      </c>
      <c r="F602">
        <v>89000</v>
      </c>
      <c r="G602">
        <v>65000</v>
      </c>
      <c r="H602">
        <f>Table1[[#This Row],[Qty]]*Table1[[#This Row],[SellingPrice]]</f>
        <v>89000</v>
      </c>
      <c r="I602">
        <f>Table1[[#This Row],[Qty]]*Table1[[#This Row],[CostPrice]]</f>
        <v>65000</v>
      </c>
      <c r="J602">
        <v>23832</v>
      </c>
      <c r="K602">
        <v>167.99999999999997</v>
      </c>
      <c r="L602" t="s">
        <v>13</v>
      </c>
      <c r="M602" t="s">
        <v>27</v>
      </c>
      <c r="N602">
        <f>MONTH(Table1[[#This Row],[SaleDate]])</f>
        <v>3</v>
      </c>
      <c r="O602" t="str">
        <f>TEXT(Table1[[#This Row],[SaleDate]],"MMM")</f>
        <v>Mar</v>
      </c>
    </row>
    <row r="603" spans="1:15">
      <c r="A603" s="1">
        <v>45002</v>
      </c>
      <c r="B603" t="s">
        <v>23</v>
      </c>
      <c r="C603" t="s">
        <v>19</v>
      </c>
      <c r="D603">
        <v>2</v>
      </c>
      <c r="E603" t="s">
        <v>7</v>
      </c>
      <c r="F603">
        <v>33000</v>
      </c>
      <c r="G603">
        <v>18000</v>
      </c>
      <c r="H603">
        <f>Table1[[#This Row],[Qty]]*Table1[[#This Row],[SellingPrice]]</f>
        <v>66000</v>
      </c>
      <c r="I603">
        <f>Table1[[#This Row],[Qty]]*Table1[[#This Row],[CostPrice]]</f>
        <v>36000</v>
      </c>
      <c r="J603">
        <v>29790</v>
      </c>
      <c r="K603">
        <v>209.99999999999997</v>
      </c>
      <c r="L603" t="s">
        <v>8</v>
      </c>
      <c r="M603" t="s">
        <v>27</v>
      </c>
      <c r="N603">
        <f>MONTH(Table1[[#This Row],[SaleDate]])</f>
        <v>3</v>
      </c>
      <c r="O603" t="str">
        <f>TEXT(Table1[[#This Row],[SaleDate]],"MMM")</f>
        <v>Mar</v>
      </c>
    </row>
    <row r="604" spans="1:15">
      <c r="A604" s="1">
        <v>45002</v>
      </c>
      <c r="B604" t="s">
        <v>23</v>
      </c>
      <c r="C604" t="s">
        <v>19</v>
      </c>
      <c r="D604">
        <v>2</v>
      </c>
      <c r="E604" t="s">
        <v>9</v>
      </c>
      <c r="F604">
        <v>60000</v>
      </c>
      <c r="G604">
        <v>31000</v>
      </c>
      <c r="H604">
        <f>Table1[[#This Row],[Qty]]*Table1[[#This Row],[SellingPrice]]</f>
        <v>120000</v>
      </c>
      <c r="I604">
        <f>Table1[[#This Row],[Qty]]*Table1[[#This Row],[CostPrice]]</f>
        <v>62000</v>
      </c>
      <c r="J604">
        <v>57594</v>
      </c>
      <c r="K604">
        <v>405.99999999999994</v>
      </c>
      <c r="L604" t="s">
        <v>8</v>
      </c>
      <c r="M604" t="s">
        <v>29</v>
      </c>
      <c r="N604">
        <f>MONTH(Table1[[#This Row],[SaleDate]])</f>
        <v>3</v>
      </c>
      <c r="O604" t="str">
        <f>TEXT(Table1[[#This Row],[SaleDate]],"MMM")</f>
        <v>Mar</v>
      </c>
    </row>
    <row r="605" spans="1:15">
      <c r="A605" s="1">
        <v>45002</v>
      </c>
      <c r="B605" t="s">
        <v>23</v>
      </c>
      <c r="C605" t="s">
        <v>19</v>
      </c>
      <c r="D605">
        <v>2</v>
      </c>
      <c r="E605" t="s">
        <v>10</v>
      </c>
      <c r="F605">
        <v>89000</v>
      </c>
      <c r="G605">
        <v>65000</v>
      </c>
      <c r="H605">
        <f>Table1[[#This Row],[Qty]]*Table1[[#This Row],[SellingPrice]]</f>
        <v>178000</v>
      </c>
      <c r="I605">
        <f>Table1[[#This Row],[Qty]]*Table1[[#This Row],[CostPrice]]</f>
        <v>130000</v>
      </c>
      <c r="J605">
        <v>47664</v>
      </c>
      <c r="K605">
        <v>335.99999999999994</v>
      </c>
      <c r="L605" t="s">
        <v>8</v>
      </c>
      <c r="M605" t="s">
        <v>29</v>
      </c>
      <c r="N605">
        <f>MONTH(Table1[[#This Row],[SaleDate]])</f>
        <v>3</v>
      </c>
      <c r="O605" t="str">
        <f>TEXT(Table1[[#This Row],[SaleDate]],"MMM")</f>
        <v>Mar</v>
      </c>
    </row>
    <row r="606" spans="1:15">
      <c r="A606" s="1">
        <v>45002</v>
      </c>
      <c r="B606" t="s">
        <v>24</v>
      </c>
      <c r="C606" t="s">
        <v>22</v>
      </c>
      <c r="D606">
        <v>2</v>
      </c>
      <c r="E606" t="s">
        <v>7</v>
      </c>
      <c r="F606">
        <v>33000</v>
      </c>
      <c r="G606">
        <v>18000</v>
      </c>
      <c r="H606">
        <f>Table1[[#This Row],[Qty]]*Table1[[#This Row],[SellingPrice]]</f>
        <v>66000</v>
      </c>
      <c r="I606">
        <f>Table1[[#This Row],[Qty]]*Table1[[#This Row],[CostPrice]]</f>
        <v>36000</v>
      </c>
      <c r="J606">
        <v>29790</v>
      </c>
      <c r="K606">
        <v>209.99999999999997</v>
      </c>
      <c r="L606" t="s">
        <v>12</v>
      </c>
      <c r="M606" t="s">
        <v>30</v>
      </c>
      <c r="N606">
        <f>MONTH(Table1[[#This Row],[SaleDate]])</f>
        <v>3</v>
      </c>
      <c r="O606" t="str">
        <f>TEXT(Table1[[#This Row],[SaleDate]],"MMM")</f>
        <v>Mar</v>
      </c>
    </row>
    <row r="607" spans="1:15">
      <c r="A607" s="1">
        <v>45002</v>
      </c>
      <c r="B607" t="s">
        <v>24</v>
      </c>
      <c r="C607" t="s">
        <v>22</v>
      </c>
      <c r="D607">
        <v>2</v>
      </c>
      <c r="E607" t="s">
        <v>9</v>
      </c>
      <c r="F607">
        <v>60000</v>
      </c>
      <c r="G607">
        <v>31000</v>
      </c>
      <c r="H607">
        <f>Table1[[#This Row],[Qty]]*Table1[[#This Row],[SellingPrice]]</f>
        <v>120000</v>
      </c>
      <c r="I607">
        <f>Table1[[#This Row],[Qty]]*Table1[[#This Row],[CostPrice]]</f>
        <v>62000</v>
      </c>
      <c r="J607">
        <v>57594</v>
      </c>
      <c r="K607">
        <v>405.99999999999994</v>
      </c>
      <c r="L607" t="s">
        <v>12</v>
      </c>
      <c r="M607" t="s">
        <v>30</v>
      </c>
      <c r="N607">
        <f>MONTH(Table1[[#This Row],[SaleDate]])</f>
        <v>3</v>
      </c>
      <c r="O607" t="str">
        <f>TEXT(Table1[[#This Row],[SaleDate]],"MMM")</f>
        <v>Mar</v>
      </c>
    </row>
    <row r="608" spans="1:15">
      <c r="A608" s="1">
        <v>45002</v>
      </c>
      <c r="B608" t="s">
        <v>24</v>
      </c>
      <c r="C608" t="s">
        <v>22</v>
      </c>
      <c r="D608">
        <v>2</v>
      </c>
      <c r="E608" t="s">
        <v>10</v>
      </c>
      <c r="F608">
        <v>89000</v>
      </c>
      <c r="G608">
        <v>65000</v>
      </c>
      <c r="H608">
        <f>Table1[[#This Row],[Qty]]*Table1[[#This Row],[SellingPrice]]</f>
        <v>178000</v>
      </c>
      <c r="I608">
        <f>Table1[[#This Row],[Qty]]*Table1[[#This Row],[CostPrice]]</f>
        <v>130000</v>
      </c>
      <c r="J608">
        <v>47664</v>
      </c>
      <c r="K608">
        <v>335.99999999999994</v>
      </c>
      <c r="L608" t="s">
        <v>12</v>
      </c>
      <c r="M608" t="s">
        <v>29</v>
      </c>
      <c r="N608">
        <f>MONTH(Table1[[#This Row],[SaleDate]])</f>
        <v>3</v>
      </c>
      <c r="O608" t="str">
        <f>TEXT(Table1[[#This Row],[SaleDate]],"MMM")</f>
        <v>Mar</v>
      </c>
    </row>
    <row r="609" spans="1:15">
      <c r="A609" s="1">
        <v>45002</v>
      </c>
      <c r="B609" t="s">
        <v>25</v>
      </c>
      <c r="C609" t="s">
        <v>21</v>
      </c>
      <c r="D609">
        <v>2</v>
      </c>
      <c r="E609" t="s">
        <v>7</v>
      </c>
      <c r="F609">
        <v>33000</v>
      </c>
      <c r="G609">
        <v>18000</v>
      </c>
      <c r="H609">
        <f>Table1[[#This Row],[Qty]]*Table1[[#This Row],[SellingPrice]]</f>
        <v>66000</v>
      </c>
      <c r="I609">
        <f>Table1[[#This Row],[Qty]]*Table1[[#This Row],[CostPrice]]</f>
        <v>36000</v>
      </c>
      <c r="J609">
        <v>29790</v>
      </c>
      <c r="K609">
        <v>209.99999999999997</v>
      </c>
      <c r="L609" t="s">
        <v>13</v>
      </c>
      <c r="M609" t="s">
        <v>30</v>
      </c>
      <c r="N609">
        <f>MONTH(Table1[[#This Row],[SaleDate]])</f>
        <v>3</v>
      </c>
      <c r="O609" t="str">
        <f>TEXT(Table1[[#This Row],[SaleDate]],"MMM")</f>
        <v>Mar</v>
      </c>
    </row>
    <row r="610" spans="1:15">
      <c r="A610" s="1">
        <v>45002</v>
      </c>
      <c r="B610" t="s">
        <v>25</v>
      </c>
      <c r="C610" t="s">
        <v>21</v>
      </c>
      <c r="D610">
        <v>2</v>
      </c>
      <c r="E610" t="s">
        <v>10</v>
      </c>
      <c r="F610">
        <v>89000</v>
      </c>
      <c r="G610">
        <v>65000</v>
      </c>
      <c r="H610">
        <f>Table1[[#This Row],[Qty]]*Table1[[#This Row],[SellingPrice]]</f>
        <v>178000</v>
      </c>
      <c r="I610">
        <f>Table1[[#This Row],[Qty]]*Table1[[#This Row],[CostPrice]]</f>
        <v>130000</v>
      </c>
      <c r="J610">
        <v>47664</v>
      </c>
      <c r="K610">
        <v>335.99999999999994</v>
      </c>
      <c r="L610" t="s">
        <v>13</v>
      </c>
      <c r="M610" t="s">
        <v>27</v>
      </c>
      <c r="N610">
        <f>MONTH(Table1[[#This Row],[SaleDate]])</f>
        <v>3</v>
      </c>
      <c r="O610" t="str">
        <f>TEXT(Table1[[#This Row],[SaleDate]],"MMM")</f>
        <v>Mar</v>
      </c>
    </row>
    <row r="611" spans="1:15">
      <c r="A611" s="1">
        <v>45003</v>
      </c>
      <c r="B611" t="s">
        <v>23</v>
      </c>
      <c r="C611" t="s">
        <v>19</v>
      </c>
      <c r="D611">
        <v>1</v>
      </c>
      <c r="E611" t="s">
        <v>7</v>
      </c>
      <c r="F611">
        <v>33000</v>
      </c>
      <c r="G611">
        <v>18000</v>
      </c>
      <c r="H611">
        <f>Table1[[#This Row],[Qty]]*Table1[[#This Row],[SellingPrice]]</f>
        <v>33000</v>
      </c>
      <c r="I611">
        <f>Table1[[#This Row],[Qty]]*Table1[[#This Row],[CostPrice]]</f>
        <v>18000</v>
      </c>
      <c r="J611">
        <v>14895</v>
      </c>
      <c r="K611">
        <v>104.99999999999999</v>
      </c>
      <c r="L611" t="s">
        <v>8</v>
      </c>
      <c r="M611" t="s">
        <v>27</v>
      </c>
      <c r="N611">
        <f>MONTH(Table1[[#This Row],[SaleDate]])</f>
        <v>3</v>
      </c>
      <c r="O611" t="str">
        <f>TEXT(Table1[[#This Row],[SaleDate]],"MMM")</f>
        <v>Mar</v>
      </c>
    </row>
    <row r="612" spans="1:15">
      <c r="A612" s="1">
        <v>45003</v>
      </c>
      <c r="B612" t="s">
        <v>23</v>
      </c>
      <c r="C612" t="s">
        <v>19</v>
      </c>
      <c r="D612">
        <v>1</v>
      </c>
      <c r="E612" t="s">
        <v>9</v>
      </c>
      <c r="F612">
        <v>60000</v>
      </c>
      <c r="G612">
        <v>31000</v>
      </c>
      <c r="H612">
        <f>Table1[[#This Row],[Qty]]*Table1[[#This Row],[SellingPrice]]</f>
        <v>60000</v>
      </c>
      <c r="I612">
        <f>Table1[[#This Row],[Qty]]*Table1[[#This Row],[CostPrice]]</f>
        <v>31000</v>
      </c>
      <c r="J612">
        <v>28797</v>
      </c>
      <c r="K612">
        <v>202.99999999999997</v>
      </c>
      <c r="L612" t="s">
        <v>8</v>
      </c>
      <c r="M612" t="s">
        <v>27</v>
      </c>
      <c r="N612">
        <f>MONTH(Table1[[#This Row],[SaleDate]])</f>
        <v>3</v>
      </c>
      <c r="O612" t="str">
        <f>TEXT(Table1[[#This Row],[SaleDate]],"MMM")</f>
        <v>Mar</v>
      </c>
    </row>
    <row r="613" spans="1:15">
      <c r="A613" s="1">
        <v>45003</v>
      </c>
      <c r="B613" t="s">
        <v>23</v>
      </c>
      <c r="C613" t="s">
        <v>19</v>
      </c>
      <c r="D613">
        <v>1</v>
      </c>
      <c r="E613" t="s">
        <v>10</v>
      </c>
      <c r="F613">
        <v>89000</v>
      </c>
      <c r="G613">
        <v>65000</v>
      </c>
      <c r="H613">
        <f>Table1[[#This Row],[Qty]]*Table1[[#This Row],[SellingPrice]]</f>
        <v>89000</v>
      </c>
      <c r="I613">
        <f>Table1[[#This Row],[Qty]]*Table1[[#This Row],[CostPrice]]</f>
        <v>65000</v>
      </c>
      <c r="J613">
        <v>23832</v>
      </c>
      <c r="K613">
        <v>167.99999999999997</v>
      </c>
      <c r="L613" t="s">
        <v>8</v>
      </c>
      <c r="M613" t="s">
        <v>27</v>
      </c>
      <c r="N613">
        <f>MONTH(Table1[[#This Row],[SaleDate]])</f>
        <v>3</v>
      </c>
      <c r="O613" t="str">
        <f>TEXT(Table1[[#This Row],[SaleDate]],"MMM")</f>
        <v>Mar</v>
      </c>
    </row>
    <row r="614" spans="1:15">
      <c r="A614" s="1">
        <v>45003</v>
      </c>
      <c r="B614" t="s">
        <v>24</v>
      </c>
      <c r="C614" t="s">
        <v>22</v>
      </c>
      <c r="D614">
        <v>1</v>
      </c>
      <c r="E614" t="s">
        <v>7</v>
      </c>
      <c r="F614">
        <v>33000</v>
      </c>
      <c r="G614">
        <v>18000</v>
      </c>
      <c r="H614">
        <f>Table1[[#This Row],[Qty]]*Table1[[#This Row],[SellingPrice]]</f>
        <v>33000</v>
      </c>
      <c r="I614">
        <f>Table1[[#This Row],[Qty]]*Table1[[#This Row],[CostPrice]]</f>
        <v>18000</v>
      </c>
      <c r="J614">
        <v>14895</v>
      </c>
      <c r="K614">
        <v>104.99999999999999</v>
      </c>
      <c r="L614" t="s">
        <v>12</v>
      </c>
      <c r="M614" t="s">
        <v>27</v>
      </c>
      <c r="N614">
        <f>MONTH(Table1[[#This Row],[SaleDate]])</f>
        <v>3</v>
      </c>
      <c r="O614" t="str">
        <f>TEXT(Table1[[#This Row],[SaleDate]],"MMM")</f>
        <v>Mar</v>
      </c>
    </row>
    <row r="615" spans="1:15">
      <c r="A615" s="1">
        <v>45003</v>
      </c>
      <c r="B615" t="s">
        <v>24</v>
      </c>
      <c r="C615" t="s">
        <v>22</v>
      </c>
      <c r="D615">
        <v>1</v>
      </c>
      <c r="E615" t="s">
        <v>9</v>
      </c>
      <c r="F615">
        <v>60000</v>
      </c>
      <c r="G615">
        <v>31000</v>
      </c>
      <c r="H615">
        <f>Table1[[#This Row],[Qty]]*Table1[[#This Row],[SellingPrice]]</f>
        <v>60000</v>
      </c>
      <c r="I615">
        <f>Table1[[#This Row],[Qty]]*Table1[[#This Row],[CostPrice]]</f>
        <v>31000</v>
      </c>
      <c r="J615">
        <v>28797</v>
      </c>
      <c r="K615">
        <v>202.99999999999997</v>
      </c>
      <c r="L615" t="s">
        <v>12</v>
      </c>
      <c r="M615" t="s">
        <v>29</v>
      </c>
      <c r="N615">
        <f>MONTH(Table1[[#This Row],[SaleDate]])</f>
        <v>3</v>
      </c>
      <c r="O615" t="str">
        <f>TEXT(Table1[[#This Row],[SaleDate]],"MMM")</f>
        <v>Mar</v>
      </c>
    </row>
    <row r="616" spans="1:15">
      <c r="A616" s="1">
        <v>45003</v>
      </c>
      <c r="B616" t="s">
        <v>24</v>
      </c>
      <c r="C616" t="s">
        <v>22</v>
      </c>
      <c r="D616">
        <v>1</v>
      </c>
      <c r="E616" t="s">
        <v>10</v>
      </c>
      <c r="F616">
        <v>89000</v>
      </c>
      <c r="G616">
        <v>65000</v>
      </c>
      <c r="H616">
        <f>Table1[[#This Row],[Qty]]*Table1[[#This Row],[SellingPrice]]</f>
        <v>89000</v>
      </c>
      <c r="I616">
        <f>Table1[[#This Row],[Qty]]*Table1[[#This Row],[CostPrice]]</f>
        <v>65000</v>
      </c>
      <c r="J616">
        <v>23832</v>
      </c>
      <c r="K616">
        <v>167.99999999999997</v>
      </c>
      <c r="L616" t="s">
        <v>12</v>
      </c>
      <c r="M616" t="s">
        <v>29</v>
      </c>
      <c r="N616">
        <f>MONTH(Table1[[#This Row],[SaleDate]])</f>
        <v>3</v>
      </c>
      <c r="O616" t="str">
        <f>TEXT(Table1[[#This Row],[SaleDate]],"MMM")</f>
        <v>Mar</v>
      </c>
    </row>
    <row r="617" spans="1:15">
      <c r="A617" s="1">
        <v>45003</v>
      </c>
      <c r="B617" t="s">
        <v>25</v>
      </c>
      <c r="C617" t="s">
        <v>21</v>
      </c>
      <c r="D617">
        <v>1</v>
      </c>
      <c r="E617" t="s">
        <v>7</v>
      </c>
      <c r="F617">
        <v>33000</v>
      </c>
      <c r="G617">
        <v>18000</v>
      </c>
      <c r="H617">
        <f>Table1[[#This Row],[Qty]]*Table1[[#This Row],[SellingPrice]]</f>
        <v>33000</v>
      </c>
      <c r="I617">
        <f>Table1[[#This Row],[Qty]]*Table1[[#This Row],[CostPrice]]</f>
        <v>18000</v>
      </c>
      <c r="J617">
        <v>14895</v>
      </c>
      <c r="K617">
        <v>104.99999999999999</v>
      </c>
      <c r="L617" t="s">
        <v>13</v>
      </c>
      <c r="M617" t="s">
        <v>27</v>
      </c>
      <c r="N617">
        <f>MONTH(Table1[[#This Row],[SaleDate]])</f>
        <v>3</v>
      </c>
      <c r="O617" t="str">
        <f>TEXT(Table1[[#This Row],[SaleDate]],"MMM")</f>
        <v>Mar</v>
      </c>
    </row>
    <row r="618" spans="1:15">
      <c r="A618" s="1">
        <v>45003</v>
      </c>
      <c r="B618" t="s">
        <v>25</v>
      </c>
      <c r="C618" t="s">
        <v>21</v>
      </c>
      <c r="D618">
        <v>1</v>
      </c>
      <c r="E618" t="s">
        <v>10</v>
      </c>
      <c r="F618">
        <v>89000</v>
      </c>
      <c r="G618">
        <v>65000</v>
      </c>
      <c r="H618">
        <f>Table1[[#This Row],[Qty]]*Table1[[#This Row],[SellingPrice]]</f>
        <v>89000</v>
      </c>
      <c r="I618">
        <f>Table1[[#This Row],[Qty]]*Table1[[#This Row],[CostPrice]]</f>
        <v>65000</v>
      </c>
      <c r="J618">
        <v>23832</v>
      </c>
      <c r="K618">
        <v>167.99999999999997</v>
      </c>
      <c r="L618" t="s">
        <v>13</v>
      </c>
      <c r="M618" t="s">
        <v>27</v>
      </c>
      <c r="N618">
        <f>MONTH(Table1[[#This Row],[SaleDate]])</f>
        <v>3</v>
      </c>
      <c r="O618" t="str">
        <f>TEXT(Table1[[#This Row],[SaleDate]],"MMM")</f>
        <v>Mar</v>
      </c>
    </row>
    <row r="619" spans="1:15">
      <c r="A619" s="1">
        <v>45004</v>
      </c>
      <c r="B619" t="s">
        <v>23</v>
      </c>
      <c r="C619" t="s">
        <v>19</v>
      </c>
      <c r="D619">
        <v>2</v>
      </c>
      <c r="E619" t="s">
        <v>7</v>
      </c>
      <c r="F619">
        <v>33000</v>
      </c>
      <c r="G619">
        <v>18000</v>
      </c>
      <c r="H619">
        <f>Table1[[#This Row],[Qty]]*Table1[[#This Row],[SellingPrice]]</f>
        <v>66000</v>
      </c>
      <c r="I619">
        <f>Table1[[#This Row],[Qty]]*Table1[[#This Row],[CostPrice]]</f>
        <v>36000</v>
      </c>
      <c r="J619">
        <v>29790</v>
      </c>
      <c r="K619">
        <v>209.99999999999997</v>
      </c>
      <c r="L619" t="s">
        <v>8</v>
      </c>
      <c r="M619" t="s">
        <v>30</v>
      </c>
      <c r="N619">
        <f>MONTH(Table1[[#This Row],[SaleDate]])</f>
        <v>3</v>
      </c>
      <c r="O619" t="str">
        <f>TEXT(Table1[[#This Row],[SaleDate]],"MMM")</f>
        <v>Mar</v>
      </c>
    </row>
    <row r="620" spans="1:15">
      <c r="A620" s="1">
        <v>45004</v>
      </c>
      <c r="B620" t="s">
        <v>23</v>
      </c>
      <c r="C620" t="s">
        <v>19</v>
      </c>
      <c r="D620">
        <v>2</v>
      </c>
      <c r="E620" t="s">
        <v>9</v>
      </c>
      <c r="F620">
        <v>60000</v>
      </c>
      <c r="G620">
        <v>31000</v>
      </c>
      <c r="H620">
        <f>Table1[[#This Row],[Qty]]*Table1[[#This Row],[SellingPrice]]</f>
        <v>120000</v>
      </c>
      <c r="I620">
        <f>Table1[[#This Row],[Qty]]*Table1[[#This Row],[CostPrice]]</f>
        <v>62000</v>
      </c>
      <c r="J620">
        <v>57594</v>
      </c>
      <c r="K620">
        <v>405.99999999999994</v>
      </c>
      <c r="L620" t="s">
        <v>8</v>
      </c>
      <c r="M620" t="s">
        <v>29</v>
      </c>
      <c r="N620">
        <f>MONTH(Table1[[#This Row],[SaleDate]])</f>
        <v>3</v>
      </c>
      <c r="O620" t="str">
        <f>TEXT(Table1[[#This Row],[SaleDate]],"MMM")</f>
        <v>Mar</v>
      </c>
    </row>
    <row r="621" spans="1:15">
      <c r="A621" s="1">
        <v>45004</v>
      </c>
      <c r="B621" t="s">
        <v>23</v>
      </c>
      <c r="C621" t="s">
        <v>19</v>
      </c>
      <c r="D621">
        <v>2</v>
      </c>
      <c r="E621" t="s">
        <v>10</v>
      </c>
      <c r="F621">
        <v>89000</v>
      </c>
      <c r="G621">
        <v>65000</v>
      </c>
      <c r="H621">
        <f>Table1[[#This Row],[Qty]]*Table1[[#This Row],[SellingPrice]]</f>
        <v>178000</v>
      </c>
      <c r="I621">
        <f>Table1[[#This Row],[Qty]]*Table1[[#This Row],[CostPrice]]</f>
        <v>130000</v>
      </c>
      <c r="J621">
        <v>47664</v>
      </c>
      <c r="K621">
        <v>335.99999999999994</v>
      </c>
      <c r="L621" t="s">
        <v>8</v>
      </c>
      <c r="M621" t="s">
        <v>29</v>
      </c>
      <c r="N621">
        <f>MONTH(Table1[[#This Row],[SaleDate]])</f>
        <v>3</v>
      </c>
      <c r="O621" t="str">
        <f>TEXT(Table1[[#This Row],[SaleDate]],"MMM")</f>
        <v>Mar</v>
      </c>
    </row>
    <row r="622" spans="1:15">
      <c r="A622" s="1">
        <v>45004</v>
      </c>
      <c r="B622" t="s">
        <v>24</v>
      </c>
      <c r="C622" t="s">
        <v>22</v>
      </c>
      <c r="D622">
        <v>2</v>
      </c>
      <c r="E622" t="s">
        <v>7</v>
      </c>
      <c r="F622">
        <v>33000</v>
      </c>
      <c r="G622">
        <v>18000</v>
      </c>
      <c r="H622">
        <f>Table1[[#This Row],[Qty]]*Table1[[#This Row],[SellingPrice]]</f>
        <v>66000</v>
      </c>
      <c r="I622">
        <f>Table1[[#This Row],[Qty]]*Table1[[#This Row],[CostPrice]]</f>
        <v>36000</v>
      </c>
      <c r="J622">
        <v>29790</v>
      </c>
      <c r="K622">
        <v>209.99999999999997</v>
      </c>
      <c r="L622" t="s">
        <v>12</v>
      </c>
      <c r="M622" t="s">
        <v>30</v>
      </c>
      <c r="N622">
        <f>MONTH(Table1[[#This Row],[SaleDate]])</f>
        <v>3</v>
      </c>
      <c r="O622" t="str">
        <f>TEXT(Table1[[#This Row],[SaleDate]],"MMM")</f>
        <v>Mar</v>
      </c>
    </row>
    <row r="623" spans="1:15">
      <c r="A623" s="1">
        <v>45004</v>
      </c>
      <c r="B623" t="s">
        <v>24</v>
      </c>
      <c r="C623" t="s">
        <v>22</v>
      </c>
      <c r="D623">
        <v>2</v>
      </c>
      <c r="E623" t="s">
        <v>9</v>
      </c>
      <c r="F623">
        <v>60000</v>
      </c>
      <c r="G623">
        <v>31000</v>
      </c>
      <c r="H623">
        <f>Table1[[#This Row],[Qty]]*Table1[[#This Row],[SellingPrice]]</f>
        <v>120000</v>
      </c>
      <c r="I623">
        <f>Table1[[#This Row],[Qty]]*Table1[[#This Row],[CostPrice]]</f>
        <v>62000</v>
      </c>
      <c r="J623">
        <v>57594</v>
      </c>
      <c r="K623">
        <v>405.99999999999994</v>
      </c>
      <c r="L623" t="s">
        <v>12</v>
      </c>
      <c r="M623" t="s">
        <v>30</v>
      </c>
      <c r="N623">
        <f>MONTH(Table1[[#This Row],[SaleDate]])</f>
        <v>3</v>
      </c>
      <c r="O623" t="str">
        <f>TEXT(Table1[[#This Row],[SaleDate]],"MMM")</f>
        <v>Mar</v>
      </c>
    </row>
    <row r="624" spans="1:15">
      <c r="A624" s="1">
        <v>45004</v>
      </c>
      <c r="B624" t="s">
        <v>24</v>
      </c>
      <c r="C624" t="s">
        <v>22</v>
      </c>
      <c r="D624">
        <v>2</v>
      </c>
      <c r="E624" t="s">
        <v>10</v>
      </c>
      <c r="F624">
        <v>89000</v>
      </c>
      <c r="G624">
        <v>65000</v>
      </c>
      <c r="H624">
        <f>Table1[[#This Row],[Qty]]*Table1[[#This Row],[SellingPrice]]</f>
        <v>178000</v>
      </c>
      <c r="I624">
        <f>Table1[[#This Row],[Qty]]*Table1[[#This Row],[CostPrice]]</f>
        <v>130000</v>
      </c>
      <c r="J624">
        <v>47664</v>
      </c>
      <c r="K624">
        <v>335.99999999999994</v>
      </c>
      <c r="L624" t="s">
        <v>12</v>
      </c>
      <c r="M624" t="s">
        <v>30</v>
      </c>
      <c r="N624">
        <f>MONTH(Table1[[#This Row],[SaleDate]])</f>
        <v>3</v>
      </c>
      <c r="O624" t="str">
        <f>TEXT(Table1[[#This Row],[SaleDate]],"MMM")</f>
        <v>Mar</v>
      </c>
    </row>
    <row r="625" spans="1:15">
      <c r="A625" s="1">
        <v>45004</v>
      </c>
      <c r="B625" t="s">
        <v>25</v>
      </c>
      <c r="C625" t="s">
        <v>21</v>
      </c>
      <c r="D625">
        <v>2</v>
      </c>
      <c r="E625" t="s">
        <v>7</v>
      </c>
      <c r="F625">
        <v>33000</v>
      </c>
      <c r="G625">
        <v>18000</v>
      </c>
      <c r="H625">
        <f>Table1[[#This Row],[Qty]]*Table1[[#This Row],[SellingPrice]]</f>
        <v>66000</v>
      </c>
      <c r="I625">
        <f>Table1[[#This Row],[Qty]]*Table1[[#This Row],[CostPrice]]</f>
        <v>36000</v>
      </c>
      <c r="J625">
        <v>29790</v>
      </c>
      <c r="K625">
        <v>209.99999999999997</v>
      </c>
      <c r="L625" t="s">
        <v>13</v>
      </c>
      <c r="M625" t="s">
        <v>29</v>
      </c>
      <c r="N625">
        <f>MONTH(Table1[[#This Row],[SaleDate]])</f>
        <v>3</v>
      </c>
      <c r="O625" t="str">
        <f>TEXT(Table1[[#This Row],[SaleDate]],"MMM")</f>
        <v>Mar</v>
      </c>
    </row>
    <row r="626" spans="1:15">
      <c r="A626" s="1">
        <v>45004</v>
      </c>
      <c r="B626" t="s">
        <v>25</v>
      </c>
      <c r="C626" t="s">
        <v>21</v>
      </c>
      <c r="D626">
        <v>2</v>
      </c>
      <c r="E626" t="s">
        <v>10</v>
      </c>
      <c r="F626">
        <v>89000</v>
      </c>
      <c r="G626">
        <v>65000</v>
      </c>
      <c r="H626">
        <f>Table1[[#This Row],[Qty]]*Table1[[#This Row],[SellingPrice]]</f>
        <v>178000</v>
      </c>
      <c r="I626">
        <f>Table1[[#This Row],[Qty]]*Table1[[#This Row],[CostPrice]]</f>
        <v>130000</v>
      </c>
      <c r="J626">
        <v>47664</v>
      </c>
      <c r="K626">
        <v>335.99999999999994</v>
      </c>
      <c r="L626" t="s">
        <v>13</v>
      </c>
      <c r="M626" t="s">
        <v>30</v>
      </c>
      <c r="N626">
        <f>MONTH(Table1[[#This Row],[SaleDate]])</f>
        <v>3</v>
      </c>
      <c r="O626" t="str">
        <f>TEXT(Table1[[#This Row],[SaleDate]],"MMM")</f>
        <v>Mar</v>
      </c>
    </row>
    <row r="627" spans="1:15">
      <c r="A627" s="1">
        <v>45005</v>
      </c>
      <c r="B627" t="s">
        <v>23</v>
      </c>
      <c r="C627" t="s">
        <v>19</v>
      </c>
      <c r="D627">
        <v>1</v>
      </c>
      <c r="E627" t="s">
        <v>7</v>
      </c>
      <c r="F627">
        <v>33000</v>
      </c>
      <c r="G627">
        <v>18000</v>
      </c>
      <c r="H627">
        <f>Table1[[#This Row],[Qty]]*Table1[[#This Row],[SellingPrice]]</f>
        <v>33000</v>
      </c>
      <c r="I627">
        <f>Table1[[#This Row],[Qty]]*Table1[[#This Row],[CostPrice]]</f>
        <v>18000</v>
      </c>
      <c r="J627">
        <v>14895</v>
      </c>
      <c r="K627">
        <v>104.99999999999999</v>
      </c>
      <c r="L627" t="s">
        <v>8</v>
      </c>
      <c r="M627" t="s">
        <v>30</v>
      </c>
      <c r="N627">
        <f>MONTH(Table1[[#This Row],[SaleDate]])</f>
        <v>3</v>
      </c>
      <c r="O627" t="str">
        <f>TEXT(Table1[[#This Row],[SaleDate]],"MMM")</f>
        <v>Mar</v>
      </c>
    </row>
    <row r="628" spans="1:15">
      <c r="A628" s="1">
        <v>45005</v>
      </c>
      <c r="B628" t="s">
        <v>23</v>
      </c>
      <c r="C628" t="s">
        <v>19</v>
      </c>
      <c r="D628">
        <v>1</v>
      </c>
      <c r="E628" t="s">
        <v>9</v>
      </c>
      <c r="F628">
        <v>60000</v>
      </c>
      <c r="G628">
        <v>31000</v>
      </c>
      <c r="H628">
        <f>Table1[[#This Row],[Qty]]*Table1[[#This Row],[SellingPrice]]</f>
        <v>60000</v>
      </c>
      <c r="I628">
        <f>Table1[[#This Row],[Qty]]*Table1[[#This Row],[CostPrice]]</f>
        <v>31000</v>
      </c>
      <c r="J628">
        <v>28797</v>
      </c>
      <c r="K628">
        <v>202.99999999999997</v>
      </c>
      <c r="L628" t="s">
        <v>8</v>
      </c>
      <c r="M628" t="s">
        <v>30</v>
      </c>
      <c r="N628">
        <f>MONTH(Table1[[#This Row],[SaleDate]])</f>
        <v>3</v>
      </c>
      <c r="O628" t="str">
        <f>TEXT(Table1[[#This Row],[SaleDate]],"MMM")</f>
        <v>Mar</v>
      </c>
    </row>
    <row r="629" spans="1:15">
      <c r="A629" s="1">
        <v>45005</v>
      </c>
      <c r="B629" t="s">
        <v>23</v>
      </c>
      <c r="C629" t="s">
        <v>19</v>
      </c>
      <c r="D629">
        <v>1</v>
      </c>
      <c r="E629" t="s">
        <v>10</v>
      </c>
      <c r="F629">
        <v>89000</v>
      </c>
      <c r="G629">
        <v>65000</v>
      </c>
      <c r="H629">
        <f>Table1[[#This Row],[Qty]]*Table1[[#This Row],[SellingPrice]]</f>
        <v>89000</v>
      </c>
      <c r="I629">
        <f>Table1[[#This Row],[Qty]]*Table1[[#This Row],[CostPrice]]</f>
        <v>65000</v>
      </c>
      <c r="J629">
        <v>23832</v>
      </c>
      <c r="K629">
        <v>167.99999999999997</v>
      </c>
      <c r="L629" t="s">
        <v>8</v>
      </c>
      <c r="M629" t="s">
        <v>27</v>
      </c>
      <c r="N629">
        <f>MONTH(Table1[[#This Row],[SaleDate]])</f>
        <v>3</v>
      </c>
      <c r="O629" t="str">
        <f>TEXT(Table1[[#This Row],[SaleDate]],"MMM")</f>
        <v>Mar</v>
      </c>
    </row>
    <row r="630" spans="1:15">
      <c r="A630" s="1">
        <v>45005</v>
      </c>
      <c r="B630" t="s">
        <v>24</v>
      </c>
      <c r="C630" t="s">
        <v>22</v>
      </c>
      <c r="D630">
        <v>1</v>
      </c>
      <c r="E630" t="s">
        <v>7</v>
      </c>
      <c r="F630">
        <v>33000</v>
      </c>
      <c r="G630">
        <v>18000</v>
      </c>
      <c r="H630">
        <f>Table1[[#This Row],[Qty]]*Table1[[#This Row],[SellingPrice]]</f>
        <v>33000</v>
      </c>
      <c r="I630">
        <f>Table1[[#This Row],[Qty]]*Table1[[#This Row],[CostPrice]]</f>
        <v>18000</v>
      </c>
      <c r="J630">
        <v>14895</v>
      </c>
      <c r="K630">
        <v>104.99999999999999</v>
      </c>
      <c r="L630" t="s">
        <v>12</v>
      </c>
      <c r="M630" t="s">
        <v>30</v>
      </c>
      <c r="N630">
        <f>MONTH(Table1[[#This Row],[SaleDate]])</f>
        <v>3</v>
      </c>
      <c r="O630" t="str">
        <f>TEXT(Table1[[#This Row],[SaleDate]],"MMM")</f>
        <v>Mar</v>
      </c>
    </row>
    <row r="631" spans="1:15">
      <c r="A631" s="1">
        <v>45005</v>
      </c>
      <c r="B631" t="s">
        <v>24</v>
      </c>
      <c r="C631" t="s">
        <v>22</v>
      </c>
      <c r="D631">
        <v>1</v>
      </c>
      <c r="E631" t="s">
        <v>9</v>
      </c>
      <c r="F631">
        <v>60000</v>
      </c>
      <c r="G631">
        <v>31000</v>
      </c>
      <c r="H631">
        <f>Table1[[#This Row],[Qty]]*Table1[[#This Row],[SellingPrice]]</f>
        <v>60000</v>
      </c>
      <c r="I631">
        <f>Table1[[#This Row],[Qty]]*Table1[[#This Row],[CostPrice]]</f>
        <v>31000</v>
      </c>
      <c r="J631">
        <v>28797</v>
      </c>
      <c r="K631">
        <v>202.99999999999997</v>
      </c>
      <c r="L631" t="s">
        <v>12</v>
      </c>
      <c r="M631" t="s">
        <v>30</v>
      </c>
      <c r="N631">
        <f>MONTH(Table1[[#This Row],[SaleDate]])</f>
        <v>3</v>
      </c>
      <c r="O631" t="str">
        <f>TEXT(Table1[[#This Row],[SaleDate]],"MMM")</f>
        <v>Mar</v>
      </c>
    </row>
    <row r="632" spans="1:15">
      <c r="A632" s="1">
        <v>45005</v>
      </c>
      <c r="B632" t="s">
        <v>24</v>
      </c>
      <c r="C632" t="s">
        <v>22</v>
      </c>
      <c r="D632">
        <v>1</v>
      </c>
      <c r="E632" t="s">
        <v>10</v>
      </c>
      <c r="F632">
        <v>89000</v>
      </c>
      <c r="G632">
        <v>65000</v>
      </c>
      <c r="H632">
        <f>Table1[[#This Row],[Qty]]*Table1[[#This Row],[SellingPrice]]</f>
        <v>89000</v>
      </c>
      <c r="I632">
        <f>Table1[[#This Row],[Qty]]*Table1[[#This Row],[CostPrice]]</f>
        <v>65000</v>
      </c>
      <c r="J632">
        <v>23832</v>
      </c>
      <c r="K632">
        <v>167.99999999999997</v>
      </c>
      <c r="L632" t="s">
        <v>12</v>
      </c>
      <c r="M632" t="s">
        <v>30</v>
      </c>
      <c r="N632">
        <f>MONTH(Table1[[#This Row],[SaleDate]])</f>
        <v>3</v>
      </c>
      <c r="O632" t="str">
        <f>TEXT(Table1[[#This Row],[SaleDate]],"MMM")</f>
        <v>Mar</v>
      </c>
    </row>
    <row r="633" spans="1:15">
      <c r="A633" s="1">
        <v>45005</v>
      </c>
      <c r="B633" t="s">
        <v>25</v>
      </c>
      <c r="C633" t="s">
        <v>21</v>
      </c>
      <c r="D633">
        <v>1</v>
      </c>
      <c r="E633" t="s">
        <v>7</v>
      </c>
      <c r="F633">
        <v>33000</v>
      </c>
      <c r="G633">
        <v>18000</v>
      </c>
      <c r="H633">
        <f>Table1[[#This Row],[Qty]]*Table1[[#This Row],[SellingPrice]]</f>
        <v>33000</v>
      </c>
      <c r="I633">
        <f>Table1[[#This Row],[Qty]]*Table1[[#This Row],[CostPrice]]</f>
        <v>18000</v>
      </c>
      <c r="J633">
        <v>14895</v>
      </c>
      <c r="K633">
        <v>104.99999999999999</v>
      </c>
      <c r="L633" t="s">
        <v>13</v>
      </c>
      <c r="M633" t="s">
        <v>29</v>
      </c>
      <c r="N633">
        <f>MONTH(Table1[[#This Row],[SaleDate]])</f>
        <v>3</v>
      </c>
      <c r="O633" t="str">
        <f>TEXT(Table1[[#This Row],[SaleDate]],"MMM")</f>
        <v>Mar</v>
      </c>
    </row>
    <row r="634" spans="1:15">
      <c r="A634" s="1">
        <v>45005</v>
      </c>
      <c r="B634" t="s">
        <v>25</v>
      </c>
      <c r="C634" t="s">
        <v>21</v>
      </c>
      <c r="D634">
        <v>1</v>
      </c>
      <c r="E634" t="s">
        <v>10</v>
      </c>
      <c r="F634">
        <v>89000</v>
      </c>
      <c r="G634">
        <v>65000</v>
      </c>
      <c r="H634">
        <f>Table1[[#This Row],[Qty]]*Table1[[#This Row],[SellingPrice]]</f>
        <v>89000</v>
      </c>
      <c r="I634">
        <f>Table1[[#This Row],[Qty]]*Table1[[#This Row],[CostPrice]]</f>
        <v>65000</v>
      </c>
      <c r="J634">
        <v>23832</v>
      </c>
      <c r="K634">
        <v>167.99999999999997</v>
      </c>
      <c r="L634" t="s">
        <v>13</v>
      </c>
      <c r="M634" t="s">
        <v>28</v>
      </c>
      <c r="N634">
        <f>MONTH(Table1[[#This Row],[SaleDate]])</f>
        <v>3</v>
      </c>
      <c r="O634" t="str">
        <f>TEXT(Table1[[#This Row],[SaleDate]],"MMM")</f>
        <v>Mar</v>
      </c>
    </row>
    <row r="635" spans="1:15">
      <c r="A635" s="1">
        <v>45006</v>
      </c>
      <c r="B635" t="s">
        <v>23</v>
      </c>
      <c r="C635" t="s">
        <v>19</v>
      </c>
      <c r="D635">
        <v>1</v>
      </c>
      <c r="E635" t="s">
        <v>7</v>
      </c>
      <c r="F635">
        <v>33000</v>
      </c>
      <c r="G635">
        <v>18000</v>
      </c>
      <c r="H635">
        <f>Table1[[#This Row],[Qty]]*Table1[[#This Row],[SellingPrice]]</f>
        <v>33000</v>
      </c>
      <c r="I635">
        <f>Table1[[#This Row],[Qty]]*Table1[[#This Row],[CostPrice]]</f>
        <v>18000</v>
      </c>
      <c r="J635">
        <v>14895</v>
      </c>
      <c r="K635">
        <v>104.99999999999999</v>
      </c>
      <c r="L635" t="s">
        <v>8</v>
      </c>
      <c r="M635" t="s">
        <v>30</v>
      </c>
      <c r="N635">
        <f>MONTH(Table1[[#This Row],[SaleDate]])</f>
        <v>3</v>
      </c>
      <c r="O635" t="str">
        <f>TEXT(Table1[[#This Row],[SaleDate]],"MMM")</f>
        <v>Mar</v>
      </c>
    </row>
    <row r="636" spans="1:15">
      <c r="A636" s="1">
        <v>45006</v>
      </c>
      <c r="B636" t="s">
        <v>23</v>
      </c>
      <c r="C636" t="s">
        <v>19</v>
      </c>
      <c r="D636">
        <v>1</v>
      </c>
      <c r="E636" t="s">
        <v>9</v>
      </c>
      <c r="F636">
        <v>60000</v>
      </c>
      <c r="G636">
        <v>31000</v>
      </c>
      <c r="H636">
        <f>Table1[[#This Row],[Qty]]*Table1[[#This Row],[SellingPrice]]</f>
        <v>60000</v>
      </c>
      <c r="I636">
        <f>Table1[[#This Row],[Qty]]*Table1[[#This Row],[CostPrice]]</f>
        <v>31000</v>
      </c>
      <c r="J636">
        <v>28797</v>
      </c>
      <c r="K636">
        <v>202.99999999999997</v>
      </c>
      <c r="L636" t="s">
        <v>8</v>
      </c>
      <c r="M636" t="s">
        <v>30</v>
      </c>
      <c r="N636">
        <f>MONTH(Table1[[#This Row],[SaleDate]])</f>
        <v>3</v>
      </c>
      <c r="O636" t="str">
        <f>TEXT(Table1[[#This Row],[SaleDate]],"MMM")</f>
        <v>Mar</v>
      </c>
    </row>
    <row r="637" spans="1:15">
      <c r="A637" s="1">
        <v>45006</v>
      </c>
      <c r="B637" t="s">
        <v>23</v>
      </c>
      <c r="C637" t="s">
        <v>19</v>
      </c>
      <c r="D637">
        <v>1</v>
      </c>
      <c r="E637" t="s">
        <v>10</v>
      </c>
      <c r="F637">
        <v>89000</v>
      </c>
      <c r="G637">
        <v>65000</v>
      </c>
      <c r="H637">
        <f>Table1[[#This Row],[Qty]]*Table1[[#This Row],[SellingPrice]]</f>
        <v>89000</v>
      </c>
      <c r="I637">
        <f>Table1[[#This Row],[Qty]]*Table1[[#This Row],[CostPrice]]</f>
        <v>65000</v>
      </c>
      <c r="J637">
        <v>23832</v>
      </c>
      <c r="K637">
        <v>167.99999999999997</v>
      </c>
      <c r="L637" t="s">
        <v>8</v>
      </c>
      <c r="M637" t="s">
        <v>30</v>
      </c>
      <c r="N637">
        <f>MONTH(Table1[[#This Row],[SaleDate]])</f>
        <v>3</v>
      </c>
      <c r="O637" t="str">
        <f>TEXT(Table1[[#This Row],[SaleDate]],"MMM")</f>
        <v>Mar</v>
      </c>
    </row>
    <row r="638" spans="1:15">
      <c r="A638" s="1">
        <v>45006</v>
      </c>
      <c r="B638" t="s">
        <v>24</v>
      </c>
      <c r="C638" t="s">
        <v>22</v>
      </c>
      <c r="D638">
        <v>1</v>
      </c>
      <c r="E638" t="s">
        <v>7</v>
      </c>
      <c r="F638">
        <v>33000</v>
      </c>
      <c r="G638">
        <v>18000</v>
      </c>
      <c r="H638">
        <f>Table1[[#This Row],[Qty]]*Table1[[#This Row],[SellingPrice]]</f>
        <v>33000</v>
      </c>
      <c r="I638">
        <f>Table1[[#This Row],[Qty]]*Table1[[#This Row],[CostPrice]]</f>
        <v>18000</v>
      </c>
      <c r="J638">
        <v>14895</v>
      </c>
      <c r="K638">
        <v>104.99999999999999</v>
      </c>
      <c r="L638" t="s">
        <v>12</v>
      </c>
      <c r="M638" t="s">
        <v>27</v>
      </c>
      <c r="N638">
        <f>MONTH(Table1[[#This Row],[SaleDate]])</f>
        <v>3</v>
      </c>
      <c r="O638" t="str">
        <f>TEXT(Table1[[#This Row],[SaleDate]],"MMM")</f>
        <v>Mar</v>
      </c>
    </row>
    <row r="639" spans="1:15">
      <c r="A639" s="1">
        <v>45006</v>
      </c>
      <c r="B639" t="s">
        <v>24</v>
      </c>
      <c r="C639" t="s">
        <v>22</v>
      </c>
      <c r="D639">
        <v>1</v>
      </c>
      <c r="E639" t="s">
        <v>9</v>
      </c>
      <c r="F639">
        <v>60000</v>
      </c>
      <c r="G639">
        <v>31000</v>
      </c>
      <c r="H639">
        <f>Table1[[#This Row],[Qty]]*Table1[[#This Row],[SellingPrice]]</f>
        <v>60000</v>
      </c>
      <c r="I639">
        <f>Table1[[#This Row],[Qty]]*Table1[[#This Row],[CostPrice]]</f>
        <v>31000</v>
      </c>
      <c r="J639">
        <v>28797</v>
      </c>
      <c r="K639">
        <v>202.99999999999997</v>
      </c>
      <c r="L639" t="s">
        <v>12</v>
      </c>
      <c r="M639" t="s">
        <v>27</v>
      </c>
      <c r="N639">
        <f>MONTH(Table1[[#This Row],[SaleDate]])</f>
        <v>3</v>
      </c>
      <c r="O639" t="str">
        <f>TEXT(Table1[[#This Row],[SaleDate]],"MMM")</f>
        <v>Mar</v>
      </c>
    </row>
    <row r="640" spans="1:15">
      <c r="A640" s="1">
        <v>45006</v>
      </c>
      <c r="B640" t="s">
        <v>24</v>
      </c>
      <c r="C640" t="s">
        <v>22</v>
      </c>
      <c r="D640">
        <v>1</v>
      </c>
      <c r="E640" t="s">
        <v>10</v>
      </c>
      <c r="F640">
        <v>89000</v>
      </c>
      <c r="G640">
        <v>65000</v>
      </c>
      <c r="H640">
        <f>Table1[[#This Row],[Qty]]*Table1[[#This Row],[SellingPrice]]</f>
        <v>89000</v>
      </c>
      <c r="I640">
        <f>Table1[[#This Row],[Qty]]*Table1[[#This Row],[CostPrice]]</f>
        <v>65000</v>
      </c>
      <c r="J640">
        <v>23832</v>
      </c>
      <c r="K640">
        <v>167.99999999999997</v>
      </c>
      <c r="L640" t="s">
        <v>12</v>
      </c>
      <c r="M640" t="s">
        <v>29</v>
      </c>
      <c r="N640">
        <f>MONTH(Table1[[#This Row],[SaleDate]])</f>
        <v>3</v>
      </c>
      <c r="O640" t="str">
        <f>TEXT(Table1[[#This Row],[SaleDate]],"MMM")</f>
        <v>Mar</v>
      </c>
    </row>
    <row r="641" spans="1:15">
      <c r="A641" s="1">
        <v>45006</v>
      </c>
      <c r="B641" t="s">
        <v>25</v>
      </c>
      <c r="C641" t="s">
        <v>21</v>
      </c>
      <c r="D641">
        <v>1</v>
      </c>
      <c r="E641" t="s">
        <v>7</v>
      </c>
      <c r="F641">
        <v>33000</v>
      </c>
      <c r="G641">
        <v>18000</v>
      </c>
      <c r="H641">
        <f>Table1[[#This Row],[Qty]]*Table1[[#This Row],[SellingPrice]]</f>
        <v>33000</v>
      </c>
      <c r="I641">
        <f>Table1[[#This Row],[Qty]]*Table1[[#This Row],[CostPrice]]</f>
        <v>18000</v>
      </c>
      <c r="J641">
        <v>14895</v>
      </c>
      <c r="K641">
        <v>104.99999999999999</v>
      </c>
      <c r="L641" t="s">
        <v>13</v>
      </c>
      <c r="M641" t="s">
        <v>29</v>
      </c>
      <c r="N641">
        <f>MONTH(Table1[[#This Row],[SaleDate]])</f>
        <v>3</v>
      </c>
      <c r="O641" t="str">
        <f>TEXT(Table1[[#This Row],[SaleDate]],"MMM")</f>
        <v>Mar</v>
      </c>
    </row>
    <row r="642" spans="1:15">
      <c r="A642" s="1">
        <v>45006</v>
      </c>
      <c r="B642" t="s">
        <v>25</v>
      </c>
      <c r="C642" t="s">
        <v>21</v>
      </c>
      <c r="D642">
        <v>1</v>
      </c>
      <c r="E642" t="s">
        <v>10</v>
      </c>
      <c r="F642">
        <v>89000</v>
      </c>
      <c r="G642">
        <v>65000</v>
      </c>
      <c r="H642">
        <f>Table1[[#This Row],[Qty]]*Table1[[#This Row],[SellingPrice]]</f>
        <v>89000</v>
      </c>
      <c r="I642">
        <f>Table1[[#This Row],[Qty]]*Table1[[#This Row],[CostPrice]]</f>
        <v>65000</v>
      </c>
      <c r="J642">
        <v>23832</v>
      </c>
      <c r="K642">
        <v>167.99999999999997</v>
      </c>
      <c r="L642" t="s">
        <v>13</v>
      </c>
      <c r="M642" t="s">
        <v>30</v>
      </c>
      <c r="N642">
        <f>MONTH(Table1[[#This Row],[SaleDate]])</f>
        <v>3</v>
      </c>
      <c r="O642" t="str">
        <f>TEXT(Table1[[#This Row],[SaleDate]],"MMM")</f>
        <v>Mar</v>
      </c>
    </row>
    <row r="643" spans="1:15">
      <c r="A643" s="1">
        <v>45007</v>
      </c>
      <c r="B643" t="s">
        <v>23</v>
      </c>
      <c r="C643" t="s">
        <v>19</v>
      </c>
      <c r="D643">
        <v>1</v>
      </c>
      <c r="E643" t="s">
        <v>7</v>
      </c>
      <c r="F643">
        <v>33000</v>
      </c>
      <c r="G643">
        <v>18000</v>
      </c>
      <c r="H643">
        <f>Table1[[#This Row],[Qty]]*Table1[[#This Row],[SellingPrice]]</f>
        <v>33000</v>
      </c>
      <c r="I643">
        <f>Table1[[#This Row],[Qty]]*Table1[[#This Row],[CostPrice]]</f>
        <v>18000</v>
      </c>
      <c r="J643">
        <v>14895</v>
      </c>
      <c r="K643">
        <v>104.99999999999999</v>
      </c>
      <c r="L643" t="s">
        <v>8</v>
      </c>
      <c r="M643" t="s">
        <v>29</v>
      </c>
      <c r="N643">
        <f>MONTH(Table1[[#This Row],[SaleDate]])</f>
        <v>3</v>
      </c>
      <c r="O643" t="str">
        <f>TEXT(Table1[[#This Row],[SaleDate]],"MMM")</f>
        <v>Mar</v>
      </c>
    </row>
    <row r="644" spans="1:15">
      <c r="A644" s="1">
        <v>45007</v>
      </c>
      <c r="B644" t="s">
        <v>23</v>
      </c>
      <c r="C644" t="s">
        <v>19</v>
      </c>
      <c r="D644">
        <v>1</v>
      </c>
      <c r="E644" t="s">
        <v>9</v>
      </c>
      <c r="F644">
        <v>60000</v>
      </c>
      <c r="G644">
        <v>31000</v>
      </c>
      <c r="H644">
        <f>Table1[[#This Row],[Qty]]*Table1[[#This Row],[SellingPrice]]</f>
        <v>60000</v>
      </c>
      <c r="I644">
        <f>Table1[[#This Row],[Qty]]*Table1[[#This Row],[CostPrice]]</f>
        <v>31000</v>
      </c>
      <c r="J644">
        <v>28797</v>
      </c>
      <c r="K644">
        <v>202.99999999999997</v>
      </c>
      <c r="L644" t="s">
        <v>8</v>
      </c>
      <c r="M644" t="s">
        <v>29</v>
      </c>
      <c r="N644">
        <f>MONTH(Table1[[#This Row],[SaleDate]])</f>
        <v>3</v>
      </c>
      <c r="O644" t="str">
        <f>TEXT(Table1[[#This Row],[SaleDate]],"MMM")</f>
        <v>Mar</v>
      </c>
    </row>
    <row r="645" spans="1:15">
      <c r="A645" s="1">
        <v>45007</v>
      </c>
      <c r="B645" t="s">
        <v>23</v>
      </c>
      <c r="C645" t="s">
        <v>19</v>
      </c>
      <c r="D645">
        <v>1</v>
      </c>
      <c r="E645" t="s">
        <v>10</v>
      </c>
      <c r="F645">
        <v>89000</v>
      </c>
      <c r="G645">
        <v>65000</v>
      </c>
      <c r="H645">
        <f>Table1[[#This Row],[Qty]]*Table1[[#This Row],[SellingPrice]]</f>
        <v>89000</v>
      </c>
      <c r="I645">
        <f>Table1[[#This Row],[Qty]]*Table1[[#This Row],[CostPrice]]</f>
        <v>65000</v>
      </c>
      <c r="J645">
        <v>23832</v>
      </c>
      <c r="K645">
        <v>167.99999999999997</v>
      </c>
      <c r="L645" t="s">
        <v>8</v>
      </c>
      <c r="M645" t="s">
        <v>28</v>
      </c>
      <c r="N645">
        <f>MONTH(Table1[[#This Row],[SaleDate]])</f>
        <v>3</v>
      </c>
      <c r="O645" t="str">
        <f>TEXT(Table1[[#This Row],[SaleDate]],"MMM")</f>
        <v>Mar</v>
      </c>
    </row>
    <row r="646" spans="1:15">
      <c r="A646" s="1">
        <v>45007</v>
      </c>
      <c r="B646" t="s">
        <v>24</v>
      </c>
      <c r="C646" t="s">
        <v>22</v>
      </c>
      <c r="D646">
        <v>1</v>
      </c>
      <c r="E646" t="s">
        <v>7</v>
      </c>
      <c r="F646">
        <v>33000</v>
      </c>
      <c r="G646">
        <v>18000</v>
      </c>
      <c r="H646">
        <f>Table1[[#This Row],[Qty]]*Table1[[#This Row],[SellingPrice]]</f>
        <v>33000</v>
      </c>
      <c r="I646">
        <f>Table1[[#This Row],[Qty]]*Table1[[#This Row],[CostPrice]]</f>
        <v>18000</v>
      </c>
      <c r="J646">
        <v>14895</v>
      </c>
      <c r="K646">
        <v>104.99999999999999</v>
      </c>
      <c r="L646" t="s">
        <v>12</v>
      </c>
      <c r="M646" t="s">
        <v>27</v>
      </c>
      <c r="N646">
        <f>MONTH(Table1[[#This Row],[SaleDate]])</f>
        <v>3</v>
      </c>
      <c r="O646" t="str">
        <f>TEXT(Table1[[#This Row],[SaleDate]],"MMM")</f>
        <v>Mar</v>
      </c>
    </row>
    <row r="647" spans="1:15">
      <c r="A647" s="1">
        <v>45007</v>
      </c>
      <c r="B647" t="s">
        <v>24</v>
      </c>
      <c r="C647" t="s">
        <v>22</v>
      </c>
      <c r="D647">
        <v>1</v>
      </c>
      <c r="E647" t="s">
        <v>9</v>
      </c>
      <c r="F647">
        <v>60000</v>
      </c>
      <c r="G647">
        <v>31000</v>
      </c>
      <c r="H647">
        <f>Table1[[#This Row],[Qty]]*Table1[[#This Row],[SellingPrice]]</f>
        <v>60000</v>
      </c>
      <c r="I647">
        <f>Table1[[#This Row],[Qty]]*Table1[[#This Row],[CostPrice]]</f>
        <v>31000</v>
      </c>
      <c r="J647">
        <v>28797</v>
      </c>
      <c r="K647">
        <v>202.99999999999997</v>
      </c>
      <c r="L647" t="s">
        <v>12</v>
      </c>
      <c r="M647" t="s">
        <v>29</v>
      </c>
      <c r="N647">
        <f>MONTH(Table1[[#This Row],[SaleDate]])</f>
        <v>3</v>
      </c>
      <c r="O647" t="str">
        <f>TEXT(Table1[[#This Row],[SaleDate]],"MMM")</f>
        <v>Mar</v>
      </c>
    </row>
    <row r="648" spans="1:15">
      <c r="A648" s="1">
        <v>45007</v>
      </c>
      <c r="B648" t="s">
        <v>24</v>
      </c>
      <c r="C648" t="s">
        <v>22</v>
      </c>
      <c r="D648">
        <v>1</v>
      </c>
      <c r="E648" t="s">
        <v>10</v>
      </c>
      <c r="F648">
        <v>89000</v>
      </c>
      <c r="G648">
        <v>65000</v>
      </c>
      <c r="H648">
        <f>Table1[[#This Row],[Qty]]*Table1[[#This Row],[SellingPrice]]</f>
        <v>89000</v>
      </c>
      <c r="I648">
        <f>Table1[[#This Row],[Qty]]*Table1[[#This Row],[CostPrice]]</f>
        <v>65000</v>
      </c>
      <c r="J648">
        <v>23832</v>
      </c>
      <c r="K648">
        <v>167.99999999999997</v>
      </c>
      <c r="L648" t="s">
        <v>12</v>
      </c>
      <c r="M648" t="s">
        <v>29</v>
      </c>
      <c r="N648">
        <f>MONTH(Table1[[#This Row],[SaleDate]])</f>
        <v>3</v>
      </c>
      <c r="O648" t="str">
        <f>TEXT(Table1[[#This Row],[SaleDate]],"MMM")</f>
        <v>Mar</v>
      </c>
    </row>
    <row r="649" spans="1:15">
      <c r="A649" s="1">
        <v>45007</v>
      </c>
      <c r="B649" t="s">
        <v>25</v>
      </c>
      <c r="C649" t="s">
        <v>21</v>
      </c>
      <c r="D649">
        <v>1</v>
      </c>
      <c r="E649" t="s">
        <v>7</v>
      </c>
      <c r="F649">
        <v>33000</v>
      </c>
      <c r="G649">
        <v>18000</v>
      </c>
      <c r="H649">
        <f>Table1[[#This Row],[Qty]]*Table1[[#This Row],[SellingPrice]]</f>
        <v>33000</v>
      </c>
      <c r="I649">
        <f>Table1[[#This Row],[Qty]]*Table1[[#This Row],[CostPrice]]</f>
        <v>18000</v>
      </c>
      <c r="J649">
        <v>14895</v>
      </c>
      <c r="K649">
        <v>104.99999999999999</v>
      </c>
      <c r="L649" t="s">
        <v>13</v>
      </c>
      <c r="M649" t="s">
        <v>30</v>
      </c>
      <c r="N649">
        <f>MONTH(Table1[[#This Row],[SaleDate]])</f>
        <v>3</v>
      </c>
      <c r="O649" t="str">
        <f>TEXT(Table1[[#This Row],[SaleDate]],"MMM")</f>
        <v>Mar</v>
      </c>
    </row>
    <row r="650" spans="1:15">
      <c r="A650" s="1">
        <v>45007</v>
      </c>
      <c r="B650" t="s">
        <v>25</v>
      </c>
      <c r="C650" t="s">
        <v>21</v>
      </c>
      <c r="D650">
        <v>1</v>
      </c>
      <c r="E650" t="s">
        <v>10</v>
      </c>
      <c r="F650">
        <v>89000</v>
      </c>
      <c r="G650">
        <v>65000</v>
      </c>
      <c r="H650">
        <f>Table1[[#This Row],[Qty]]*Table1[[#This Row],[SellingPrice]]</f>
        <v>89000</v>
      </c>
      <c r="I650">
        <f>Table1[[#This Row],[Qty]]*Table1[[#This Row],[CostPrice]]</f>
        <v>65000</v>
      </c>
      <c r="J650">
        <v>23832</v>
      </c>
      <c r="K650">
        <v>167.99999999999997</v>
      </c>
      <c r="L650" t="s">
        <v>13</v>
      </c>
      <c r="M650" t="s">
        <v>29</v>
      </c>
      <c r="N650">
        <f>MONTH(Table1[[#This Row],[SaleDate]])</f>
        <v>3</v>
      </c>
      <c r="O650" t="str">
        <f>TEXT(Table1[[#This Row],[SaleDate]],"MMM")</f>
        <v>Mar</v>
      </c>
    </row>
    <row r="651" spans="1:15">
      <c r="A651" s="1">
        <v>45008</v>
      </c>
      <c r="B651" t="s">
        <v>23</v>
      </c>
      <c r="C651" t="s">
        <v>19</v>
      </c>
      <c r="D651">
        <v>1</v>
      </c>
      <c r="E651" t="s">
        <v>7</v>
      </c>
      <c r="F651">
        <v>33000</v>
      </c>
      <c r="G651">
        <v>18000</v>
      </c>
      <c r="H651">
        <f>Table1[[#This Row],[Qty]]*Table1[[#This Row],[SellingPrice]]</f>
        <v>33000</v>
      </c>
      <c r="I651">
        <f>Table1[[#This Row],[Qty]]*Table1[[#This Row],[CostPrice]]</f>
        <v>18000</v>
      </c>
      <c r="J651">
        <v>14895</v>
      </c>
      <c r="K651">
        <v>104.99999999999999</v>
      </c>
      <c r="L651" t="s">
        <v>8</v>
      </c>
      <c r="M651" t="s">
        <v>27</v>
      </c>
      <c r="N651">
        <f>MONTH(Table1[[#This Row],[SaleDate]])</f>
        <v>3</v>
      </c>
      <c r="O651" t="str">
        <f>TEXT(Table1[[#This Row],[SaleDate]],"MMM")</f>
        <v>Mar</v>
      </c>
    </row>
    <row r="652" spans="1:15">
      <c r="A652" s="1">
        <v>45008</v>
      </c>
      <c r="B652" t="s">
        <v>23</v>
      </c>
      <c r="C652" t="s">
        <v>19</v>
      </c>
      <c r="D652">
        <v>1</v>
      </c>
      <c r="E652" t="s">
        <v>9</v>
      </c>
      <c r="F652">
        <v>60000</v>
      </c>
      <c r="G652">
        <v>31000</v>
      </c>
      <c r="H652">
        <f>Table1[[#This Row],[Qty]]*Table1[[#This Row],[SellingPrice]]</f>
        <v>60000</v>
      </c>
      <c r="I652">
        <f>Table1[[#This Row],[Qty]]*Table1[[#This Row],[CostPrice]]</f>
        <v>31000</v>
      </c>
      <c r="J652">
        <v>28797</v>
      </c>
      <c r="K652">
        <v>202.99999999999997</v>
      </c>
      <c r="L652" t="s">
        <v>8</v>
      </c>
      <c r="M652" t="s">
        <v>27</v>
      </c>
      <c r="N652">
        <f>MONTH(Table1[[#This Row],[SaleDate]])</f>
        <v>3</v>
      </c>
      <c r="O652" t="str">
        <f>TEXT(Table1[[#This Row],[SaleDate]],"MMM")</f>
        <v>Mar</v>
      </c>
    </row>
    <row r="653" spans="1:15">
      <c r="A653" s="1">
        <v>45008</v>
      </c>
      <c r="B653" t="s">
        <v>23</v>
      </c>
      <c r="C653" t="s">
        <v>19</v>
      </c>
      <c r="D653">
        <v>1</v>
      </c>
      <c r="E653" t="s">
        <v>10</v>
      </c>
      <c r="F653">
        <v>89000</v>
      </c>
      <c r="G653">
        <v>65000</v>
      </c>
      <c r="H653">
        <f>Table1[[#This Row],[Qty]]*Table1[[#This Row],[SellingPrice]]</f>
        <v>89000</v>
      </c>
      <c r="I653">
        <f>Table1[[#This Row],[Qty]]*Table1[[#This Row],[CostPrice]]</f>
        <v>65000</v>
      </c>
      <c r="J653">
        <v>23832</v>
      </c>
      <c r="K653">
        <v>167.99999999999997</v>
      </c>
      <c r="L653" t="s">
        <v>8</v>
      </c>
      <c r="M653" t="s">
        <v>30</v>
      </c>
      <c r="N653">
        <f>MONTH(Table1[[#This Row],[SaleDate]])</f>
        <v>3</v>
      </c>
      <c r="O653" t="str">
        <f>TEXT(Table1[[#This Row],[SaleDate]],"MMM")</f>
        <v>Mar</v>
      </c>
    </row>
    <row r="654" spans="1:15">
      <c r="A654" s="1">
        <v>45008</v>
      </c>
      <c r="B654" t="s">
        <v>24</v>
      </c>
      <c r="C654" t="s">
        <v>22</v>
      </c>
      <c r="D654">
        <v>1</v>
      </c>
      <c r="E654" t="s">
        <v>7</v>
      </c>
      <c r="F654">
        <v>33000</v>
      </c>
      <c r="G654">
        <v>18000</v>
      </c>
      <c r="H654">
        <f>Table1[[#This Row],[Qty]]*Table1[[#This Row],[SellingPrice]]</f>
        <v>33000</v>
      </c>
      <c r="I654">
        <f>Table1[[#This Row],[Qty]]*Table1[[#This Row],[CostPrice]]</f>
        <v>18000</v>
      </c>
      <c r="J654">
        <v>14895</v>
      </c>
      <c r="K654">
        <v>104.99999999999999</v>
      </c>
      <c r="L654" t="s">
        <v>12</v>
      </c>
      <c r="M654" t="s">
        <v>27</v>
      </c>
      <c r="N654">
        <f>MONTH(Table1[[#This Row],[SaleDate]])</f>
        <v>3</v>
      </c>
      <c r="O654" t="str">
        <f>TEXT(Table1[[#This Row],[SaleDate]],"MMM")</f>
        <v>Mar</v>
      </c>
    </row>
    <row r="655" spans="1:15">
      <c r="A655" s="1">
        <v>45008</v>
      </c>
      <c r="B655" t="s">
        <v>24</v>
      </c>
      <c r="C655" t="s">
        <v>22</v>
      </c>
      <c r="D655">
        <v>1</v>
      </c>
      <c r="E655" t="s">
        <v>9</v>
      </c>
      <c r="F655">
        <v>60000</v>
      </c>
      <c r="G655">
        <v>31000</v>
      </c>
      <c r="H655">
        <f>Table1[[#This Row],[Qty]]*Table1[[#This Row],[SellingPrice]]</f>
        <v>60000</v>
      </c>
      <c r="I655">
        <f>Table1[[#This Row],[Qty]]*Table1[[#This Row],[CostPrice]]</f>
        <v>31000</v>
      </c>
      <c r="J655">
        <v>28797</v>
      </c>
      <c r="K655">
        <v>202.99999999999997</v>
      </c>
      <c r="L655" t="s">
        <v>12</v>
      </c>
      <c r="M655" t="s">
        <v>29</v>
      </c>
      <c r="N655">
        <f>MONTH(Table1[[#This Row],[SaleDate]])</f>
        <v>3</v>
      </c>
      <c r="O655" t="str">
        <f>TEXT(Table1[[#This Row],[SaleDate]],"MMM")</f>
        <v>Mar</v>
      </c>
    </row>
    <row r="656" spans="1:15">
      <c r="A656" s="1">
        <v>45008</v>
      </c>
      <c r="B656" t="s">
        <v>24</v>
      </c>
      <c r="C656" t="s">
        <v>22</v>
      </c>
      <c r="D656">
        <v>1</v>
      </c>
      <c r="E656" t="s">
        <v>10</v>
      </c>
      <c r="F656">
        <v>89000</v>
      </c>
      <c r="G656">
        <v>65000</v>
      </c>
      <c r="H656">
        <f>Table1[[#This Row],[Qty]]*Table1[[#This Row],[SellingPrice]]</f>
        <v>89000</v>
      </c>
      <c r="I656">
        <f>Table1[[#This Row],[Qty]]*Table1[[#This Row],[CostPrice]]</f>
        <v>65000</v>
      </c>
      <c r="J656">
        <v>23832</v>
      </c>
      <c r="K656">
        <v>167.99999999999997</v>
      </c>
      <c r="L656" t="s">
        <v>12</v>
      </c>
      <c r="M656" t="s">
        <v>28</v>
      </c>
      <c r="N656">
        <f>MONTH(Table1[[#This Row],[SaleDate]])</f>
        <v>3</v>
      </c>
      <c r="O656" t="str">
        <f>TEXT(Table1[[#This Row],[SaleDate]],"MMM")</f>
        <v>Mar</v>
      </c>
    </row>
    <row r="657" spans="1:15">
      <c r="A657" s="1">
        <v>45008</v>
      </c>
      <c r="B657" t="s">
        <v>25</v>
      </c>
      <c r="C657" t="s">
        <v>21</v>
      </c>
      <c r="D657">
        <v>1</v>
      </c>
      <c r="E657" t="s">
        <v>7</v>
      </c>
      <c r="F657">
        <v>33000</v>
      </c>
      <c r="G657">
        <v>18000</v>
      </c>
      <c r="H657">
        <f>Table1[[#This Row],[Qty]]*Table1[[#This Row],[SellingPrice]]</f>
        <v>33000</v>
      </c>
      <c r="I657">
        <f>Table1[[#This Row],[Qty]]*Table1[[#This Row],[CostPrice]]</f>
        <v>18000</v>
      </c>
      <c r="J657">
        <v>14895</v>
      </c>
      <c r="K657">
        <v>104.99999999999999</v>
      </c>
      <c r="L657" t="s">
        <v>13</v>
      </c>
      <c r="M657" t="s">
        <v>27</v>
      </c>
      <c r="N657">
        <f>MONTH(Table1[[#This Row],[SaleDate]])</f>
        <v>3</v>
      </c>
      <c r="O657" t="str">
        <f>TEXT(Table1[[#This Row],[SaleDate]],"MMM")</f>
        <v>Mar</v>
      </c>
    </row>
    <row r="658" spans="1:15">
      <c r="A658" s="1">
        <v>45008</v>
      </c>
      <c r="B658" t="s">
        <v>25</v>
      </c>
      <c r="C658" t="s">
        <v>21</v>
      </c>
      <c r="D658">
        <v>1</v>
      </c>
      <c r="E658" t="s">
        <v>10</v>
      </c>
      <c r="F658">
        <v>89000</v>
      </c>
      <c r="G658">
        <v>65000</v>
      </c>
      <c r="H658">
        <f>Table1[[#This Row],[Qty]]*Table1[[#This Row],[SellingPrice]]</f>
        <v>89000</v>
      </c>
      <c r="I658">
        <f>Table1[[#This Row],[Qty]]*Table1[[#This Row],[CostPrice]]</f>
        <v>65000</v>
      </c>
      <c r="J658">
        <v>23832</v>
      </c>
      <c r="K658">
        <v>167.99999999999997</v>
      </c>
      <c r="L658" t="s">
        <v>13</v>
      </c>
      <c r="M658" t="s">
        <v>29</v>
      </c>
      <c r="N658">
        <f>MONTH(Table1[[#This Row],[SaleDate]])</f>
        <v>3</v>
      </c>
      <c r="O658" t="str">
        <f>TEXT(Table1[[#This Row],[SaleDate]],"MMM")</f>
        <v>Mar</v>
      </c>
    </row>
    <row r="659" spans="1:15">
      <c r="A659" s="1">
        <v>45009</v>
      </c>
      <c r="B659" t="s">
        <v>23</v>
      </c>
      <c r="C659" t="s">
        <v>19</v>
      </c>
      <c r="D659">
        <v>2</v>
      </c>
      <c r="E659" t="s">
        <v>7</v>
      </c>
      <c r="F659">
        <v>33000</v>
      </c>
      <c r="G659">
        <v>18000</v>
      </c>
      <c r="H659">
        <f>Table1[[#This Row],[Qty]]*Table1[[#This Row],[SellingPrice]]</f>
        <v>66000</v>
      </c>
      <c r="I659">
        <f>Table1[[#This Row],[Qty]]*Table1[[#This Row],[CostPrice]]</f>
        <v>36000</v>
      </c>
      <c r="J659">
        <v>29790</v>
      </c>
      <c r="K659">
        <v>209.99999999999997</v>
      </c>
      <c r="L659" t="s">
        <v>8</v>
      </c>
      <c r="M659" t="s">
        <v>29</v>
      </c>
      <c r="N659">
        <f>MONTH(Table1[[#This Row],[SaleDate]])</f>
        <v>3</v>
      </c>
      <c r="O659" t="str">
        <f>TEXT(Table1[[#This Row],[SaleDate]],"MMM")</f>
        <v>Mar</v>
      </c>
    </row>
    <row r="660" spans="1:15">
      <c r="A660" s="1">
        <v>45009</v>
      </c>
      <c r="B660" t="s">
        <v>23</v>
      </c>
      <c r="C660" t="s">
        <v>19</v>
      </c>
      <c r="D660">
        <v>2</v>
      </c>
      <c r="E660" t="s">
        <v>9</v>
      </c>
      <c r="F660">
        <v>60000</v>
      </c>
      <c r="G660">
        <v>31000</v>
      </c>
      <c r="H660">
        <f>Table1[[#This Row],[Qty]]*Table1[[#This Row],[SellingPrice]]</f>
        <v>120000</v>
      </c>
      <c r="I660">
        <f>Table1[[#This Row],[Qty]]*Table1[[#This Row],[CostPrice]]</f>
        <v>62000</v>
      </c>
      <c r="J660">
        <v>57594</v>
      </c>
      <c r="K660">
        <v>405.99999999999994</v>
      </c>
      <c r="L660" t="s">
        <v>8</v>
      </c>
      <c r="M660" t="s">
        <v>30</v>
      </c>
      <c r="N660">
        <f>MONTH(Table1[[#This Row],[SaleDate]])</f>
        <v>3</v>
      </c>
      <c r="O660" t="str">
        <f>TEXT(Table1[[#This Row],[SaleDate]],"MMM")</f>
        <v>Mar</v>
      </c>
    </row>
    <row r="661" spans="1:15">
      <c r="A661" s="1">
        <v>45009</v>
      </c>
      <c r="B661" t="s">
        <v>23</v>
      </c>
      <c r="C661" t="s">
        <v>19</v>
      </c>
      <c r="D661">
        <v>2</v>
      </c>
      <c r="E661" t="s">
        <v>10</v>
      </c>
      <c r="F661">
        <v>89000</v>
      </c>
      <c r="G661">
        <v>65000</v>
      </c>
      <c r="H661">
        <f>Table1[[#This Row],[Qty]]*Table1[[#This Row],[SellingPrice]]</f>
        <v>178000</v>
      </c>
      <c r="I661">
        <f>Table1[[#This Row],[Qty]]*Table1[[#This Row],[CostPrice]]</f>
        <v>130000</v>
      </c>
      <c r="J661">
        <v>47664</v>
      </c>
      <c r="K661">
        <v>335.99999999999994</v>
      </c>
      <c r="L661" t="s">
        <v>8</v>
      </c>
      <c r="M661" t="s">
        <v>27</v>
      </c>
      <c r="N661">
        <f>MONTH(Table1[[#This Row],[SaleDate]])</f>
        <v>3</v>
      </c>
      <c r="O661" t="str">
        <f>TEXT(Table1[[#This Row],[SaleDate]],"MMM")</f>
        <v>Mar</v>
      </c>
    </row>
    <row r="662" spans="1:15">
      <c r="A662" s="1">
        <v>45009</v>
      </c>
      <c r="B662" t="s">
        <v>24</v>
      </c>
      <c r="C662" t="s">
        <v>22</v>
      </c>
      <c r="D662">
        <v>2</v>
      </c>
      <c r="E662" t="s">
        <v>7</v>
      </c>
      <c r="F662">
        <v>33000</v>
      </c>
      <c r="G662">
        <v>18000</v>
      </c>
      <c r="H662">
        <f>Table1[[#This Row],[Qty]]*Table1[[#This Row],[SellingPrice]]</f>
        <v>66000</v>
      </c>
      <c r="I662">
        <f>Table1[[#This Row],[Qty]]*Table1[[#This Row],[CostPrice]]</f>
        <v>36000</v>
      </c>
      <c r="J662">
        <v>29790</v>
      </c>
      <c r="K662">
        <v>209.99999999999997</v>
      </c>
      <c r="L662" t="s">
        <v>12</v>
      </c>
      <c r="M662" t="s">
        <v>29</v>
      </c>
      <c r="N662">
        <f>MONTH(Table1[[#This Row],[SaleDate]])</f>
        <v>3</v>
      </c>
      <c r="O662" t="str">
        <f>TEXT(Table1[[#This Row],[SaleDate]],"MMM")</f>
        <v>Mar</v>
      </c>
    </row>
    <row r="663" spans="1:15">
      <c r="A663" s="1">
        <v>45009</v>
      </c>
      <c r="B663" t="s">
        <v>24</v>
      </c>
      <c r="C663" t="s">
        <v>22</v>
      </c>
      <c r="D663">
        <v>2</v>
      </c>
      <c r="E663" t="s">
        <v>9</v>
      </c>
      <c r="F663">
        <v>60000</v>
      </c>
      <c r="G663">
        <v>31000</v>
      </c>
      <c r="H663">
        <f>Table1[[#This Row],[Qty]]*Table1[[#This Row],[SellingPrice]]</f>
        <v>120000</v>
      </c>
      <c r="I663">
        <f>Table1[[#This Row],[Qty]]*Table1[[#This Row],[CostPrice]]</f>
        <v>62000</v>
      </c>
      <c r="J663">
        <v>57594</v>
      </c>
      <c r="K663">
        <v>405.99999999999994</v>
      </c>
      <c r="L663" t="s">
        <v>12</v>
      </c>
      <c r="M663" t="s">
        <v>27</v>
      </c>
      <c r="N663">
        <f>MONTH(Table1[[#This Row],[SaleDate]])</f>
        <v>3</v>
      </c>
      <c r="O663" t="str">
        <f>TEXT(Table1[[#This Row],[SaleDate]],"MMM")</f>
        <v>Mar</v>
      </c>
    </row>
    <row r="664" spans="1:15">
      <c r="A664" s="1">
        <v>45009</v>
      </c>
      <c r="B664" t="s">
        <v>24</v>
      </c>
      <c r="C664" t="s">
        <v>22</v>
      </c>
      <c r="D664">
        <v>2</v>
      </c>
      <c r="E664" t="s">
        <v>10</v>
      </c>
      <c r="F664">
        <v>89000</v>
      </c>
      <c r="G664">
        <v>65000</v>
      </c>
      <c r="H664">
        <f>Table1[[#This Row],[Qty]]*Table1[[#This Row],[SellingPrice]]</f>
        <v>178000</v>
      </c>
      <c r="I664">
        <f>Table1[[#This Row],[Qty]]*Table1[[#This Row],[CostPrice]]</f>
        <v>130000</v>
      </c>
      <c r="J664">
        <v>47664</v>
      </c>
      <c r="K664">
        <v>335.99999999999994</v>
      </c>
      <c r="L664" t="s">
        <v>12</v>
      </c>
      <c r="M664" t="s">
        <v>30</v>
      </c>
      <c r="N664">
        <f>MONTH(Table1[[#This Row],[SaleDate]])</f>
        <v>3</v>
      </c>
      <c r="O664" t="str">
        <f>TEXT(Table1[[#This Row],[SaleDate]],"MMM")</f>
        <v>Mar</v>
      </c>
    </row>
    <row r="665" spans="1:15">
      <c r="A665" s="1">
        <v>45009</v>
      </c>
      <c r="B665" t="s">
        <v>25</v>
      </c>
      <c r="C665" t="s">
        <v>21</v>
      </c>
      <c r="D665">
        <v>2</v>
      </c>
      <c r="E665" t="s">
        <v>7</v>
      </c>
      <c r="F665">
        <v>33000</v>
      </c>
      <c r="G665">
        <v>18000</v>
      </c>
      <c r="H665">
        <f>Table1[[#This Row],[Qty]]*Table1[[#This Row],[SellingPrice]]</f>
        <v>66000</v>
      </c>
      <c r="I665">
        <f>Table1[[#This Row],[Qty]]*Table1[[#This Row],[CostPrice]]</f>
        <v>36000</v>
      </c>
      <c r="J665">
        <v>29790</v>
      </c>
      <c r="K665">
        <v>209.99999999999997</v>
      </c>
      <c r="L665" t="s">
        <v>13</v>
      </c>
      <c r="M665" t="s">
        <v>29</v>
      </c>
      <c r="N665">
        <f>MONTH(Table1[[#This Row],[SaleDate]])</f>
        <v>3</v>
      </c>
      <c r="O665" t="str">
        <f>TEXT(Table1[[#This Row],[SaleDate]],"MMM")</f>
        <v>Mar</v>
      </c>
    </row>
    <row r="666" spans="1:15">
      <c r="A666" s="1">
        <v>45009</v>
      </c>
      <c r="B666" t="s">
        <v>25</v>
      </c>
      <c r="C666" t="s">
        <v>21</v>
      </c>
      <c r="D666">
        <v>2</v>
      </c>
      <c r="E666" t="s">
        <v>10</v>
      </c>
      <c r="F666">
        <v>89000</v>
      </c>
      <c r="G666">
        <v>65000</v>
      </c>
      <c r="H666">
        <f>Table1[[#This Row],[Qty]]*Table1[[#This Row],[SellingPrice]]</f>
        <v>178000</v>
      </c>
      <c r="I666">
        <f>Table1[[#This Row],[Qty]]*Table1[[#This Row],[CostPrice]]</f>
        <v>130000</v>
      </c>
      <c r="J666">
        <v>47664</v>
      </c>
      <c r="K666">
        <v>335.99999999999994</v>
      </c>
      <c r="L666" t="s">
        <v>13</v>
      </c>
      <c r="M666" t="s">
        <v>28</v>
      </c>
      <c r="N666">
        <f>MONTH(Table1[[#This Row],[SaleDate]])</f>
        <v>3</v>
      </c>
      <c r="O666" t="str">
        <f>TEXT(Table1[[#This Row],[SaleDate]],"MMM")</f>
        <v>Mar</v>
      </c>
    </row>
    <row r="667" spans="1:15">
      <c r="A667" s="1">
        <v>45010</v>
      </c>
      <c r="B667" t="s">
        <v>23</v>
      </c>
      <c r="C667" t="s">
        <v>19</v>
      </c>
      <c r="D667">
        <v>1</v>
      </c>
      <c r="E667" t="s">
        <v>7</v>
      </c>
      <c r="F667">
        <v>33000</v>
      </c>
      <c r="G667">
        <v>18000</v>
      </c>
      <c r="H667">
        <f>Table1[[#This Row],[Qty]]*Table1[[#This Row],[SellingPrice]]</f>
        <v>33000</v>
      </c>
      <c r="I667">
        <f>Table1[[#This Row],[Qty]]*Table1[[#This Row],[CostPrice]]</f>
        <v>18000</v>
      </c>
      <c r="J667">
        <v>14895</v>
      </c>
      <c r="K667">
        <v>104.99999999999999</v>
      </c>
      <c r="L667" t="s">
        <v>8</v>
      </c>
      <c r="M667" t="s">
        <v>29</v>
      </c>
      <c r="N667">
        <f>MONTH(Table1[[#This Row],[SaleDate]])</f>
        <v>3</v>
      </c>
      <c r="O667" t="str">
        <f>TEXT(Table1[[#This Row],[SaleDate]],"MMM")</f>
        <v>Mar</v>
      </c>
    </row>
    <row r="668" spans="1:15">
      <c r="A668" s="1">
        <v>45010</v>
      </c>
      <c r="B668" t="s">
        <v>23</v>
      </c>
      <c r="C668" t="s">
        <v>19</v>
      </c>
      <c r="D668">
        <v>1</v>
      </c>
      <c r="E668" t="s">
        <v>9</v>
      </c>
      <c r="F668">
        <v>60000</v>
      </c>
      <c r="G668">
        <v>31000</v>
      </c>
      <c r="H668">
        <f>Table1[[#This Row],[Qty]]*Table1[[#This Row],[SellingPrice]]</f>
        <v>60000</v>
      </c>
      <c r="I668">
        <f>Table1[[#This Row],[Qty]]*Table1[[#This Row],[CostPrice]]</f>
        <v>31000</v>
      </c>
      <c r="J668">
        <v>28797</v>
      </c>
      <c r="K668">
        <v>202.99999999999997</v>
      </c>
      <c r="L668" t="s">
        <v>8</v>
      </c>
      <c r="M668" t="s">
        <v>29</v>
      </c>
      <c r="N668">
        <f>MONTH(Table1[[#This Row],[SaleDate]])</f>
        <v>3</v>
      </c>
      <c r="O668" t="str">
        <f>TEXT(Table1[[#This Row],[SaleDate]],"MMM")</f>
        <v>Mar</v>
      </c>
    </row>
    <row r="669" spans="1:15">
      <c r="A669" s="1">
        <v>45010</v>
      </c>
      <c r="B669" t="s">
        <v>23</v>
      </c>
      <c r="C669" t="s">
        <v>19</v>
      </c>
      <c r="D669">
        <v>1</v>
      </c>
      <c r="E669" t="s">
        <v>10</v>
      </c>
      <c r="F669">
        <v>89000</v>
      </c>
      <c r="G669">
        <v>65000</v>
      </c>
      <c r="H669">
        <f>Table1[[#This Row],[Qty]]*Table1[[#This Row],[SellingPrice]]</f>
        <v>89000</v>
      </c>
      <c r="I669">
        <f>Table1[[#This Row],[Qty]]*Table1[[#This Row],[CostPrice]]</f>
        <v>65000</v>
      </c>
      <c r="J669">
        <v>23832</v>
      </c>
      <c r="K669">
        <v>167.99999999999997</v>
      </c>
      <c r="L669" t="s">
        <v>8</v>
      </c>
      <c r="M669" t="s">
        <v>27</v>
      </c>
      <c r="N669">
        <f>MONTH(Table1[[#This Row],[SaleDate]])</f>
        <v>3</v>
      </c>
      <c r="O669" t="str">
        <f>TEXT(Table1[[#This Row],[SaleDate]],"MMM")</f>
        <v>Mar</v>
      </c>
    </row>
    <row r="670" spans="1:15">
      <c r="A670" s="1">
        <v>45010</v>
      </c>
      <c r="B670" t="s">
        <v>24</v>
      </c>
      <c r="C670" t="s">
        <v>22</v>
      </c>
      <c r="D670">
        <v>1</v>
      </c>
      <c r="E670" t="s">
        <v>7</v>
      </c>
      <c r="F670">
        <v>33000</v>
      </c>
      <c r="G670">
        <v>18000</v>
      </c>
      <c r="H670">
        <f>Table1[[#This Row],[Qty]]*Table1[[#This Row],[SellingPrice]]</f>
        <v>33000</v>
      </c>
      <c r="I670">
        <f>Table1[[#This Row],[Qty]]*Table1[[#This Row],[CostPrice]]</f>
        <v>18000</v>
      </c>
      <c r="J670">
        <v>14895</v>
      </c>
      <c r="K670">
        <v>104.99999999999999</v>
      </c>
      <c r="L670" t="s">
        <v>12</v>
      </c>
      <c r="M670" t="s">
        <v>27</v>
      </c>
      <c r="N670">
        <f>MONTH(Table1[[#This Row],[SaleDate]])</f>
        <v>3</v>
      </c>
      <c r="O670" t="str">
        <f>TEXT(Table1[[#This Row],[SaleDate]],"MMM")</f>
        <v>Mar</v>
      </c>
    </row>
    <row r="671" spans="1:15">
      <c r="A671" s="1">
        <v>45010</v>
      </c>
      <c r="B671" t="s">
        <v>24</v>
      </c>
      <c r="C671" t="s">
        <v>22</v>
      </c>
      <c r="D671">
        <v>1</v>
      </c>
      <c r="E671" t="s">
        <v>9</v>
      </c>
      <c r="F671">
        <v>60000</v>
      </c>
      <c r="G671">
        <v>31000</v>
      </c>
      <c r="H671">
        <f>Table1[[#This Row],[Qty]]*Table1[[#This Row],[SellingPrice]]</f>
        <v>60000</v>
      </c>
      <c r="I671">
        <f>Table1[[#This Row],[Qty]]*Table1[[#This Row],[CostPrice]]</f>
        <v>31000</v>
      </c>
      <c r="J671">
        <v>28797</v>
      </c>
      <c r="K671">
        <v>202.99999999999997</v>
      </c>
      <c r="L671" t="s">
        <v>12</v>
      </c>
      <c r="M671" t="s">
        <v>29</v>
      </c>
      <c r="N671">
        <f>MONTH(Table1[[#This Row],[SaleDate]])</f>
        <v>3</v>
      </c>
      <c r="O671" t="str">
        <f>TEXT(Table1[[#This Row],[SaleDate]],"MMM")</f>
        <v>Mar</v>
      </c>
    </row>
    <row r="672" spans="1:15">
      <c r="A672" s="1">
        <v>45010</v>
      </c>
      <c r="B672" t="s">
        <v>24</v>
      </c>
      <c r="C672" t="s">
        <v>22</v>
      </c>
      <c r="D672">
        <v>1</v>
      </c>
      <c r="E672" t="s">
        <v>10</v>
      </c>
      <c r="F672">
        <v>89000</v>
      </c>
      <c r="G672">
        <v>65000</v>
      </c>
      <c r="H672">
        <f>Table1[[#This Row],[Qty]]*Table1[[#This Row],[SellingPrice]]</f>
        <v>89000</v>
      </c>
      <c r="I672">
        <f>Table1[[#This Row],[Qty]]*Table1[[#This Row],[CostPrice]]</f>
        <v>65000</v>
      </c>
      <c r="J672">
        <v>23832</v>
      </c>
      <c r="K672">
        <v>167.99999999999997</v>
      </c>
      <c r="L672" t="s">
        <v>12</v>
      </c>
      <c r="M672" t="s">
        <v>27</v>
      </c>
      <c r="N672">
        <f>MONTH(Table1[[#This Row],[SaleDate]])</f>
        <v>3</v>
      </c>
      <c r="O672" t="str">
        <f>TEXT(Table1[[#This Row],[SaleDate]],"MMM")</f>
        <v>Mar</v>
      </c>
    </row>
    <row r="673" spans="1:15">
      <c r="A673" s="1">
        <v>45010</v>
      </c>
      <c r="B673" t="s">
        <v>25</v>
      </c>
      <c r="C673" t="s">
        <v>21</v>
      </c>
      <c r="D673">
        <v>1</v>
      </c>
      <c r="E673" t="s">
        <v>7</v>
      </c>
      <c r="F673">
        <v>33000</v>
      </c>
      <c r="G673">
        <v>18000</v>
      </c>
      <c r="H673">
        <f>Table1[[#This Row],[Qty]]*Table1[[#This Row],[SellingPrice]]</f>
        <v>33000</v>
      </c>
      <c r="I673">
        <f>Table1[[#This Row],[Qty]]*Table1[[#This Row],[CostPrice]]</f>
        <v>18000</v>
      </c>
      <c r="J673">
        <v>14895</v>
      </c>
      <c r="K673">
        <v>104.99999999999999</v>
      </c>
      <c r="L673" t="s">
        <v>13</v>
      </c>
      <c r="M673" t="s">
        <v>30</v>
      </c>
      <c r="N673">
        <f>MONTH(Table1[[#This Row],[SaleDate]])</f>
        <v>3</v>
      </c>
      <c r="O673" t="str">
        <f>TEXT(Table1[[#This Row],[SaleDate]],"MMM")</f>
        <v>Mar</v>
      </c>
    </row>
    <row r="674" spans="1:15">
      <c r="A674" s="1">
        <v>45010</v>
      </c>
      <c r="B674" t="s">
        <v>25</v>
      </c>
      <c r="C674" t="s">
        <v>21</v>
      </c>
      <c r="D674">
        <v>1</v>
      </c>
      <c r="E674" t="s">
        <v>10</v>
      </c>
      <c r="F674">
        <v>89000</v>
      </c>
      <c r="G674">
        <v>65000</v>
      </c>
      <c r="H674">
        <f>Table1[[#This Row],[Qty]]*Table1[[#This Row],[SellingPrice]]</f>
        <v>89000</v>
      </c>
      <c r="I674">
        <f>Table1[[#This Row],[Qty]]*Table1[[#This Row],[CostPrice]]</f>
        <v>65000</v>
      </c>
      <c r="J674">
        <v>23832</v>
      </c>
      <c r="K674">
        <v>167.99999999999997</v>
      </c>
      <c r="L674" t="s">
        <v>13</v>
      </c>
      <c r="M674" t="s">
        <v>29</v>
      </c>
      <c r="N674">
        <f>MONTH(Table1[[#This Row],[SaleDate]])</f>
        <v>3</v>
      </c>
      <c r="O674" t="str">
        <f>TEXT(Table1[[#This Row],[SaleDate]],"MMM")</f>
        <v>Mar</v>
      </c>
    </row>
    <row r="675" spans="1:15">
      <c r="A675" s="1">
        <v>45011</v>
      </c>
      <c r="B675" t="s">
        <v>23</v>
      </c>
      <c r="C675" t="s">
        <v>19</v>
      </c>
      <c r="D675">
        <v>2</v>
      </c>
      <c r="E675" t="s">
        <v>7</v>
      </c>
      <c r="F675">
        <v>33000</v>
      </c>
      <c r="G675">
        <v>18000</v>
      </c>
      <c r="H675">
        <f>Table1[[#This Row],[Qty]]*Table1[[#This Row],[SellingPrice]]</f>
        <v>66000</v>
      </c>
      <c r="I675">
        <f>Table1[[#This Row],[Qty]]*Table1[[#This Row],[CostPrice]]</f>
        <v>36000</v>
      </c>
      <c r="J675">
        <v>29790</v>
      </c>
      <c r="K675">
        <v>209.99999999999997</v>
      </c>
      <c r="L675" t="s">
        <v>8</v>
      </c>
      <c r="M675" t="s">
        <v>27</v>
      </c>
      <c r="N675">
        <f>MONTH(Table1[[#This Row],[SaleDate]])</f>
        <v>3</v>
      </c>
      <c r="O675" t="str">
        <f>TEXT(Table1[[#This Row],[SaleDate]],"MMM")</f>
        <v>Mar</v>
      </c>
    </row>
    <row r="676" spans="1:15">
      <c r="A676" s="1">
        <v>45011</v>
      </c>
      <c r="B676" t="s">
        <v>23</v>
      </c>
      <c r="C676" t="s">
        <v>19</v>
      </c>
      <c r="D676">
        <v>2</v>
      </c>
      <c r="E676" t="s">
        <v>9</v>
      </c>
      <c r="F676">
        <v>60000</v>
      </c>
      <c r="G676">
        <v>31000</v>
      </c>
      <c r="H676">
        <f>Table1[[#This Row],[Qty]]*Table1[[#This Row],[SellingPrice]]</f>
        <v>120000</v>
      </c>
      <c r="I676">
        <f>Table1[[#This Row],[Qty]]*Table1[[#This Row],[CostPrice]]</f>
        <v>62000</v>
      </c>
      <c r="J676">
        <v>57594</v>
      </c>
      <c r="K676">
        <v>405.99999999999994</v>
      </c>
      <c r="L676" t="s">
        <v>8</v>
      </c>
      <c r="M676" t="s">
        <v>27</v>
      </c>
      <c r="N676">
        <f>MONTH(Table1[[#This Row],[SaleDate]])</f>
        <v>3</v>
      </c>
      <c r="O676" t="str">
        <f>TEXT(Table1[[#This Row],[SaleDate]],"MMM")</f>
        <v>Mar</v>
      </c>
    </row>
    <row r="677" spans="1:15">
      <c r="A677" s="1">
        <v>45011</v>
      </c>
      <c r="B677" t="s">
        <v>23</v>
      </c>
      <c r="C677" t="s">
        <v>19</v>
      </c>
      <c r="D677">
        <v>2</v>
      </c>
      <c r="E677" t="s">
        <v>10</v>
      </c>
      <c r="F677">
        <v>89000</v>
      </c>
      <c r="G677">
        <v>65000</v>
      </c>
      <c r="H677">
        <f>Table1[[#This Row],[Qty]]*Table1[[#This Row],[SellingPrice]]</f>
        <v>178000</v>
      </c>
      <c r="I677">
        <f>Table1[[#This Row],[Qty]]*Table1[[#This Row],[CostPrice]]</f>
        <v>130000</v>
      </c>
      <c r="J677">
        <v>47664</v>
      </c>
      <c r="K677">
        <v>335.99999999999994</v>
      </c>
      <c r="L677" t="s">
        <v>8</v>
      </c>
      <c r="M677" t="s">
        <v>28</v>
      </c>
      <c r="N677">
        <f>MONTH(Table1[[#This Row],[SaleDate]])</f>
        <v>3</v>
      </c>
      <c r="O677" t="str">
        <f>TEXT(Table1[[#This Row],[SaleDate]],"MMM")</f>
        <v>Mar</v>
      </c>
    </row>
    <row r="678" spans="1:15">
      <c r="A678" s="1">
        <v>45011</v>
      </c>
      <c r="B678" t="s">
        <v>24</v>
      </c>
      <c r="C678" t="s">
        <v>22</v>
      </c>
      <c r="D678">
        <v>2</v>
      </c>
      <c r="E678" t="s">
        <v>7</v>
      </c>
      <c r="F678">
        <v>33000</v>
      </c>
      <c r="G678">
        <v>18000</v>
      </c>
      <c r="H678">
        <f>Table1[[#This Row],[Qty]]*Table1[[#This Row],[SellingPrice]]</f>
        <v>66000</v>
      </c>
      <c r="I678">
        <f>Table1[[#This Row],[Qty]]*Table1[[#This Row],[CostPrice]]</f>
        <v>36000</v>
      </c>
      <c r="J678">
        <v>29790</v>
      </c>
      <c r="K678">
        <v>209.99999999999997</v>
      </c>
      <c r="L678" t="s">
        <v>12</v>
      </c>
      <c r="M678" t="s">
        <v>30</v>
      </c>
      <c r="N678">
        <f>MONTH(Table1[[#This Row],[SaleDate]])</f>
        <v>3</v>
      </c>
      <c r="O678" t="str">
        <f>TEXT(Table1[[#This Row],[SaleDate]],"MMM")</f>
        <v>Mar</v>
      </c>
    </row>
    <row r="679" spans="1:15">
      <c r="A679" s="1">
        <v>45011</v>
      </c>
      <c r="B679" t="s">
        <v>24</v>
      </c>
      <c r="C679" t="s">
        <v>22</v>
      </c>
      <c r="D679">
        <v>2</v>
      </c>
      <c r="E679" t="s">
        <v>9</v>
      </c>
      <c r="F679">
        <v>60000</v>
      </c>
      <c r="G679">
        <v>31000</v>
      </c>
      <c r="H679">
        <f>Table1[[#This Row],[Qty]]*Table1[[#This Row],[SellingPrice]]</f>
        <v>120000</v>
      </c>
      <c r="I679">
        <f>Table1[[#This Row],[Qty]]*Table1[[#This Row],[CostPrice]]</f>
        <v>62000</v>
      </c>
      <c r="J679">
        <v>57594</v>
      </c>
      <c r="K679">
        <v>405.99999999999994</v>
      </c>
      <c r="L679" t="s">
        <v>12</v>
      </c>
      <c r="M679" t="s">
        <v>27</v>
      </c>
      <c r="N679">
        <f>MONTH(Table1[[#This Row],[SaleDate]])</f>
        <v>3</v>
      </c>
      <c r="O679" t="str">
        <f>TEXT(Table1[[#This Row],[SaleDate]],"MMM")</f>
        <v>Mar</v>
      </c>
    </row>
    <row r="680" spans="1:15">
      <c r="A680" s="1">
        <v>45011</v>
      </c>
      <c r="B680" t="s">
        <v>24</v>
      </c>
      <c r="C680" t="s">
        <v>22</v>
      </c>
      <c r="D680">
        <v>2</v>
      </c>
      <c r="E680" t="s">
        <v>10</v>
      </c>
      <c r="F680">
        <v>89000</v>
      </c>
      <c r="G680">
        <v>65000</v>
      </c>
      <c r="H680">
        <f>Table1[[#This Row],[Qty]]*Table1[[#This Row],[SellingPrice]]</f>
        <v>178000</v>
      </c>
      <c r="I680">
        <f>Table1[[#This Row],[Qty]]*Table1[[#This Row],[CostPrice]]</f>
        <v>130000</v>
      </c>
      <c r="J680">
        <v>47664</v>
      </c>
      <c r="K680">
        <v>335.99999999999994</v>
      </c>
      <c r="L680" t="s">
        <v>12</v>
      </c>
      <c r="M680" t="s">
        <v>30</v>
      </c>
      <c r="N680">
        <f>MONTH(Table1[[#This Row],[SaleDate]])</f>
        <v>3</v>
      </c>
      <c r="O680" t="str">
        <f>TEXT(Table1[[#This Row],[SaleDate]],"MMM")</f>
        <v>Mar</v>
      </c>
    </row>
    <row r="681" spans="1:15">
      <c r="A681" s="1">
        <v>45011</v>
      </c>
      <c r="B681" t="s">
        <v>25</v>
      </c>
      <c r="C681" t="s">
        <v>21</v>
      </c>
      <c r="D681">
        <v>2</v>
      </c>
      <c r="E681" t="s">
        <v>7</v>
      </c>
      <c r="F681">
        <v>33000</v>
      </c>
      <c r="G681">
        <v>18000</v>
      </c>
      <c r="H681">
        <f>Table1[[#This Row],[Qty]]*Table1[[#This Row],[SellingPrice]]</f>
        <v>66000</v>
      </c>
      <c r="I681">
        <f>Table1[[#This Row],[Qty]]*Table1[[#This Row],[CostPrice]]</f>
        <v>36000</v>
      </c>
      <c r="J681">
        <v>29790</v>
      </c>
      <c r="K681">
        <v>209.99999999999997</v>
      </c>
      <c r="L681" t="s">
        <v>13</v>
      </c>
      <c r="M681" t="s">
        <v>28</v>
      </c>
      <c r="N681">
        <f>MONTH(Table1[[#This Row],[SaleDate]])</f>
        <v>3</v>
      </c>
      <c r="O681" t="str">
        <f>TEXT(Table1[[#This Row],[SaleDate]],"MMM")</f>
        <v>Mar</v>
      </c>
    </row>
    <row r="682" spans="1:15">
      <c r="A682" s="1">
        <v>45011</v>
      </c>
      <c r="B682" t="s">
        <v>25</v>
      </c>
      <c r="C682" t="s">
        <v>21</v>
      </c>
      <c r="D682">
        <v>2</v>
      </c>
      <c r="E682" t="s">
        <v>10</v>
      </c>
      <c r="F682">
        <v>89000</v>
      </c>
      <c r="G682">
        <v>65000</v>
      </c>
      <c r="H682">
        <f>Table1[[#This Row],[Qty]]*Table1[[#This Row],[SellingPrice]]</f>
        <v>178000</v>
      </c>
      <c r="I682">
        <f>Table1[[#This Row],[Qty]]*Table1[[#This Row],[CostPrice]]</f>
        <v>130000</v>
      </c>
      <c r="J682">
        <v>47664</v>
      </c>
      <c r="K682">
        <v>335.99999999999994</v>
      </c>
      <c r="L682" t="s">
        <v>13</v>
      </c>
      <c r="M682" t="s">
        <v>28</v>
      </c>
      <c r="N682">
        <f>MONTH(Table1[[#This Row],[SaleDate]])</f>
        <v>3</v>
      </c>
      <c r="O682" t="str">
        <f>TEXT(Table1[[#This Row],[SaleDate]],"MMM")</f>
        <v>Mar</v>
      </c>
    </row>
    <row r="683" spans="1:15">
      <c r="A683" s="1">
        <v>45012</v>
      </c>
      <c r="B683" t="s">
        <v>23</v>
      </c>
      <c r="C683" t="s">
        <v>19</v>
      </c>
      <c r="D683">
        <v>2</v>
      </c>
      <c r="E683" t="s">
        <v>7</v>
      </c>
      <c r="F683">
        <v>33000</v>
      </c>
      <c r="G683">
        <v>18000</v>
      </c>
      <c r="H683">
        <f>Table1[[#This Row],[Qty]]*Table1[[#This Row],[SellingPrice]]</f>
        <v>66000</v>
      </c>
      <c r="I683">
        <f>Table1[[#This Row],[Qty]]*Table1[[#This Row],[CostPrice]]</f>
        <v>36000</v>
      </c>
      <c r="J683">
        <v>29790</v>
      </c>
      <c r="K683">
        <v>209.99999999999997</v>
      </c>
      <c r="L683" t="s">
        <v>8</v>
      </c>
      <c r="M683" t="s">
        <v>29</v>
      </c>
      <c r="N683">
        <f>MONTH(Table1[[#This Row],[SaleDate]])</f>
        <v>3</v>
      </c>
      <c r="O683" t="str">
        <f>TEXT(Table1[[#This Row],[SaleDate]],"MMM")</f>
        <v>Mar</v>
      </c>
    </row>
    <row r="684" spans="1:15">
      <c r="A684" s="1">
        <v>45012</v>
      </c>
      <c r="B684" t="s">
        <v>23</v>
      </c>
      <c r="C684" t="s">
        <v>19</v>
      </c>
      <c r="D684">
        <v>2</v>
      </c>
      <c r="E684" t="s">
        <v>9</v>
      </c>
      <c r="F684">
        <v>60000</v>
      </c>
      <c r="G684">
        <v>31000</v>
      </c>
      <c r="H684">
        <f>Table1[[#This Row],[Qty]]*Table1[[#This Row],[SellingPrice]]</f>
        <v>120000</v>
      </c>
      <c r="I684">
        <f>Table1[[#This Row],[Qty]]*Table1[[#This Row],[CostPrice]]</f>
        <v>62000</v>
      </c>
      <c r="J684">
        <v>57594</v>
      </c>
      <c r="K684">
        <v>405.99999999999994</v>
      </c>
      <c r="L684" t="s">
        <v>8</v>
      </c>
      <c r="M684" t="s">
        <v>30</v>
      </c>
      <c r="N684">
        <f>MONTH(Table1[[#This Row],[SaleDate]])</f>
        <v>3</v>
      </c>
      <c r="O684" t="str">
        <f>TEXT(Table1[[#This Row],[SaleDate]],"MMM")</f>
        <v>Mar</v>
      </c>
    </row>
    <row r="685" spans="1:15">
      <c r="A685" s="1">
        <v>45012</v>
      </c>
      <c r="B685" t="s">
        <v>23</v>
      </c>
      <c r="C685" t="s">
        <v>19</v>
      </c>
      <c r="D685">
        <v>2</v>
      </c>
      <c r="E685" t="s">
        <v>10</v>
      </c>
      <c r="F685">
        <v>89000</v>
      </c>
      <c r="G685">
        <v>65000</v>
      </c>
      <c r="H685">
        <f>Table1[[#This Row],[Qty]]*Table1[[#This Row],[SellingPrice]]</f>
        <v>178000</v>
      </c>
      <c r="I685">
        <f>Table1[[#This Row],[Qty]]*Table1[[#This Row],[CostPrice]]</f>
        <v>130000</v>
      </c>
      <c r="J685">
        <v>47664</v>
      </c>
      <c r="K685">
        <v>335.99999999999994</v>
      </c>
      <c r="L685" t="s">
        <v>8</v>
      </c>
      <c r="M685" t="s">
        <v>30</v>
      </c>
      <c r="N685">
        <f>MONTH(Table1[[#This Row],[SaleDate]])</f>
        <v>3</v>
      </c>
      <c r="O685" t="str">
        <f>TEXT(Table1[[#This Row],[SaleDate]],"MMM")</f>
        <v>Mar</v>
      </c>
    </row>
    <row r="686" spans="1:15">
      <c r="A686" s="1">
        <v>45012</v>
      </c>
      <c r="B686" t="s">
        <v>24</v>
      </c>
      <c r="C686" t="s">
        <v>22</v>
      </c>
      <c r="D686">
        <v>2</v>
      </c>
      <c r="E686" t="s">
        <v>7</v>
      </c>
      <c r="F686">
        <v>33000</v>
      </c>
      <c r="G686">
        <v>18000</v>
      </c>
      <c r="H686">
        <f>Table1[[#This Row],[Qty]]*Table1[[#This Row],[SellingPrice]]</f>
        <v>66000</v>
      </c>
      <c r="I686">
        <f>Table1[[#This Row],[Qty]]*Table1[[#This Row],[CostPrice]]</f>
        <v>36000</v>
      </c>
      <c r="J686">
        <v>29790</v>
      </c>
      <c r="K686">
        <v>209.99999999999997</v>
      </c>
      <c r="L686" t="s">
        <v>12</v>
      </c>
      <c r="M686" t="s">
        <v>27</v>
      </c>
      <c r="N686">
        <f>MONTH(Table1[[#This Row],[SaleDate]])</f>
        <v>3</v>
      </c>
      <c r="O686" t="str">
        <f>TEXT(Table1[[#This Row],[SaleDate]],"MMM")</f>
        <v>Mar</v>
      </c>
    </row>
    <row r="687" spans="1:15">
      <c r="A687" s="1">
        <v>45012</v>
      </c>
      <c r="B687" t="s">
        <v>24</v>
      </c>
      <c r="C687" t="s">
        <v>22</v>
      </c>
      <c r="D687">
        <v>2</v>
      </c>
      <c r="E687" t="s">
        <v>9</v>
      </c>
      <c r="F687">
        <v>60000</v>
      </c>
      <c r="G687">
        <v>31000</v>
      </c>
      <c r="H687">
        <f>Table1[[#This Row],[Qty]]*Table1[[#This Row],[SellingPrice]]</f>
        <v>120000</v>
      </c>
      <c r="I687">
        <f>Table1[[#This Row],[Qty]]*Table1[[#This Row],[CostPrice]]</f>
        <v>62000</v>
      </c>
      <c r="J687">
        <v>57594</v>
      </c>
      <c r="K687">
        <v>405.99999999999994</v>
      </c>
      <c r="L687" t="s">
        <v>12</v>
      </c>
      <c r="M687" t="s">
        <v>28</v>
      </c>
      <c r="N687">
        <f>MONTH(Table1[[#This Row],[SaleDate]])</f>
        <v>3</v>
      </c>
      <c r="O687" t="str">
        <f>TEXT(Table1[[#This Row],[SaleDate]],"MMM")</f>
        <v>Mar</v>
      </c>
    </row>
    <row r="688" spans="1:15">
      <c r="A688" s="1">
        <v>45012</v>
      </c>
      <c r="B688" t="s">
        <v>24</v>
      </c>
      <c r="C688" t="s">
        <v>22</v>
      </c>
      <c r="D688">
        <v>2</v>
      </c>
      <c r="E688" t="s">
        <v>10</v>
      </c>
      <c r="F688">
        <v>89000</v>
      </c>
      <c r="G688">
        <v>65000</v>
      </c>
      <c r="H688">
        <f>Table1[[#This Row],[Qty]]*Table1[[#This Row],[SellingPrice]]</f>
        <v>178000</v>
      </c>
      <c r="I688">
        <f>Table1[[#This Row],[Qty]]*Table1[[#This Row],[CostPrice]]</f>
        <v>130000</v>
      </c>
      <c r="J688">
        <v>47664</v>
      </c>
      <c r="K688">
        <v>335.99999999999994</v>
      </c>
      <c r="L688" t="s">
        <v>12</v>
      </c>
      <c r="M688" t="s">
        <v>27</v>
      </c>
      <c r="N688">
        <f>MONTH(Table1[[#This Row],[SaleDate]])</f>
        <v>3</v>
      </c>
      <c r="O688" t="str">
        <f>TEXT(Table1[[#This Row],[SaleDate]],"MMM")</f>
        <v>Mar</v>
      </c>
    </row>
    <row r="689" spans="1:15">
      <c r="A689" s="1">
        <v>45012</v>
      </c>
      <c r="B689" t="s">
        <v>25</v>
      </c>
      <c r="C689" t="s">
        <v>21</v>
      </c>
      <c r="D689">
        <v>2</v>
      </c>
      <c r="E689" t="s">
        <v>7</v>
      </c>
      <c r="F689">
        <v>33000</v>
      </c>
      <c r="G689">
        <v>18000</v>
      </c>
      <c r="H689">
        <f>Table1[[#This Row],[Qty]]*Table1[[#This Row],[SellingPrice]]</f>
        <v>66000</v>
      </c>
      <c r="I689">
        <f>Table1[[#This Row],[Qty]]*Table1[[#This Row],[CostPrice]]</f>
        <v>36000</v>
      </c>
      <c r="J689">
        <v>29790</v>
      </c>
      <c r="K689">
        <v>209.99999999999997</v>
      </c>
      <c r="L689" t="s">
        <v>13</v>
      </c>
      <c r="M689" t="s">
        <v>27</v>
      </c>
      <c r="N689">
        <f>MONTH(Table1[[#This Row],[SaleDate]])</f>
        <v>3</v>
      </c>
      <c r="O689" t="str">
        <f>TEXT(Table1[[#This Row],[SaleDate]],"MMM")</f>
        <v>Mar</v>
      </c>
    </row>
    <row r="690" spans="1:15">
      <c r="A690" s="1">
        <v>45012</v>
      </c>
      <c r="B690" t="s">
        <v>25</v>
      </c>
      <c r="C690" t="s">
        <v>21</v>
      </c>
      <c r="D690">
        <v>2</v>
      </c>
      <c r="E690" t="s">
        <v>9</v>
      </c>
      <c r="F690">
        <v>60000</v>
      </c>
      <c r="G690">
        <v>31000</v>
      </c>
      <c r="H690">
        <f>Table1[[#This Row],[Qty]]*Table1[[#This Row],[SellingPrice]]</f>
        <v>120000</v>
      </c>
      <c r="I690">
        <f>Table1[[#This Row],[Qty]]*Table1[[#This Row],[CostPrice]]</f>
        <v>62000</v>
      </c>
      <c r="J690">
        <v>57594</v>
      </c>
      <c r="K690">
        <v>405.99999999999994</v>
      </c>
      <c r="L690" t="s">
        <v>13</v>
      </c>
      <c r="M690" t="s">
        <v>30</v>
      </c>
      <c r="N690">
        <f>MONTH(Table1[[#This Row],[SaleDate]])</f>
        <v>3</v>
      </c>
      <c r="O690" t="str">
        <f>TEXT(Table1[[#This Row],[SaleDate]],"MMM")</f>
        <v>Mar</v>
      </c>
    </row>
    <row r="691" spans="1:15">
      <c r="A691" s="1">
        <v>45012</v>
      </c>
      <c r="B691" t="s">
        <v>25</v>
      </c>
      <c r="C691" t="s">
        <v>21</v>
      </c>
      <c r="D691">
        <v>2</v>
      </c>
      <c r="E691" t="s">
        <v>10</v>
      </c>
      <c r="F691">
        <v>89000</v>
      </c>
      <c r="G691">
        <v>65000</v>
      </c>
      <c r="H691">
        <f>Table1[[#This Row],[Qty]]*Table1[[#This Row],[SellingPrice]]</f>
        <v>178000</v>
      </c>
      <c r="I691">
        <f>Table1[[#This Row],[Qty]]*Table1[[#This Row],[CostPrice]]</f>
        <v>130000</v>
      </c>
      <c r="J691">
        <v>47664</v>
      </c>
      <c r="K691">
        <v>335.99999999999994</v>
      </c>
      <c r="L691" t="s">
        <v>13</v>
      </c>
      <c r="M691" t="s">
        <v>27</v>
      </c>
      <c r="N691">
        <f>MONTH(Table1[[#This Row],[SaleDate]])</f>
        <v>3</v>
      </c>
      <c r="O691" t="str">
        <f>TEXT(Table1[[#This Row],[SaleDate]],"MMM")</f>
        <v>Mar</v>
      </c>
    </row>
    <row r="692" spans="1:15">
      <c r="A692" s="1">
        <v>45013</v>
      </c>
      <c r="B692" t="s">
        <v>23</v>
      </c>
      <c r="C692" t="s">
        <v>19</v>
      </c>
      <c r="D692">
        <v>1</v>
      </c>
      <c r="E692" t="s">
        <v>7</v>
      </c>
      <c r="F692">
        <v>33000</v>
      </c>
      <c r="G692">
        <v>18000</v>
      </c>
      <c r="H692">
        <f>Table1[[#This Row],[Qty]]*Table1[[#This Row],[SellingPrice]]</f>
        <v>33000</v>
      </c>
      <c r="I692">
        <f>Table1[[#This Row],[Qty]]*Table1[[#This Row],[CostPrice]]</f>
        <v>18000</v>
      </c>
      <c r="J692">
        <v>14895</v>
      </c>
      <c r="K692">
        <v>104.99999999999999</v>
      </c>
      <c r="L692" t="s">
        <v>8</v>
      </c>
      <c r="M692" t="s">
        <v>30</v>
      </c>
      <c r="N692">
        <f>MONTH(Table1[[#This Row],[SaleDate]])</f>
        <v>3</v>
      </c>
      <c r="O692" t="str">
        <f>TEXT(Table1[[#This Row],[SaleDate]],"MMM")</f>
        <v>Mar</v>
      </c>
    </row>
    <row r="693" spans="1:15">
      <c r="A693" s="1">
        <v>45013</v>
      </c>
      <c r="B693" t="s">
        <v>23</v>
      </c>
      <c r="C693" t="s">
        <v>19</v>
      </c>
      <c r="D693">
        <v>1</v>
      </c>
      <c r="E693" t="s">
        <v>9</v>
      </c>
      <c r="F693">
        <v>60000</v>
      </c>
      <c r="G693">
        <v>31000</v>
      </c>
      <c r="H693">
        <f>Table1[[#This Row],[Qty]]*Table1[[#This Row],[SellingPrice]]</f>
        <v>60000</v>
      </c>
      <c r="I693">
        <f>Table1[[#This Row],[Qty]]*Table1[[#This Row],[CostPrice]]</f>
        <v>31000</v>
      </c>
      <c r="J693">
        <v>28797</v>
      </c>
      <c r="K693">
        <v>202.99999999999997</v>
      </c>
      <c r="L693" t="s">
        <v>8</v>
      </c>
      <c r="M693" t="s">
        <v>29</v>
      </c>
      <c r="N693">
        <f>MONTH(Table1[[#This Row],[SaleDate]])</f>
        <v>3</v>
      </c>
      <c r="O693" t="str">
        <f>TEXT(Table1[[#This Row],[SaleDate]],"MMM")</f>
        <v>Mar</v>
      </c>
    </row>
    <row r="694" spans="1:15">
      <c r="A694" s="1">
        <v>45013</v>
      </c>
      <c r="B694" t="s">
        <v>23</v>
      </c>
      <c r="C694" t="s">
        <v>19</v>
      </c>
      <c r="D694">
        <v>1</v>
      </c>
      <c r="E694" t="s">
        <v>10</v>
      </c>
      <c r="F694">
        <v>89000</v>
      </c>
      <c r="G694">
        <v>65000</v>
      </c>
      <c r="H694">
        <f>Table1[[#This Row],[Qty]]*Table1[[#This Row],[SellingPrice]]</f>
        <v>89000</v>
      </c>
      <c r="I694">
        <f>Table1[[#This Row],[Qty]]*Table1[[#This Row],[CostPrice]]</f>
        <v>65000</v>
      </c>
      <c r="J694">
        <v>23832</v>
      </c>
      <c r="K694">
        <v>167.99999999999997</v>
      </c>
      <c r="L694" t="s">
        <v>8</v>
      </c>
      <c r="M694" t="s">
        <v>29</v>
      </c>
      <c r="N694">
        <f>MONTH(Table1[[#This Row],[SaleDate]])</f>
        <v>3</v>
      </c>
      <c r="O694" t="str">
        <f>TEXT(Table1[[#This Row],[SaleDate]],"MMM")</f>
        <v>Mar</v>
      </c>
    </row>
    <row r="695" spans="1:15">
      <c r="A695" s="1">
        <v>45013</v>
      </c>
      <c r="B695" t="s">
        <v>24</v>
      </c>
      <c r="C695" t="s">
        <v>22</v>
      </c>
      <c r="D695">
        <v>1</v>
      </c>
      <c r="E695" t="s">
        <v>7</v>
      </c>
      <c r="F695">
        <v>33000</v>
      </c>
      <c r="G695">
        <v>18000</v>
      </c>
      <c r="H695">
        <f>Table1[[#This Row],[Qty]]*Table1[[#This Row],[SellingPrice]]</f>
        <v>33000</v>
      </c>
      <c r="I695">
        <f>Table1[[#This Row],[Qty]]*Table1[[#This Row],[CostPrice]]</f>
        <v>18000</v>
      </c>
      <c r="J695">
        <v>14895</v>
      </c>
      <c r="K695">
        <v>104.99999999999999</v>
      </c>
      <c r="L695" t="s">
        <v>12</v>
      </c>
      <c r="M695" t="s">
        <v>27</v>
      </c>
      <c r="N695">
        <f>MONTH(Table1[[#This Row],[SaleDate]])</f>
        <v>3</v>
      </c>
      <c r="O695" t="str">
        <f>TEXT(Table1[[#This Row],[SaleDate]],"MMM")</f>
        <v>Mar</v>
      </c>
    </row>
    <row r="696" spans="1:15">
      <c r="A696" s="1">
        <v>45013</v>
      </c>
      <c r="B696" t="s">
        <v>24</v>
      </c>
      <c r="C696" t="s">
        <v>22</v>
      </c>
      <c r="D696">
        <v>1</v>
      </c>
      <c r="E696" t="s">
        <v>9</v>
      </c>
      <c r="F696">
        <v>60000</v>
      </c>
      <c r="G696">
        <v>31000</v>
      </c>
      <c r="H696">
        <f>Table1[[#This Row],[Qty]]*Table1[[#This Row],[SellingPrice]]</f>
        <v>60000</v>
      </c>
      <c r="I696">
        <f>Table1[[#This Row],[Qty]]*Table1[[#This Row],[CostPrice]]</f>
        <v>31000</v>
      </c>
      <c r="J696">
        <v>28797</v>
      </c>
      <c r="K696">
        <v>202.99999999999997</v>
      </c>
      <c r="L696" t="s">
        <v>12</v>
      </c>
      <c r="M696" t="s">
        <v>30</v>
      </c>
      <c r="N696">
        <f>MONTH(Table1[[#This Row],[SaleDate]])</f>
        <v>3</v>
      </c>
      <c r="O696" t="str">
        <f>TEXT(Table1[[#This Row],[SaleDate]],"MMM")</f>
        <v>Mar</v>
      </c>
    </row>
    <row r="697" spans="1:15">
      <c r="A697" s="1">
        <v>45013</v>
      </c>
      <c r="B697" t="s">
        <v>25</v>
      </c>
      <c r="C697" t="s">
        <v>21</v>
      </c>
      <c r="D697">
        <v>1</v>
      </c>
      <c r="E697" t="s">
        <v>7</v>
      </c>
      <c r="F697">
        <v>33000</v>
      </c>
      <c r="G697">
        <v>18000</v>
      </c>
      <c r="H697">
        <f>Table1[[#This Row],[Qty]]*Table1[[#This Row],[SellingPrice]]</f>
        <v>33000</v>
      </c>
      <c r="I697">
        <f>Table1[[#This Row],[Qty]]*Table1[[#This Row],[CostPrice]]</f>
        <v>18000</v>
      </c>
      <c r="J697">
        <v>14895</v>
      </c>
      <c r="K697">
        <v>104.99999999999999</v>
      </c>
      <c r="L697" t="s">
        <v>13</v>
      </c>
      <c r="M697" t="s">
        <v>30</v>
      </c>
      <c r="N697">
        <f>MONTH(Table1[[#This Row],[SaleDate]])</f>
        <v>3</v>
      </c>
      <c r="O697" t="str">
        <f>TEXT(Table1[[#This Row],[SaleDate]],"MMM")</f>
        <v>Mar</v>
      </c>
    </row>
    <row r="698" spans="1:15">
      <c r="A698" s="1">
        <v>45013</v>
      </c>
      <c r="B698" t="s">
        <v>25</v>
      </c>
      <c r="C698" t="s">
        <v>21</v>
      </c>
      <c r="D698">
        <v>1</v>
      </c>
      <c r="E698" t="s">
        <v>9</v>
      </c>
      <c r="F698">
        <v>60000</v>
      </c>
      <c r="G698">
        <v>31000</v>
      </c>
      <c r="H698">
        <f>Table1[[#This Row],[Qty]]*Table1[[#This Row],[SellingPrice]]</f>
        <v>60000</v>
      </c>
      <c r="I698">
        <f>Table1[[#This Row],[Qty]]*Table1[[#This Row],[CostPrice]]</f>
        <v>31000</v>
      </c>
      <c r="J698">
        <v>28797</v>
      </c>
      <c r="K698">
        <v>202.99999999999997</v>
      </c>
      <c r="L698" t="s">
        <v>13</v>
      </c>
      <c r="M698" t="s">
        <v>30</v>
      </c>
      <c r="N698">
        <f>MONTH(Table1[[#This Row],[SaleDate]])</f>
        <v>3</v>
      </c>
      <c r="O698" t="str">
        <f>TEXT(Table1[[#This Row],[SaleDate]],"MMM")</f>
        <v>Mar</v>
      </c>
    </row>
    <row r="699" spans="1:15">
      <c r="A699" s="1">
        <v>45013</v>
      </c>
      <c r="B699" t="s">
        <v>25</v>
      </c>
      <c r="C699" t="s">
        <v>21</v>
      </c>
      <c r="D699">
        <v>1</v>
      </c>
      <c r="E699" t="s">
        <v>10</v>
      </c>
      <c r="F699">
        <v>89000</v>
      </c>
      <c r="G699">
        <v>65000</v>
      </c>
      <c r="H699">
        <f>Table1[[#This Row],[Qty]]*Table1[[#This Row],[SellingPrice]]</f>
        <v>89000</v>
      </c>
      <c r="I699">
        <f>Table1[[#This Row],[Qty]]*Table1[[#This Row],[CostPrice]]</f>
        <v>65000</v>
      </c>
      <c r="J699">
        <v>23832</v>
      </c>
      <c r="K699">
        <v>167.99999999999997</v>
      </c>
      <c r="L699" t="s">
        <v>13</v>
      </c>
      <c r="M699" t="s">
        <v>28</v>
      </c>
      <c r="N699">
        <f>MONTH(Table1[[#This Row],[SaleDate]])</f>
        <v>3</v>
      </c>
      <c r="O699" t="str">
        <f>TEXT(Table1[[#This Row],[SaleDate]],"MMM")</f>
        <v>Mar</v>
      </c>
    </row>
    <row r="700" spans="1:15">
      <c r="A700" s="1">
        <v>45014</v>
      </c>
      <c r="B700" t="s">
        <v>23</v>
      </c>
      <c r="C700" t="s">
        <v>19</v>
      </c>
      <c r="D700">
        <v>1</v>
      </c>
      <c r="E700" t="s">
        <v>7</v>
      </c>
      <c r="F700">
        <v>33000</v>
      </c>
      <c r="G700">
        <v>18000</v>
      </c>
      <c r="H700">
        <f>Table1[[#This Row],[Qty]]*Table1[[#This Row],[SellingPrice]]</f>
        <v>33000</v>
      </c>
      <c r="I700">
        <f>Table1[[#This Row],[Qty]]*Table1[[#This Row],[CostPrice]]</f>
        <v>18000</v>
      </c>
      <c r="J700">
        <v>14895</v>
      </c>
      <c r="K700">
        <v>104.99999999999999</v>
      </c>
      <c r="L700" t="s">
        <v>8</v>
      </c>
      <c r="M700" t="s">
        <v>30</v>
      </c>
      <c r="N700">
        <f>MONTH(Table1[[#This Row],[SaleDate]])</f>
        <v>3</v>
      </c>
      <c r="O700" t="str">
        <f>TEXT(Table1[[#This Row],[SaleDate]],"MMM")</f>
        <v>Mar</v>
      </c>
    </row>
    <row r="701" spans="1:15">
      <c r="A701" s="1">
        <v>45014</v>
      </c>
      <c r="B701" t="s">
        <v>23</v>
      </c>
      <c r="C701" t="s">
        <v>19</v>
      </c>
      <c r="D701">
        <v>1</v>
      </c>
      <c r="E701" t="s">
        <v>9</v>
      </c>
      <c r="F701">
        <v>60000</v>
      </c>
      <c r="G701">
        <v>31000</v>
      </c>
      <c r="H701">
        <f>Table1[[#This Row],[Qty]]*Table1[[#This Row],[SellingPrice]]</f>
        <v>60000</v>
      </c>
      <c r="I701">
        <f>Table1[[#This Row],[Qty]]*Table1[[#This Row],[CostPrice]]</f>
        <v>31000</v>
      </c>
      <c r="J701">
        <v>28797</v>
      </c>
      <c r="K701">
        <v>202.99999999999997</v>
      </c>
      <c r="L701" t="s">
        <v>8</v>
      </c>
      <c r="M701" t="s">
        <v>29</v>
      </c>
      <c r="N701">
        <f>MONTH(Table1[[#This Row],[SaleDate]])</f>
        <v>3</v>
      </c>
      <c r="O701" t="str">
        <f>TEXT(Table1[[#This Row],[SaleDate]],"MMM")</f>
        <v>Mar</v>
      </c>
    </row>
    <row r="702" spans="1:15">
      <c r="A702" s="1">
        <v>45014</v>
      </c>
      <c r="B702" t="s">
        <v>23</v>
      </c>
      <c r="C702" t="s">
        <v>19</v>
      </c>
      <c r="D702">
        <v>1</v>
      </c>
      <c r="E702" t="s">
        <v>10</v>
      </c>
      <c r="F702">
        <v>89000</v>
      </c>
      <c r="G702">
        <v>65000</v>
      </c>
      <c r="H702">
        <f>Table1[[#This Row],[Qty]]*Table1[[#This Row],[SellingPrice]]</f>
        <v>89000</v>
      </c>
      <c r="I702">
        <f>Table1[[#This Row],[Qty]]*Table1[[#This Row],[CostPrice]]</f>
        <v>65000</v>
      </c>
      <c r="J702">
        <v>23832</v>
      </c>
      <c r="K702">
        <v>167.99999999999997</v>
      </c>
      <c r="L702" t="s">
        <v>8</v>
      </c>
      <c r="M702" t="s">
        <v>29</v>
      </c>
      <c r="N702">
        <f>MONTH(Table1[[#This Row],[SaleDate]])</f>
        <v>3</v>
      </c>
      <c r="O702" t="str">
        <f>TEXT(Table1[[#This Row],[SaleDate]],"MMM")</f>
        <v>Mar</v>
      </c>
    </row>
    <row r="703" spans="1:15">
      <c r="A703" s="1">
        <v>45014</v>
      </c>
      <c r="B703" t="s">
        <v>24</v>
      </c>
      <c r="C703" t="s">
        <v>22</v>
      </c>
      <c r="D703">
        <v>1</v>
      </c>
      <c r="E703" t="s">
        <v>7</v>
      </c>
      <c r="F703">
        <v>33000</v>
      </c>
      <c r="G703">
        <v>18000</v>
      </c>
      <c r="H703">
        <f>Table1[[#This Row],[Qty]]*Table1[[#This Row],[SellingPrice]]</f>
        <v>33000</v>
      </c>
      <c r="I703">
        <f>Table1[[#This Row],[Qty]]*Table1[[#This Row],[CostPrice]]</f>
        <v>18000</v>
      </c>
      <c r="J703">
        <v>14895</v>
      </c>
      <c r="K703">
        <v>104.99999999999999</v>
      </c>
      <c r="L703" t="s">
        <v>12</v>
      </c>
      <c r="M703" t="s">
        <v>27</v>
      </c>
      <c r="N703">
        <f>MONTH(Table1[[#This Row],[SaleDate]])</f>
        <v>3</v>
      </c>
      <c r="O703" t="str">
        <f>TEXT(Table1[[#This Row],[SaleDate]],"MMM")</f>
        <v>Mar</v>
      </c>
    </row>
    <row r="704" spans="1:15">
      <c r="A704" s="1">
        <v>45014</v>
      </c>
      <c r="B704" t="s">
        <v>24</v>
      </c>
      <c r="C704" t="s">
        <v>22</v>
      </c>
      <c r="D704">
        <v>1</v>
      </c>
      <c r="E704" t="s">
        <v>9</v>
      </c>
      <c r="F704">
        <v>60000</v>
      </c>
      <c r="G704">
        <v>31000</v>
      </c>
      <c r="H704">
        <f>Table1[[#This Row],[Qty]]*Table1[[#This Row],[SellingPrice]]</f>
        <v>60000</v>
      </c>
      <c r="I704">
        <f>Table1[[#This Row],[Qty]]*Table1[[#This Row],[CostPrice]]</f>
        <v>31000</v>
      </c>
      <c r="J704">
        <v>28797</v>
      </c>
      <c r="K704">
        <v>202.99999999999997</v>
      </c>
      <c r="L704" t="s">
        <v>12</v>
      </c>
      <c r="M704" t="s">
        <v>30</v>
      </c>
      <c r="N704">
        <f>MONTH(Table1[[#This Row],[SaleDate]])</f>
        <v>3</v>
      </c>
      <c r="O704" t="str">
        <f>TEXT(Table1[[#This Row],[SaleDate]],"MMM")</f>
        <v>Mar</v>
      </c>
    </row>
    <row r="705" spans="1:15">
      <c r="A705" s="1">
        <v>45014</v>
      </c>
      <c r="B705" t="s">
        <v>24</v>
      </c>
      <c r="C705" t="s">
        <v>22</v>
      </c>
      <c r="D705">
        <v>1</v>
      </c>
      <c r="E705" t="s">
        <v>10</v>
      </c>
      <c r="F705">
        <v>89000</v>
      </c>
      <c r="G705">
        <v>65000</v>
      </c>
      <c r="H705">
        <f>Table1[[#This Row],[Qty]]*Table1[[#This Row],[SellingPrice]]</f>
        <v>89000</v>
      </c>
      <c r="I705">
        <f>Table1[[#This Row],[Qty]]*Table1[[#This Row],[CostPrice]]</f>
        <v>65000</v>
      </c>
      <c r="J705">
        <v>23832</v>
      </c>
      <c r="K705">
        <v>167.99999999999997</v>
      </c>
      <c r="L705" t="s">
        <v>12</v>
      </c>
      <c r="M705" t="s">
        <v>29</v>
      </c>
      <c r="N705">
        <f>MONTH(Table1[[#This Row],[SaleDate]])</f>
        <v>3</v>
      </c>
      <c r="O705" t="str">
        <f>TEXT(Table1[[#This Row],[SaleDate]],"MMM")</f>
        <v>Mar</v>
      </c>
    </row>
    <row r="706" spans="1:15">
      <c r="A706" s="1">
        <v>45014</v>
      </c>
      <c r="B706" t="s">
        <v>25</v>
      </c>
      <c r="C706" t="s">
        <v>21</v>
      </c>
      <c r="D706">
        <v>1</v>
      </c>
      <c r="E706" t="s">
        <v>7</v>
      </c>
      <c r="F706">
        <v>33000</v>
      </c>
      <c r="G706">
        <v>18000</v>
      </c>
      <c r="H706">
        <f>Table1[[#This Row],[Qty]]*Table1[[#This Row],[SellingPrice]]</f>
        <v>33000</v>
      </c>
      <c r="I706">
        <f>Table1[[#This Row],[Qty]]*Table1[[#This Row],[CostPrice]]</f>
        <v>18000</v>
      </c>
      <c r="J706">
        <v>14895</v>
      </c>
      <c r="K706">
        <v>104.99999999999999</v>
      </c>
      <c r="L706" t="s">
        <v>13</v>
      </c>
      <c r="M706" t="s">
        <v>29</v>
      </c>
      <c r="N706">
        <f>MONTH(Table1[[#This Row],[SaleDate]])</f>
        <v>3</v>
      </c>
      <c r="O706" t="str">
        <f>TEXT(Table1[[#This Row],[SaleDate]],"MMM")</f>
        <v>Mar</v>
      </c>
    </row>
    <row r="707" spans="1:15">
      <c r="A707" s="1">
        <v>45014</v>
      </c>
      <c r="B707" t="s">
        <v>25</v>
      </c>
      <c r="C707" t="s">
        <v>21</v>
      </c>
      <c r="D707">
        <v>1</v>
      </c>
      <c r="E707" t="s">
        <v>9</v>
      </c>
      <c r="F707">
        <v>60000</v>
      </c>
      <c r="G707">
        <v>31000</v>
      </c>
      <c r="H707">
        <f>Table1[[#This Row],[Qty]]*Table1[[#This Row],[SellingPrice]]</f>
        <v>60000</v>
      </c>
      <c r="I707">
        <f>Table1[[#This Row],[Qty]]*Table1[[#This Row],[CostPrice]]</f>
        <v>31000</v>
      </c>
      <c r="J707">
        <v>28797</v>
      </c>
      <c r="K707">
        <v>202.99999999999997</v>
      </c>
      <c r="L707" t="s">
        <v>13</v>
      </c>
      <c r="M707" t="s">
        <v>28</v>
      </c>
      <c r="N707">
        <f>MONTH(Table1[[#This Row],[SaleDate]])</f>
        <v>3</v>
      </c>
      <c r="O707" t="str">
        <f>TEXT(Table1[[#This Row],[SaleDate]],"MMM")</f>
        <v>Mar</v>
      </c>
    </row>
    <row r="708" spans="1:15">
      <c r="A708" s="1">
        <v>45014</v>
      </c>
      <c r="B708" t="s">
        <v>25</v>
      </c>
      <c r="C708" t="s">
        <v>21</v>
      </c>
      <c r="D708">
        <v>1</v>
      </c>
      <c r="E708" t="s">
        <v>10</v>
      </c>
      <c r="F708">
        <v>89000</v>
      </c>
      <c r="G708">
        <v>65000</v>
      </c>
      <c r="H708">
        <f>Table1[[#This Row],[Qty]]*Table1[[#This Row],[SellingPrice]]</f>
        <v>89000</v>
      </c>
      <c r="I708">
        <f>Table1[[#This Row],[Qty]]*Table1[[#This Row],[CostPrice]]</f>
        <v>65000</v>
      </c>
      <c r="J708">
        <v>23832</v>
      </c>
      <c r="K708">
        <v>167.99999999999997</v>
      </c>
      <c r="L708" t="s">
        <v>13</v>
      </c>
      <c r="M708" t="s">
        <v>29</v>
      </c>
      <c r="N708">
        <f>MONTH(Table1[[#This Row],[SaleDate]])</f>
        <v>3</v>
      </c>
      <c r="O708" t="str">
        <f>TEXT(Table1[[#This Row],[SaleDate]],"MMM")</f>
        <v>Mar</v>
      </c>
    </row>
    <row r="709" spans="1:15">
      <c r="A709" s="1">
        <v>45015</v>
      </c>
      <c r="B709" t="s">
        <v>23</v>
      </c>
      <c r="C709" t="s">
        <v>19</v>
      </c>
      <c r="D709">
        <v>1</v>
      </c>
      <c r="E709" t="s">
        <v>7</v>
      </c>
      <c r="F709">
        <v>33000</v>
      </c>
      <c r="G709">
        <v>18000</v>
      </c>
      <c r="H709">
        <f>Table1[[#This Row],[Qty]]*Table1[[#This Row],[SellingPrice]]</f>
        <v>33000</v>
      </c>
      <c r="I709">
        <f>Table1[[#This Row],[Qty]]*Table1[[#This Row],[CostPrice]]</f>
        <v>18000</v>
      </c>
      <c r="J709">
        <v>14895</v>
      </c>
      <c r="K709">
        <v>104.99999999999999</v>
      </c>
      <c r="L709" t="s">
        <v>8</v>
      </c>
      <c r="M709" t="s">
        <v>30</v>
      </c>
      <c r="N709">
        <f>MONTH(Table1[[#This Row],[SaleDate]])</f>
        <v>3</v>
      </c>
      <c r="O709" t="str">
        <f>TEXT(Table1[[#This Row],[SaleDate]],"MMM")</f>
        <v>Mar</v>
      </c>
    </row>
    <row r="710" spans="1:15">
      <c r="A710" s="1">
        <v>45015</v>
      </c>
      <c r="B710" t="s">
        <v>23</v>
      </c>
      <c r="C710" t="s">
        <v>19</v>
      </c>
      <c r="D710">
        <v>1</v>
      </c>
      <c r="E710" t="s">
        <v>9</v>
      </c>
      <c r="F710">
        <v>60000</v>
      </c>
      <c r="G710">
        <v>31000</v>
      </c>
      <c r="H710">
        <f>Table1[[#This Row],[Qty]]*Table1[[#This Row],[SellingPrice]]</f>
        <v>60000</v>
      </c>
      <c r="I710">
        <f>Table1[[#This Row],[Qty]]*Table1[[#This Row],[CostPrice]]</f>
        <v>31000</v>
      </c>
      <c r="J710">
        <v>28797</v>
      </c>
      <c r="K710">
        <v>202.99999999999997</v>
      </c>
      <c r="L710" t="s">
        <v>8</v>
      </c>
      <c r="M710" t="s">
        <v>30</v>
      </c>
      <c r="N710">
        <f>MONTH(Table1[[#This Row],[SaleDate]])</f>
        <v>3</v>
      </c>
      <c r="O710" t="str">
        <f>TEXT(Table1[[#This Row],[SaleDate]],"MMM")</f>
        <v>Mar</v>
      </c>
    </row>
    <row r="711" spans="1:15">
      <c r="A711" s="1">
        <v>45015</v>
      </c>
      <c r="B711" t="s">
        <v>23</v>
      </c>
      <c r="C711" t="s">
        <v>19</v>
      </c>
      <c r="D711">
        <v>1</v>
      </c>
      <c r="E711" t="s">
        <v>10</v>
      </c>
      <c r="F711">
        <v>89000</v>
      </c>
      <c r="G711">
        <v>65000</v>
      </c>
      <c r="H711">
        <f>Table1[[#This Row],[Qty]]*Table1[[#This Row],[SellingPrice]]</f>
        <v>89000</v>
      </c>
      <c r="I711">
        <f>Table1[[#This Row],[Qty]]*Table1[[#This Row],[CostPrice]]</f>
        <v>65000</v>
      </c>
      <c r="J711">
        <v>23832</v>
      </c>
      <c r="K711">
        <v>167.99999999999997</v>
      </c>
      <c r="L711" t="s">
        <v>8</v>
      </c>
      <c r="M711" t="s">
        <v>29</v>
      </c>
      <c r="N711">
        <f>MONTH(Table1[[#This Row],[SaleDate]])</f>
        <v>3</v>
      </c>
      <c r="O711" t="str">
        <f>TEXT(Table1[[#This Row],[SaleDate]],"MMM")</f>
        <v>Mar</v>
      </c>
    </row>
    <row r="712" spans="1:15">
      <c r="A712" s="1">
        <v>45015</v>
      </c>
      <c r="B712" t="s">
        <v>24</v>
      </c>
      <c r="C712" t="s">
        <v>22</v>
      </c>
      <c r="D712">
        <v>1</v>
      </c>
      <c r="E712" t="s">
        <v>7</v>
      </c>
      <c r="F712">
        <v>33000</v>
      </c>
      <c r="G712">
        <v>18000</v>
      </c>
      <c r="H712">
        <f>Table1[[#This Row],[Qty]]*Table1[[#This Row],[SellingPrice]]</f>
        <v>33000</v>
      </c>
      <c r="I712">
        <f>Table1[[#This Row],[Qty]]*Table1[[#This Row],[CostPrice]]</f>
        <v>18000</v>
      </c>
      <c r="J712">
        <v>14895</v>
      </c>
      <c r="K712">
        <v>104.99999999999999</v>
      </c>
      <c r="L712" t="s">
        <v>12</v>
      </c>
      <c r="M712" t="s">
        <v>27</v>
      </c>
      <c r="N712">
        <f>MONTH(Table1[[#This Row],[SaleDate]])</f>
        <v>3</v>
      </c>
      <c r="O712" t="str">
        <f>TEXT(Table1[[#This Row],[SaleDate]],"MMM")</f>
        <v>Mar</v>
      </c>
    </row>
    <row r="713" spans="1:15">
      <c r="A713" s="1">
        <v>45015</v>
      </c>
      <c r="B713" t="s">
        <v>24</v>
      </c>
      <c r="C713" t="s">
        <v>22</v>
      </c>
      <c r="D713">
        <v>1</v>
      </c>
      <c r="E713" t="s">
        <v>9</v>
      </c>
      <c r="F713">
        <v>60000</v>
      </c>
      <c r="G713">
        <v>31000</v>
      </c>
      <c r="H713">
        <f>Table1[[#This Row],[Qty]]*Table1[[#This Row],[SellingPrice]]</f>
        <v>60000</v>
      </c>
      <c r="I713">
        <f>Table1[[#This Row],[Qty]]*Table1[[#This Row],[CostPrice]]</f>
        <v>31000</v>
      </c>
      <c r="J713">
        <v>28797</v>
      </c>
      <c r="K713">
        <v>202.99999999999997</v>
      </c>
      <c r="L713" t="s">
        <v>12</v>
      </c>
      <c r="M713" t="s">
        <v>28</v>
      </c>
      <c r="N713">
        <f>MONTH(Table1[[#This Row],[SaleDate]])</f>
        <v>3</v>
      </c>
      <c r="O713" t="str">
        <f>TEXT(Table1[[#This Row],[SaleDate]],"MMM")</f>
        <v>Mar</v>
      </c>
    </row>
    <row r="714" spans="1:15">
      <c r="A714" s="1">
        <v>45015</v>
      </c>
      <c r="B714" t="s">
        <v>24</v>
      </c>
      <c r="C714" t="s">
        <v>22</v>
      </c>
      <c r="D714">
        <v>1</v>
      </c>
      <c r="E714" t="s">
        <v>10</v>
      </c>
      <c r="F714">
        <v>89000</v>
      </c>
      <c r="G714">
        <v>65000</v>
      </c>
      <c r="H714">
        <f>Table1[[#This Row],[Qty]]*Table1[[#This Row],[SellingPrice]]</f>
        <v>89000</v>
      </c>
      <c r="I714">
        <f>Table1[[#This Row],[Qty]]*Table1[[#This Row],[CostPrice]]</f>
        <v>65000</v>
      </c>
      <c r="J714">
        <v>23832</v>
      </c>
      <c r="K714">
        <v>167.99999999999997</v>
      </c>
      <c r="L714" t="s">
        <v>12</v>
      </c>
      <c r="M714" t="s">
        <v>28</v>
      </c>
      <c r="N714">
        <f>MONTH(Table1[[#This Row],[SaleDate]])</f>
        <v>3</v>
      </c>
      <c r="O714" t="str">
        <f>TEXT(Table1[[#This Row],[SaleDate]],"MMM")</f>
        <v>Mar</v>
      </c>
    </row>
    <row r="715" spans="1:15">
      <c r="A715" s="1">
        <v>45015</v>
      </c>
      <c r="B715" t="s">
        <v>25</v>
      </c>
      <c r="C715" t="s">
        <v>21</v>
      </c>
      <c r="D715">
        <v>1</v>
      </c>
      <c r="E715" t="s">
        <v>7</v>
      </c>
      <c r="F715">
        <v>33000</v>
      </c>
      <c r="G715">
        <v>18000</v>
      </c>
      <c r="H715">
        <f>Table1[[#This Row],[Qty]]*Table1[[#This Row],[SellingPrice]]</f>
        <v>33000</v>
      </c>
      <c r="I715">
        <f>Table1[[#This Row],[Qty]]*Table1[[#This Row],[CostPrice]]</f>
        <v>18000</v>
      </c>
      <c r="J715">
        <v>14895</v>
      </c>
      <c r="K715">
        <v>104.99999999999999</v>
      </c>
      <c r="L715" t="s">
        <v>13</v>
      </c>
      <c r="M715" t="s">
        <v>27</v>
      </c>
      <c r="N715">
        <f>MONTH(Table1[[#This Row],[SaleDate]])</f>
        <v>3</v>
      </c>
      <c r="O715" t="str">
        <f>TEXT(Table1[[#This Row],[SaleDate]],"MMM")</f>
        <v>Mar</v>
      </c>
    </row>
    <row r="716" spans="1:15">
      <c r="A716" s="1">
        <v>45015</v>
      </c>
      <c r="B716" t="s">
        <v>25</v>
      </c>
      <c r="C716" t="s">
        <v>21</v>
      </c>
      <c r="D716">
        <v>1</v>
      </c>
      <c r="E716" t="s">
        <v>9</v>
      </c>
      <c r="F716">
        <v>60000</v>
      </c>
      <c r="G716">
        <v>31000</v>
      </c>
      <c r="H716">
        <f>Table1[[#This Row],[Qty]]*Table1[[#This Row],[SellingPrice]]</f>
        <v>60000</v>
      </c>
      <c r="I716">
        <f>Table1[[#This Row],[Qty]]*Table1[[#This Row],[CostPrice]]</f>
        <v>31000</v>
      </c>
      <c r="J716">
        <v>28797</v>
      </c>
      <c r="K716">
        <v>202.99999999999997</v>
      </c>
      <c r="L716" t="s">
        <v>13</v>
      </c>
      <c r="M716" t="s">
        <v>29</v>
      </c>
      <c r="N716">
        <f>MONTH(Table1[[#This Row],[SaleDate]])</f>
        <v>3</v>
      </c>
      <c r="O716" t="str">
        <f>TEXT(Table1[[#This Row],[SaleDate]],"MMM")</f>
        <v>Mar</v>
      </c>
    </row>
    <row r="717" spans="1:15">
      <c r="A717" s="1">
        <v>45015</v>
      </c>
      <c r="B717" t="s">
        <v>25</v>
      </c>
      <c r="C717" t="s">
        <v>21</v>
      </c>
      <c r="D717">
        <v>1</v>
      </c>
      <c r="E717" t="s">
        <v>10</v>
      </c>
      <c r="F717">
        <v>89000</v>
      </c>
      <c r="G717">
        <v>65000</v>
      </c>
      <c r="H717">
        <f>Table1[[#This Row],[Qty]]*Table1[[#This Row],[SellingPrice]]</f>
        <v>89000</v>
      </c>
      <c r="I717">
        <f>Table1[[#This Row],[Qty]]*Table1[[#This Row],[CostPrice]]</f>
        <v>65000</v>
      </c>
      <c r="J717">
        <v>23832</v>
      </c>
      <c r="K717">
        <v>167.99999999999997</v>
      </c>
      <c r="L717" t="s">
        <v>13</v>
      </c>
      <c r="M717" t="s">
        <v>30</v>
      </c>
      <c r="N717">
        <f>MONTH(Table1[[#This Row],[SaleDate]])</f>
        <v>3</v>
      </c>
      <c r="O717" t="str">
        <f>TEXT(Table1[[#This Row],[SaleDate]],"MMM")</f>
        <v>Mar</v>
      </c>
    </row>
    <row r="718" spans="1:15">
      <c r="A718" s="1">
        <v>45016</v>
      </c>
      <c r="B718" t="s">
        <v>23</v>
      </c>
      <c r="C718" t="s">
        <v>19</v>
      </c>
      <c r="D718">
        <v>1</v>
      </c>
      <c r="E718" t="s">
        <v>7</v>
      </c>
      <c r="F718">
        <v>33000</v>
      </c>
      <c r="G718">
        <v>18000</v>
      </c>
      <c r="H718">
        <f>Table1[[#This Row],[Qty]]*Table1[[#This Row],[SellingPrice]]</f>
        <v>33000</v>
      </c>
      <c r="I718">
        <f>Table1[[#This Row],[Qty]]*Table1[[#This Row],[CostPrice]]</f>
        <v>18000</v>
      </c>
      <c r="J718">
        <v>14895</v>
      </c>
      <c r="K718">
        <v>104.99999999999999</v>
      </c>
      <c r="L718" t="s">
        <v>8</v>
      </c>
      <c r="M718" t="s">
        <v>27</v>
      </c>
      <c r="N718">
        <f>MONTH(Table1[[#This Row],[SaleDate]])</f>
        <v>3</v>
      </c>
      <c r="O718" t="str">
        <f>TEXT(Table1[[#This Row],[SaleDate]],"MMM")</f>
        <v>Mar</v>
      </c>
    </row>
    <row r="719" spans="1:15">
      <c r="A719" s="1">
        <v>45016</v>
      </c>
      <c r="B719" t="s">
        <v>23</v>
      </c>
      <c r="C719" t="s">
        <v>19</v>
      </c>
      <c r="D719">
        <v>1</v>
      </c>
      <c r="E719" t="s">
        <v>9</v>
      </c>
      <c r="F719">
        <v>60000</v>
      </c>
      <c r="G719">
        <v>31000</v>
      </c>
      <c r="H719">
        <f>Table1[[#This Row],[Qty]]*Table1[[#This Row],[SellingPrice]]</f>
        <v>60000</v>
      </c>
      <c r="I719">
        <f>Table1[[#This Row],[Qty]]*Table1[[#This Row],[CostPrice]]</f>
        <v>31000</v>
      </c>
      <c r="J719">
        <v>28797</v>
      </c>
      <c r="K719">
        <v>202.99999999999997</v>
      </c>
      <c r="L719" t="s">
        <v>8</v>
      </c>
      <c r="M719" t="s">
        <v>29</v>
      </c>
      <c r="N719">
        <f>MONTH(Table1[[#This Row],[SaleDate]])</f>
        <v>3</v>
      </c>
      <c r="O719" t="str">
        <f>TEXT(Table1[[#This Row],[SaleDate]],"MMM")</f>
        <v>Mar</v>
      </c>
    </row>
    <row r="720" spans="1:15">
      <c r="A720" s="1">
        <v>45016</v>
      </c>
      <c r="B720" t="s">
        <v>23</v>
      </c>
      <c r="C720" t="s">
        <v>19</v>
      </c>
      <c r="D720">
        <v>1</v>
      </c>
      <c r="E720" t="s">
        <v>10</v>
      </c>
      <c r="F720">
        <v>89000</v>
      </c>
      <c r="G720">
        <v>65000</v>
      </c>
      <c r="H720">
        <f>Table1[[#This Row],[Qty]]*Table1[[#This Row],[SellingPrice]]</f>
        <v>89000</v>
      </c>
      <c r="I720">
        <f>Table1[[#This Row],[Qty]]*Table1[[#This Row],[CostPrice]]</f>
        <v>65000</v>
      </c>
      <c r="J720">
        <v>23832</v>
      </c>
      <c r="K720">
        <v>167.99999999999997</v>
      </c>
      <c r="L720" t="s">
        <v>8</v>
      </c>
      <c r="M720" t="s">
        <v>28</v>
      </c>
      <c r="N720">
        <f>MONTH(Table1[[#This Row],[SaleDate]])</f>
        <v>3</v>
      </c>
      <c r="O720" t="str">
        <f>TEXT(Table1[[#This Row],[SaleDate]],"MMM")</f>
        <v>Mar</v>
      </c>
    </row>
    <row r="721" spans="1:15">
      <c r="A721" s="1">
        <v>45016</v>
      </c>
      <c r="B721" t="s">
        <v>24</v>
      </c>
      <c r="C721" t="s">
        <v>22</v>
      </c>
      <c r="D721">
        <v>1</v>
      </c>
      <c r="E721" t="s">
        <v>7</v>
      </c>
      <c r="F721">
        <v>33000</v>
      </c>
      <c r="G721">
        <v>18000</v>
      </c>
      <c r="H721">
        <f>Table1[[#This Row],[Qty]]*Table1[[#This Row],[SellingPrice]]</f>
        <v>33000</v>
      </c>
      <c r="I721">
        <f>Table1[[#This Row],[Qty]]*Table1[[#This Row],[CostPrice]]</f>
        <v>18000</v>
      </c>
      <c r="J721">
        <v>14895</v>
      </c>
      <c r="K721">
        <v>104.99999999999999</v>
      </c>
      <c r="L721" t="s">
        <v>12</v>
      </c>
      <c r="M721" t="s">
        <v>27</v>
      </c>
      <c r="N721">
        <f>MONTH(Table1[[#This Row],[SaleDate]])</f>
        <v>3</v>
      </c>
      <c r="O721" t="str">
        <f>TEXT(Table1[[#This Row],[SaleDate]],"MMM")</f>
        <v>Mar</v>
      </c>
    </row>
    <row r="722" spans="1:15">
      <c r="A722" s="1">
        <v>45016</v>
      </c>
      <c r="B722" t="s">
        <v>24</v>
      </c>
      <c r="C722" t="s">
        <v>22</v>
      </c>
      <c r="D722">
        <v>1</v>
      </c>
      <c r="E722" t="s">
        <v>9</v>
      </c>
      <c r="F722">
        <v>60000</v>
      </c>
      <c r="G722">
        <v>31000</v>
      </c>
      <c r="H722">
        <f>Table1[[#This Row],[Qty]]*Table1[[#This Row],[SellingPrice]]</f>
        <v>60000</v>
      </c>
      <c r="I722">
        <f>Table1[[#This Row],[Qty]]*Table1[[#This Row],[CostPrice]]</f>
        <v>31000</v>
      </c>
      <c r="J722">
        <v>28797</v>
      </c>
      <c r="K722">
        <v>202.99999999999997</v>
      </c>
      <c r="L722" t="s">
        <v>12</v>
      </c>
      <c r="M722" t="s">
        <v>27</v>
      </c>
      <c r="N722">
        <f>MONTH(Table1[[#This Row],[SaleDate]])</f>
        <v>3</v>
      </c>
      <c r="O722" t="str">
        <f>TEXT(Table1[[#This Row],[SaleDate]],"MMM")</f>
        <v>Mar</v>
      </c>
    </row>
    <row r="723" spans="1:15">
      <c r="A723" s="1">
        <v>45016</v>
      </c>
      <c r="B723" t="s">
        <v>25</v>
      </c>
      <c r="C723" t="s">
        <v>21</v>
      </c>
      <c r="D723">
        <v>1</v>
      </c>
      <c r="E723" t="s">
        <v>7</v>
      </c>
      <c r="F723">
        <v>33000</v>
      </c>
      <c r="G723">
        <v>18000</v>
      </c>
      <c r="H723">
        <f>Table1[[#This Row],[Qty]]*Table1[[#This Row],[SellingPrice]]</f>
        <v>33000</v>
      </c>
      <c r="I723">
        <f>Table1[[#This Row],[Qty]]*Table1[[#This Row],[CostPrice]]</f>
        <v>18000</v>
      </c>
      <c r="J723">
        <v>14895</v>
      </c>
      <c r="K723">
        <v>104.99999999999999</v>
      </c>
      <c r="L723" t="s">
        <v>13</v>
      </c>
      <c r="M723" t="s">
        <v>29</v>
      </c>
      <c r="N723">
        <f>MONTH(Table1[[#This Row],[SaleDate]])</f>
        <v>3</v>
      </c>
      <c r="O723" t="str">
        <f>TEXT(Table1[[#This Row],[SaleDate]],"MMM")</f>
        <v>Mar</v>
      </c>
    </row>
    <row r="724" spans="1:15">
      <c r="A724" s="1">
        <v>45016</v>
      </c>
      <c r="B724" t="s">
        <v>25</v>
      </c>
      <c r="C724" t="s">
        <v>21</v>
      </c>
      <c r="D724">
        <v>1</v>
      </c>
      <c r="E724" t="s">
        <v>9</v>
      </c>
      <c r="F724">
        <v>60000</v>
      </c>
      <c r="G724">
        <v>31000</v>
      </c>
      <c r="H724">
        <f>Table1[[#This Row],[Qty]]*Table1[[#This Row],[SellingPrice]]</f>
        <v>60000</v>
      </c>
      <c r="I724">
        <f>Table1[[#This Row],[Qty]]*Table1[[#This Row],[CostPrice]]</f>
        <v>31000</v>
      </c>
      <c r="J724">
        <v>28797</v>
      </c>
      <c r="K724">
        <v>202.99999999999997</v>
      </c>
      <c r="L724" t="s">
        <v>13</v>
      </c>
      <c r="M724" t="s">
        <v>28</v>
      </c>
      <c r="N724">
        <f>MONTH(Table1[[#This Row],[SaleDate]])</f>
        <v>3</v>
      </c>
      <c r="O724" t="str">
        <f>TEXT(Table1[[#This Row],[SaleDate]],"MMM")</f>
        <v>Mar</v>
      </c>
    </row>
    <row r="725" spans="1:15">
      <c r="A725" s="1">
        <v>45016</v>
      </c>
      <c r="B725" t="s">
        <v>25</v>
      </c>
      <c r="C725" t="s">
        <v>21</v>
      </c>
      <c r="D725">
        <v>1</v>
      </c>
      <c r="E725" t="s">
        <v>10</v>
      </c>
      <c r="F725">
        <v>89000</v>
      </c>
      <c r="G725">
        <v>65000</v>
      </c>
      <c r="H725">
        <f>Table1[[#This Row],[Qty]]*Table1[[#This Row],[SellingPrice]]</f>
        <v>89000</v>
      </c>
      <c r="I725">
        <f>Table1[[#This Row],[Qty]]*Table1[[#This Row],[CostPrice]]</f>
        <v>65000</v>
      </c>
      <c r="J725">
        <v>23832</v>
      </c>
      <c r="K725">
        <v>167.99999999999997</v>
      </c>
      <c r="L725" t="s">
        <v>13</v>
      </c>
      <c r="M725" t="s">
        <v>29</v>
      </c>
      <c r="N725">
        <f>MONTH(Table1[[#This Row],[SaleDate]])</f>
        <v>3</v>
      </c>
      <c r="O725" t="str">
        <f>TEXT(Table1[[#This Row],[SaleDate]],"MMM")</f>
        <v>Mar</v>
      </c>
    </row>
    <row r="726" spans="1:15">
      <c r="A726" s="1">
        <v>45017</v>
      </c>
      <c r="B726" t="s">
        <v>23</v>
      </c>
      <c r="C726" t="s">
        <v>19</v>
      </c>
      <c r="D726">
        <v>1</v>
      </c>
      <c r="E726" t="s">
        <v>7</v>
      </c>
      <c r="F726">
        <v>33000</v>
      </c>
      <c r="G726">
        <v>18000</v>
      </c>
      <c r="H726">
        <f>Table1[[#This Row],[Qty]]*Table1[[#This Row],[SellingPrice]]</f>
        <v>33000</v>
      </c>
      <c r="I726">
        <f>Table1[[#This Row],[Qty]]*Table1[[#This Row],[CostPrice]]</f>
        <v>18000</v>
      </c>
      <c r="J726">
        <v>14895</v>
      </c>
      <c r="K726">
        <v>104.99999999999999</v>
      </c>
      <c r="L726" t="s">
        <v>8</v>
      </c>
      <c r="M726" t="s">
        <v>29</v>
      </c>
      <c r="N726">
        <f>MONTH(Table1[[#This Row],[SaleDate]])</f>
        <v>4</v>
      </c>
      <c r="O726" t="str">
        <f>TEXT(Table1[[#This Row],[SaleDate]],"MMM")</f>
        <v>Apr</v>
      </c>
    </row>
    <row r="727" spans="1:15">
      <c r="A727" s="1">
        <v>45017</v>
      </c>
      <c r="B727" t="s">
        <v>23</v>
      </c>
      <c r="C727" t="s">
        <v>19</v>
      </c>
      <c r="D727">
        <v>1</v>
      </c>
      <c r="E727" t="s">
        <v>9</v>
      </c>
      <c r="F727">
        <v>60000</v>
      </c>
      <c r="G727">
        <v>31000</v>
      </c>
      <c r="H727">
        <f>Table1[[#This Row],[Qty]]*Table1[[#This Row],[SellingPrice]]</f>
        <v>60000</v>
      </c>
      <c r="I727">
        <f>Table1[[#This Row],[Qty]]*Table1[[#This Row],[CostPrice]]</f>
        <v>31000</v>
      </c>
      <c r="J727">
        <v>28797</v>
      </c>
      <c r="K727">
        <v>202.99999999999997</v>
      </c>
      <c r="L727" t="s">
        <v>8</v>
      </c>
      <c r="M727" t="s">
        <v>30</v>
      </c>
      <c r="N727">
        <f>MONTH(Table1[[#This Row],[SaleDate]])</f>
        <v>4</v>
      </c>
      <c r="O727" t="str">
        <f>TEXT(Table1[[#This Row],[SaleDate]],"MMM")</f>
        <v>Apr</v>
      </c>
    </row>
    <row r="728" spans="1:15">
      <c r="A728" s="1">
        <v>45017</v>
      </c>
      <c r="B728" t="s">
        <v>23</v>
      </c>
      <c r="C728" t="s">
        <v>19</v>
      </c>
      <c r="D728">
        <v>1</v>
      </c>
      <c r="E728" t="s">
        <v>10</v>
      </c>
      <c r="F728">
        <v>89000</v>
      </c>
      <c r="G728">
        <v>65000</v>
      </c>
      <c r="H728">
        <f>Table1[[#This Row],[Qty]]*Table1[[#This Row],[SellingPrice]]</f>
        <v>89000</v>
      </c>
      <c r="I728">
        <f>Table1[[#This Row],[Qty]]*Table1[[#This Row],[CostPrice]]</f>
        <v>65000</v>
      </c>
      <c r="J728">
        <v>23832</v>
      </c>
      <c r="K728">
        <v>167.99999999999997</v>
      </c>
      <c r="L728" t="s">
        <v>8</v>
      </c>
      <c r="M728" t="s">
        <v>29</v>
      </c>
      <c r="N728">
        <f>MONTH(Table1[[#This Row],[SaleDate]])</f>
        <v>4</v>
      </c>
      <c r="O728" t="str">
        <f>TEXT(Table1[[#This Row],[SaleDate]],"MMM")</f>
        <v>Apr</v>
      </c>
    </row>
    <row r="729" spans="1:15">
      <c r="A729" s="1">
        <v>45017</v>
      </c>
      <c r="B729" t="s">
        <v>24</v>
      </c>
      <c r="C729" t="s">
        <v>22</v>
      </c>
      <c r="D729">
        <v>1</v>
      </c>
      <c r="E729" t="s">
        <v>7</v>
      </c>
      <c r="F729">
        <v>33000</v>
      </c>
      <c r="G729">
        <v>18000</v>
      </c>
      <c r="H729">
        <f>Table1[[#This Row],[Qty]]*Table1[[#This Row],[SellingPrice]]</f>
        <v>33000</v>
      </c>
      <c r="I729">
        <f>Table1[[#This Row],[Qty]]*Table1[[#This Row],[CostPrice]]</f>
        <v>18000</v>
      </c>
      <c r="J729">
        <v>14895</v>
      </c>
      <c r="K729">
        <v>104.99999999999999</v>
      </c>
      <c r="L729" t="s">
        <v>12</v>
      </c>
      <c r="M729" t="s">
        <v>27</v>
      </c>
      <c r="N729">
        <f>MONTH(Table1[[#This Row],[SaleDate]])</f>
        <v>4</v>
      </c>
      <c r="O729" t="str">
        <f>TEXT(Table1[[#This Row],[SaleDate]],"MMM")</f>
        <v>Apr</v>
      </c>
    </row>
    <row r="730" spans="1:15">
      <c r="A730" s="1">
        <v>45017</v>
      </c>
      <c r="B730" t="s">
        <v>24</v>
      </c>
      <c r="C730" t="s">
        <v>22</v>
      </c>
      <c r="D730">
        <v>1</v>
      </c>
      <c r="E730" t="s">
        <v>9</v>
      </c>
      <c r="F730">
        <v>60000</v>
      </c>
      <c r="G730">
        <v>31000</v>
      </c>
      <c r="H730">
        <f>Table1[[#This Row],[Qty]]*Table1[[#This Row],[SellingPrice]]</f>
        <v>60000</v>
      </c>
      <c r="I730">
        <f>Table1[[#This Row],[Qty]]*Table1[[#This Row],[CostPrice]]</f>
        <v>31000</v>
      </c>
      <c r="J730">
        <v>28797</v>
      </c>
      <c r="K730">
        <v>202.99999999999997</v>
      </c>
      <c r="L730" t="s">
        <v>12</v>
      </c>
      <c r="M730" t="s">
        <v>30</v>
      </c>
      <c r="N730">
        <f>MONTH(Table1[[#This Row],[SaleDate]])</f>
        <v>4</v>
      </c>
      <c r="O730" t="str">
        <f>TEXT(Table1[[#This Row],[SaleDate]],"MMM")</f>
        <v>Apr</v>
      </c>
    </row>
    <row r="731" spans="1:15">
      <c r="A731" s="1">
        <v>45017</v>
      </c>
      <c r="B731" t="s">
        <v>25</v>
      </c>
      <c r="C731" t="s">
        <v>21</v>
      </c>
      <c r="D731">
        <v>1</v>
      </c>
      <c r="E731" t="s">
        <v>7</v>
      </c>
      <c r="F731">
        <v>33000</v>
      </c>
      <c r="G731">
        <v>18000</v>
      </c>
      <c r="H731">
        <f>Table1[[#This Row],[Qty]]*Table1[[#This Row],[SellingPrice]]</f>
        <v>33000</v>
      </c>
      <c r="I731">
        <f>Table1[[#This Row],[Qty]]*Table1[[#This Row],[CostPrice]]</f>
        <v>18000</v>
      </c>
      <c r="J731">
        <v>14895</v>
      </c>
      <c r="K731">
        <v>104.99999999999999</v>
      </c>
      <c r="L731" t="s">
        <v>13</v>
      </c>
      <c r="M731" t="s">
        <v>30</v>
      </c>
      <c r="N731">
        <f>MONTH(Table1[[#This Row],[SaleDate]])</f>
        <v>4</v>
      </c>
      <c r="O731" t="str">
        <f>TEXT(Table1[[#This Row],[SaleDate]],"MMM")</f>
        <v>Apr</v>
      </c>
    </row>
    <row r="732" spans="1:15">
      <c r="A732" s="1">
        <v>45017</v>
      </c>
      <c r="B732" t="s">
        <v>25</v>
      </c>
      <c r="C732" t="s">
        <v>21</v>
      </c>
      <c r="D732">
        <v>1</v>
      </c>
      <c r="E732" t="s">
        <v>9</v>
      </c>
      <c r="F732">
        <v>60000</v>
      </c>
      <c r="G732">
        <v>31000</v>
      </c>
      <c r="H732">
        <f>Table1[[#This Row],[Qty]]*Table1[[#This Row],[SellingPrice]]</f>
        <v>60000</v>
      </c>
      <c r="I732">
        <f>Table1[[#This Row],[Qty]]*Table1[[#This Row],[CostPrice]]</f>
        <v>31000</v>
      </c>
      <c r="J732">
        <v>28797</v>
      </c>
      <c r="K732">
        <v>202.99999999999997</v>
      </c>
      <c r="L732" t="s">
        <v>13</v>
      </c>
      <c r="M732" t="s">
        <v>29</v>
      </c>
      <c r="N732">
        <f>MONTH(Table1[[#This Row],[SaleDate]])</f>
        <v>4</v>
      </c>
      <c r="O732" t="str">
        <f>TEXT(Table1[[#This Row],[SaleDate]],"MMM")</f>
        <v>Apr</v>
      </c>
    </row>
    <row r="733" spans="1:15">
      <c r="A733" s="1">
        <v>45017</v>
      </c>
      <c r="B733" t="s">
        <v>25</v>
      </c>
      <c r="C733" t="s">
        <v>21</v>
      </c>
      <c r="D733">
        <v>1</v>
      </c>
      <c r="E733" t="s">
        <v>10</v>
      </c>
      <c r="F733">
        <v>89000</v>
      </c>
      <c r="G733">
        <v>65000</v>
      </c>
      <c r="H733">
        <f>Table1[[#This Row],[Qty]]*Table1[[#This Row],[SellingPrice]]</f>
        <v>89000</v>
      </c>
      <c r="I733">
        <f>Table1[[#This Row],[Qty]]*Table1[[#This Row],[CostPrice]]</f>
        <v>65000</v>
      </c>
      <c r="J733">
        <v>23832</v>
      </c>
      <c r="K733">
        <v>167.99999999999997</v>
      </c>
      <c r="L733" t="s">
        <v>13</v>
      </c>
      <c r="M733" t="s">
        <v>27</v>
      </c>
      <c r="N733">
        <f>MONTH(Table1[[#This Row],[SaleDate]])</f>
        <v>4</v>
      </c>
      <c r="O733" t="str">
        <f>TEXT(Table1[[#This Row],[SaleDate]],"MMM")</f>
        <v>Apr</v>
      </c>
    </row>
    <row r="734" spans="1:15">
      <c r="A734" s="1">
        <v>45018</v>
      </c>
      <c r="B734" t="s">
        <v>23</v>
      </c>
      <c r="C734" t="s">
        <v>19</v>
      </c>
      <c r="D734">
        <v>1</v>
      </c>
      <c r="E734" t="s">
        <v>7</v>
      </c>
      <c r="F734">
        <v>33000</v>
      </c>
      <c r="G734">
        <v>18000</v>
      </c>
      <c r="H734">
        <f>Table1[[#This Row],[Qty]]*Table1[[#This Row],[SellingPrice]]</f>
        <v>33000</v>
      </c>
      <c r="I734">
        <f>Table1[[#This Row],[Qty]]*Table1[[#This Row],[CostPrice]]</f>
        <v>18000</v>
      </c>
      <c r="J734">
        <v>14895</v>
      </c>
      <c r="K734">
        <v>104.99999999999999</v>
      </c>
      <c r="L734" t="s">
        <v>8</v>
      </c>
      <c r="M734" t="s">
        <v>29</v>
      </c>
      <c r="N734">
        <f>MONTH(Table1[[#This Row],[SaleDate]])</f>
        <v>4</v>
      </c>
      <c r="O734" t="str">
        <f>TEXT(Table1[[#This Row],[SaleDate]],"MMM")</f>
        <v>Apr</v>
      </c>
    </row>
    <row r="735" spans="1:15">
      <c r="A735" s="1">
        <v>45018</v>
      </c>
      <c r="B735" t="s">
        <v>23</v>
      </c>
      <c r="C735" t="s">
        <v>19</v>
      </c>
      <c r="D735">
        <v>1</v>
      </c>
      <c r="E735" t="s">
        <v>9</v>
      </c>
      <c r="F735">
        <v>60000</v>
      </c>
      <c r="G735">
        <v>31000</v>
      </c>
      <c r="H735">
        <f>Table1[[#This Row],[Qty]]*Table1[[#This Row],[SellingPrice]]</f>
        <v>60000</v>
      </c>
      <c r="I735">
        <f>Table1[[#This Row],[Qty]]*Table1[[#This Row],[CostPrice]]</f>
        <v>31000</v>
      </c>
      <c r="J735">
        <v>28797</v>
      </c>
      <c r="K735">
        <v>202.99999999999997</v>
      </c>
      <c r="L735" t="s">
        <v>8</v>
      </c>
      <c r="M735" t="s">
        <v>30</v>
      </c>
      <c r="N735">
        <f>MONTH(Table1[[#This Row],[SaleDate]])</f>
        <v>4</v>
      </c>
      <c r="O735" t="str">
        <f>TEXT(Table1[[#This Row],[SaleDate]],"MMM")</f>
        <v>Apr</v>
      </c>
    </row>
    <row r="736" spans="1:15">
      <c r="A736" s="1">
        <v>45018</v>
      </c>
      <c r="B736" t="s">
        <v>23</v>
      </c>
      <c r="C736" t="s">
        <v>19</v>
      </c>
      <c r="D736">
        <v>1</v>
      </c>
      <c r="E736" t="s">
        <v>10</v>
      </c>
      <c r="F736">
        <v>89000</v>
      </c>
      <c r="G736">
        <v>65000</v>
      </c>
      <c r="H736">
        <f>Table1[[#This Row],[Qty]]*Table1[[#This Row],[SellingPrice]]</f>
        <v>89000</v>
      </c>
      <c r="I736">
        <f>Table1[[#This Row],[Qty]]*Table1[[#This Row],[CostPrice]]</f>
        <v>65000</v>
      </c>
      <c r="J736">
        <v>23832</v>
      </c>
      <c r="K736">
        <v>167.99999999999997</v>
      </c>
      <c r="L736" t="s">
        <v>8</v>
      </c>
      <c r="M736" t="s">
        <v>30</v>
      </c>
      <c r="N736">
        <f>MONTH(Table1[[#This Row],[SaleDate]])</f>
        <v>4</v>
      </c>
      <c r="O736" t="str">
        <f>TEXT(Table1[[#This Row],[SaleDate]],"MMM")</f>
        <v>Apr</v>
      </c>
    </row>
    <row r="737" spans="1:15">
      <c r="A737" s="1">
        <v>45018</v>
      </c>
      <c r="B737" t="s">
        <v>24</v>
      </c>
      <c r="C737" t="s">
        <v>22</v>
      </c>
      <c r="D737">
        <v>1</v>
      </c>
      <c r="E737" t="s">
        <v>7</v>
      </c>
      <c r="F737">
        <v>33000</v>
      </c>
      <c r="G737">
        <v>18000</v>
      </c>
      <c r="H737">
        <f>Table1[[#This Row],[Qty]]*Table1[[#This Row],[SellingPrice]]</f>
        <v>33000</v>
      </c>
      <c r="I737">
        <f>Table1[[#This Row],[Qty]]*Table1[[#This Row],[CostPrice]]</f>
        <v>18000</v>
      </c>
      <c r="J737">
        <v>14895</v>
      </c>
      <c r="K737">
        <v>104.99999999999999</v>
      </c>
      <c r="L737" t="s">
        <v>12</v>
      </c>
      <c r="M737" t="s">
        <v>27</v>
      </c>
      <c r="N737">
        <f>MONTH(Table1[[#This Row],[SaleDate]])</f>
        <v>4</v>
      </c>
      <c r="O737" t="str">
        <f>TEXT(Table1[[#This Row],[SaleDate]],"MMM")</f>
        <v>Apr</v>
      </c>
    </row>
    <row r="738" spans="1:15">
      <c r="A738" s="1">
        <v>45018</v>
      </c>
      <c r="B738" t="s">
        <v>24</v>
      </c>
      <c r="C738" t="s">
        <v>22</v>
      </c>
      <c r="D738">
        <v>1</v>
      </c>
      <c r="E738" t="s">
        <v>9</v>
      </c>
      <c r="F738">
        <v>60000</v>
      </c>
      <c r="G738">
        <v>31000</v>
      </c>
      <c r="H738">
        <f>Table1[[#This Row],[Qty]]*Table1[[#This Row],[SellingPrice]]</f>
        <v>60000</v>
      </c>
      <c r="I738">
        <f>Table1[[#This Row],[Qty]]*Table1[[#This Row],[CostPrice]]</f>
        <v>31000</v>
      </c>
      <c r="J738">
        <v>28797</v>
      </c>
      <c r="K738">
        <v>202.99999999999997</v>
      </c>
      <c r="L738" t="s">
        <v>12</v>
      </c>
      <c r="M738" t="s">
        <v>29</v>
      </c>
      <c r="N738">
        <f>MONTH(Table1[[#This Row],[SaleDate]])</f>
        <v>4</v>
      </c>
      <c r="O738" t="str">
        <f>TEXT(Table1[[#This Row],[SaleDate]],"MMM")</f>
        <v>Apr</v>
      </c>
    </row>
    <row r="739" spans="1:15">
      <c r="A739" s="1">
        <v>45018</v>
      </c>
      <c r="B739" t="s">
        <v>25</v>
      </c>
      <c r="C739" t="s">
        <v>21</v>
      </c>
      <c r="D739">
        <v>1</v>
      </c>
      <c r="E739" t="s">
        <v>7</v>
      </c>
      <c r="F739">
        <v>33000</v>
      </c>
      <c r="G739">
        <v>18000</v>
      </c>
      <c r="H739">
        <f>Table1[[#This Row],[Qty]]*Table1[[#This Row],[SellingPrice]]</f>
        <v>33000</v>
      </c>
      <c r="I739">
        <f>Table1[[#This Row],[Qty]]*Table1[[#This Row],[CostPrice]]</f>
        <v>18000</v>
      </c>
      <c r="J739">
        <v>14895</v>
      </c>
      <c r="K739">
        <v>104.99999999999999</v>
      </c>
      <c r="L739" t="s">
        <v>13</v>
      </c>
      <c r="M739" t="s">
        <v>27</v>
      </c>
      <c r="N739">
        <f>MONTH(Table1[[#This Row],[SaleDate]])</f>
        <v>4</v>
      </c>
      <c r="O739" t="str">
        <f>TEXT(Table1[[#This Row],[SaleDate]],"MMM")</f>
        <v>Apr</v>
      </c>
    </row>
    <row r="740" spans="1:15">
      <c r="A740" s="1">
        <v>45018</v>
      </c>
      <c r="B740" t="s">
        <v>25</v>
      </c>
      <c r="C740" t="s">
        <v>21</v>
      </c>
      <c r="D740">
        <v>1</v>
      </c>
      <c r="E740" t="s">
        <v>9</v>
      </c>
      <c r="F740">
        <v>60000</v>
      </c>
      <c r="G740">
        <v>31000</v>
      </c>
      <c r="H740">
        <f>Table1[[#This Row],[Qty]]*Table1[[#This Row],[SellingPrice]]</f>
        <v>60000</v>
      </c>
      <c r="I740">
        <f>Table1[[#This Row],[Qty]]*Table1[[#This Row],[CostPrice]]</f>
        <v>31000</v>
      </c>
      <c r="J740">
        <v>28797</v>
      </c>
      <c r="K740">
        <v>202.99999999999997</v>
      </c>
      <c r="L740" t="s">
        <v>13</v>
      </c>
      <c r="M740" t="s">
        <v>30</v>
      </c>
      <c r="N740">
        <f>MONTH(Table1[[#This Row],[SaleDate]])</f>
        <v>4</v>
      </c>
      <c r="O740" t="str">
        <f>TEXT(Table1[[#This Row],[SaleDate]],"MMM")</f>
        <v>Apr</v>
      </c>
    </row>
    <row r="741" spans="1:15">
      <c r="A741" s="1">
        <v>45018</v>
      </c>
      <c r="B741" t="s">
        <v>25</v>
      </c>
      <c r="C741" t="s">
        <v>21</v>
      </c>
      <c r="D741">
        <v>1</v>
      </c>
      <c r="E741" t="s">
        <v>10</v>
      </c>
      <c r="F741">
        <v>89000</v>
      </c>
      <c r="G741">
        <v>65000</v>
      </c>
      <c r="H741">
        <f>Table1[[#This Row],[Qty]]*Table1[[#This Row],[SellingPrice]]</f>
        <v>89000</v>
      </c>
      <c r="I741">
        <f>Table1[[#This Row],[Qty]]*Table1[[#This Row],[CostPrice]]</f>
        <v>65000</v>
      </c>
      <c r="J741">
        <v>23832</v>
      </c>
      <c r="K741">
        <v>167.99999999999997</v>
      </c>
      <c r="L741" t="s">
        <v>13</v>
      </c>
      <c r="M741" t="s">
        <v>30</v>
      </c>
      <c r="N741">
        <f>MONTH(Table1[[#This Row],[SaleDate]])</f>
        <v>4</v>
      </c>
      <c r="O741" t="str">
        <f>TEXT(Table1[[#This Row],[SaleDate]],"MMM")</f>
        <v>Apr</v>
      </c>
    </row>
    <row r="742" spans="1:15">
      <c r="A742" s="1">
        <v>45019</v>
      </c>
      <c r="B742" t="s">
        <v>23</v>
      </c>
      <c r="C742" t="s">
        <v>19</v>
      </c>
      <c r="D742">
        <v>2</v>
      </c>
      <c r="E742" t="s">
        <v>7</v>
      </c>
      <c r="F742">
        <v>33000</v>
      </c>
      <c r="G742">
        <v>18000</v>
      </c>
      <c r="H742">
        <f>Table1[[#This Row],[Qty]]*Table1[[#This Row],[SellingPrice]]</f>
        <v>66000</v>
      </c>
      <c r="I742">
        <f>Table1[[#This Row],[Qty]]*Table1[[#This Row],[CostPrice]]</f>
        <v>36000</v>
      </c>
      <c r="J742">
        <v>29790</v>
      </c>
      <c r="K742">
        <v>209.99999999999997</v>
      </c>
      <c r="L742" t="s">
        <v>8</v>
      </c>
      <c r="M742" t="s">
        <v>29</v>
      </c>
      <c r="N742">
        <f>MONTH(Table1[[#This Row],[SaleDate]])</f>
        <v>4</v>
      </c>
      <c r="O742" t="str">
        <f>TEXT(Table1[[#This Row],[SaleDate]],"MMM")</f>
        <v>Apr</v>
      </c>
    </row>
    <row r="743" spans="1:15">
      <c r="A743" s="1">
        <v>45019</v>
      </c>
      <c r="B743" t="s">
        <v>23</v>
      </c>
      <c r="C743" t="s">
        <v>19</v>
      </c>
      <c r="D743">
        <v>2</v>
      </c>
      <c r="E743" t="s">
        <v>9</v>
      </c>
      <c r="F743">
        <v>60000</v>
      </c>
      <c r="G743">
        <v>31000</v>
      </c>
      <c r="H743">
        <f>Table1[[#This Row],[Qty]]*Table1[[#This Row],[SellingPrice]]</f>
        <v>120000</v>
      </c>
      <c r="I743">
        <f>Table1[[#This Row],[Qty]]*Table1[[#This Row],[CostPrice]]</f>
        <v>62000</v>
      </c>
      <c r="J743">
        <v>57594</v>
      </c>
      <c r="K743">
        <v>405.99999999999994</v>
      </c>
      <c r="L743" t="s">
        <v>8</v>
      </c>
      <c r="M743" t="s">
        <v>30</v>
      </c>
      <c r="N743">
        <f>MONTH(Table1[[#This Row],[SaleDate]])</f>
        <v>4</v>
      </c>
      <c r="O743" t="str">
        <f>TEXT(Table1[[#This Row],[SaleDate]],"MMM")</f>
        <v>Apr</v>
      </c>
    </row>
    <row r="744" spans="1:15">
      <c r="A744" s="1">
        <v>45019</v>
      </c>
      <c r="B744" t="s">
        <v>23</v>
      </c>
      <c r="C744" t="s">
        <v>19</v>
      </c>
      <c r="D744">
        <v>2</v>
      </c>
      <c r="E744" t="s">
        <v>10</v>
      </c>
      <c r="F744">
        <v>89000</v>
      </c>
      <c r="G744">
        <v>65000</v>
      </c>
      <c r="H744">
        <f>Table1[[#This Row],[Qty]]*Table1[[#This Row],[SellingPrice]]</f>
        <v>178000</v>
      </c>
      <c r="I744">
        <f>Table1[[#This Row],[Qty]]*Table1[[#This Row],[CostPrice]]</f>
        <v>130000</v>
      </c>
      <c r="J744">
        <v>47664</v>
      </c>
      <c r="K744">
        <v>335.99999999999994</v>
      </c>
      <c r="L744" t="s">
        <v>8</v>
      </c>
      <c r="M744" t="s">
        <v>27</v>
      </c>
      <c r="N744">
        <f>MONTH(Table1[[#This Row],[SaleDate]])</f>
        <v>4</v>
      </c>
      <c r="O744" t="str">
        <f>TEXT(Table1[[#This Row],[SaleDate]],"MMM")</f>
        <v>Apr</v>
      </c>
    </row>
    <row r="745" spans="1:15">
      <c r="A745" s="1">
        <v>45019</v>
      </c>
      <c r="B745" t="s">
        <v>24</v>
      </c>
      <c r="C745" t="s">
        <v>22</v>
      </c>
      <c r="D745">
        <v>2</v>
      </c>
      <c r="E745" t="s">
        <v>7</v>
      </c>
      <c r="F745">
        <v>33000</v>
      </c>
      <c r="G745">
        <v>18000</v>
      </c>
      <c r="H745">
        <f>Table1[[#This Row],[Qty]]*Table1[[#This Row],[SellingPrice]]</f>
        <v>66000</v>
      </c>
      <c r="I745">
        <f>Table1[[#This Row],[Qty]]*Table1[[#This Row],[CostPrice]]</f>
        <v>36000</v>
      </c>
      <c r="J745">
        <v>29790</v>
      </c>
      <c r="K745">
        <v>209.99999999999997</v>
      </c>
      <c r="L745" t="s">
        <v>12</v>
      </c>
      <c r="M745" t="s">
        <v>30</v>
      </c>
      <c r="N745">
        <f>MONTH(Table1[[#This Row],[SaleDate]])</f>
        <v>4</v>
      </c>
      <c r="O745" t="str">
        <f>TEXT(Table1[[#This Row],[SaleDate]],"MMM")</f>
        <v>Apr</v>
      </c>
    </row>
    <row r="746" spans="1:15">
      <c r="A746" s="1">
        <v>45019</v>
      </c>
      <c r="B746" t="s">
        <v>24</v>
      </c>
      <c r="C746" t="s">
        <v>22</v>
      </c>
      <c r="D746">
        <v>2</v>
      </c>
      <c r="E746" t="s">
        <v>9</v>
      </c>
      <c r="F746">
        <v>60000</v>
      </c>
      <c r="G746">
        <v>31000</v>
      </c>
      <c r="H746">
        <f>Table1[[#This Row],[Qty]]*Table1[[#This Row],[SellingPrice]]</f>
        <v>120000</v>
      </c>
      <c r="I746">
        <f>Table1[[#This Row],[Qty]]*Table1[[#This Row],[CostPrice]]</f>
        <v>62000</v>
      </c>
      <c r="J746">
        <v>57594</v>
      </c>
      <c r="K746">
        <v>405.99999999999994</v>
      </c>
      <c r="L746" t="s">
        <v>12</v>
      </c>
      <c r="M746" t="s">
        <v>30</v>
      </c>
      <c r="N746">
        <f>MONTH(Table1[[#This Row],[SaleDate]])</f>
        <v>4</v>
      </c>
      <c r="O746" t="str">
        <f>TEXT(Table1[[#This Row],[SaleDate]],"MMM")</f>
        <v>Apr</v>
      </c>
    </row>
    <row r="747" spans="1:15">
      <c r="A747" s="1">
        <v>45019</v>
      </c>
      <c r="B747" t="s">
        <v>25</v>
      </c>
      <c r="C747" t="s">
        <v>21</v>
      </c>
      <c r="D747">
        <v>2</v>
      </c>
      <c r="E747" t="s">
        <v>7</v>
      </c>
      <c r="F747">
        <v>33000</v>
      </c>
      <c r="G747">
        <v>18000</v>
      </c>
      <c r="H747">
        <f>Table1[[#This Row],[Qty]]*Table1[[#This Row],[SellingPrice]]</f>
        <v>66000</v>
      </c>
      <c r="I747">
        <f>Table1[[#This Row],[Qty]]*Table1[[#This Row],[CostPrice]]</f>
        <v>36000</v>
      </c>
      <c r="J747">
        <v>29790</v>
      </c>
      <c r="K747">
        <v>209.99999999999997</v>
      </c>
      <c r="L747" t="s">
        <v>13</v>
      </c>
      <c r="M747" t="s">
        <v>29</v>
      </c>
      <c r="N747">
        <f>MONTH(Table1[[#This Row],[SaleDate]])</f>
        <v>4</v>
      </c>
      <c r="O747" t="str">
        <f>TEXT(Table1[[#This Row],[SaleDate]],"MMM")</f>
        <v>Apr</v>
      </c>
    </row>
    <row r="748" spans="1:15">
      <c r="A748" s="1">
        <v>45019</v>
      </c>
      <c r="B748" t="s">
        <v>25</v>
      </c>
      <c r="C748" t="s">
        <v>21</v>
      </c>
      <c r="D748">
        <v>2</v>
      </c>
      <c r="E748" t="s">
        <v>9</v>
      </c>
      <c r="F748">
        <v>60000</v>
      </c>
      <c r="G748">
        <v>31000</v>
      </c>
      <c r="H748">
        <f>Table1[[#This Row],[Qty]]*Table1[[#This Row],[SellingPrice]]</f>
        <v>120000</v>
      </c>
      <c r="I748">
        <f>Table1[[#This Row],[Qty]]*Table1[[#This Row],[CostPrice]]</f>
        <v>62000</v>
      </c>
      <c r="J748">
        <v>57594</v>
      </c>
      <c r="K748">
        <v>405.99999999999994</v>
      </c>
      <c r="L748" t="s">
        <v>13</v>
      </c>
      <c r="M748" t="s">
        <v>27</v>
      </c>
      <c r="N748">
        <f>MONTH(Table1[[#This Row],[SaleDate]])</f>
        <v>4</v>
      </c>
      <c r="O748" t="str">
        <f>TEXT(Table1[[#This Row],[SaleDate]],"MMM")</f>
        <v>Apr</v>
      </c>
    </row>
    <row r="749" spans="1:15">
      <c r="A749" s="1">
        <v>45019</v>
      </c>
      <c r="B749" t="s">
        <v>25</v>
      </c>
      <c r="C749" t="s">
        <v>21</v>
      </c>
      <c r="D749">
        <v>2</v>
      </c>
      <c r="E749" t="s">
        <v>10</v>
      </c>
      <c r="F749">
        <v>89000</v>
      </c>
      <c r="G749">
        <v>65000</v>
      </c>
      <c r="H749">
        <f>Table1[[#This Row],[Qty]]*Table1[[#This Row],[SellingPrice]]</f>
        <v>178000</v>
      </c>
      <c r="I749">
        <f>Table1[[#This Row],[Qty]]*Table1[[#This Row],[CostPrice]]</f>
        <v>130000</v>
      </c>
      <c r="J749">
        <v>47664</v>
      </c>
      <c r="K749">
        <v>335.99999999999994</v>
      </c>
      <c r="L749" t="s">
        <v>13</v>
      </c>
      <c r="M749" t="s">
        <v>30</v>
      </c>
      <c r="N749">
        <f>MONTH(Table1[[#This Row],[SaleDate]])</f>
        <v>4</v>
      </c>
      <c r="O749" t="str">
        <f>TEXT(Table1[[#This Row],[SaleDate]],"MMM")</f>
        <v>Apr</v>
      </c>
    </row>
    <row r="750" spans="1:15">
      <c r="A750" s="1">
        <v>45020</v>
      </c>
      <c r="B750" t="s">
        <v>23</v>
      </c>
      <c r="C750" t="s">
        <v>19</v>
      </c>
      <c r="D750">
        <v>1</v>
      </c>
      <c r="E750" t="s">
        <v>7</v>
      </c>
      <c r="F750">
        <v>33000</v>
      </c>
      <c r="G750">
        <v>18000</v>
      </c>
      <c r="H750">
        <f>Table1[[#This Row],[Qty]]*Table1[[#This Row],[SellingPrice]]</f>
        <v>33000</v>
      </c>
      <c r="I750">
        <f>Table1[[#This Row],[Qty]]*Table1[[#This Row],[CostPrice]]</f>
        <v>18000</v>
      </c>
      <c r="J750">
        <v>14895</v>
      </c>
      <c r="K750">
        <v>104.99999999999999</v>
      </c>
      <c r="L750" t="s">
        <v>8</v>
      </c>
      <c r="M750" t="s">
        <v>27</v>
      </c>
      <c r="N750">
        <f>MONTH(Table1[[#This Row],[SaleDate]])</f>
        <v>4</v>
      </c>
      <c r="O750" t="str">
        <f>TEXT(Table1[[#This Row],[SaleDate]],"MMM")</f>
        <v>Apr</v>
      </c>
    </row>
    <row r="751" spans="1:15">
      <c r="A751" s="1">
        <v>45020</v>
      </c>
      <c r="B751" t="s">
        <v>23</v>
      </c>
      <c r="C751" t="s">
        <v>19</v>
      </c>
      <c r="D751">
        <v>1</v>
      </c>
      <c r="E751" t="s">
        <v>9</v>
      </c>
      <c r="F751">
        <v>60000</v>
      </c>
      <c r="G751">
        <v>31000</v>
      </c>
      <c r="H751">
        <f>Table1[[#This Row],[Qty]]*Table1[[#This Row],[SellingPrice]]</f>
        <v>60000</v>
      </c>
      <c r="I751">
        <f>Table1[[#This Row],[Qty]]*Table1[[#This Row],[CostPrice]]</f>
        <v>31000</v>
      </c>
      <c r="J751">
        <v>28797</v>
      </c>
      <c r="K751">
        <v>202.99999999999997</v>
      </c>
      <c r="L751" t="s">
        <v>8</v>
      </c>
      <c r="M751" t="s">
        <v>28</v>
      </c>
      <c r="N751">
        <f>MONTH(Table1[[#This Row],[SaleDate]])</f>
        <v>4</v>
      </c>
      <c r="O751" t="str">
        <f>TEXT(Table1[[#This Row],[SaleDate]],"MMM")</f>
        <v>Apr</v>
      </c>
    </row>
    <row r="752" spans="1:15">
      <c r="A752" s="1">
        <v>45020</v>
      </c>
      <c r="B752" t="s">
        <v>23</v>
      </c>
      <c r="C752" t="s">
        <v>19</v>
      </c>
      <c r="D752">
        <v>1</v>
      </c>
      <c r="E752" t="s">
        <v>10</v>
      </c>
      <c r="F752">
        <v>89000</v>
      </c>
      <c r="G752">
        <v>65000</v>
      </c>
      <c r="H752">
        <f>Table1[[#This Row],[Qty]]*Table1[[#This Row],[SellingPrice]]</f>
        <v>89000</v>
      </c>
      <c r="I752">
        <f>Table1[[#This Row],[Qty]]*Table1[[#This Row],[CostPrice]]</f>
        <v>65000</v>
      </c>
      <c r="J752">
        <v>23832</v>
      </c>
      <c r="K752">
        <v>167.99999999999997</v>
      </c>
      <c r="L752" t="s">
        <v>8</v>
      </c>
      <c r="M752" t="s">
        <v>30</v>
      </c>
      <c r="N752">
        <f>MONTH(Table1[[#This Row],[SaleDate]])</f>
        <v>4</v>
      </c>
      <c r="O752" t="str">
        <f>TEXT(Table1[[#This Row],[SaleDate]],"MMM")</f>
        <v>Apr</v>
      </c>
    </row>
    <row r="753" spans="1:15">
      <c r="A753" s="1">
        <v>45020</v>
      </c>
      <c r="B753" t="s">
        <v>24</v>
      </c>
      <c r="C753" t="s">
        <v>22</v>
      </c>
      <c r="D753">
        <v>1</v>
      </c>
      <c r="E753" t="s">
        <v>7</v>
      </c>
      <c r="F753">
        <v>33000</v>
      </c>
      <c r="G753">
        <v>18000</v>
      </c>
      <c r="H753">
        <f>Table1[[#This Row],[Qty]]*Table1[[#This Row],[SellingPrice]]</f>
        <v>33000</v>
      </c>
      <c r="I753">
        <f>Table1[[#This Row],[Qty]]*Table1[[#This Row],[CostPrice]]</f>
        <v>18000</v>
      </c>
      <c r="J753">
        <v>14895</v>
      </c>
      <c r="K753">
        <v>104.99999999999999</v>
      </c>
      <c r="L753" t="s">
        <v>12</v>
      </c>
      <c r="M753" t="s">
        <v>27</v>
      </c>
      <c r="N753">
        <f>MONTH(Table1[[#This Row],[SaleDate]])</f>
        <v>4</v>
      </c>
      <c r="O753" t="str">
        <f>TEXT(Table1[[#This Row],[SaleDate]],"MMM")</f>
        <v>Apr</v>
      </c>
    </row>
    <row r="754" spans="1:15">
      <c r="A754" s="1">
        <v>45020</v>
      </c>
      <c r="B754" t="s">
        <v>24</v>
      </c>
      <c r="C754" t="s">
        <v>22</v>
      </c>
      <c r="D754">
        <v>1</v>
      </c>
      <c r="E754" t="s">
        <v>9</v>
      </c>
      <c r="F754">
        <v>60000</v>
      </c>
      <c r="G754">
        <v>31000</v>
      </c>
      <c r="H754">
        <f>Table1[[#This Row],[Qty]]*Table1[[#This Row],[SellingPrice]]</f>
        <v>60000</v>
      </c>
      <c r="I754">
        <f>Table1[[#This Row],[Qty]]*Table1[[#This Row],[CostPrice]]</f>
        <v>31000</v>
      </c>
      <c r="J754">
        <v>28797</v>
      </c>
      <c r="K754">
        <v>202.99999999999997</v>
      </c>
      <c r="L754" t="s">
        <v>12</v>
      </c>
      <c r="M754" t="s">
        <v>29</v>
      </c>
      <c r="N754">
        <f>MONTH(Table1[[#This Row],[SaleDate]])</f>
        <v>4</v>
      </c>
      <c r="O754" t="str">
        <f>TEXT(Table1[[#This Row],[SaleDate]],"MMM")</f>
        <v>Apr</v>
      </c>
    </row>
    <row r="755" spans="1:15">
      <c r="A755" s="1">
        <v>45020</v>
      </c>
      <c r="B755" t="s">
        <v>25</v>
      </c>
      <c r="C755" t="s">
        <v>21</v>
      </c>
      <c r="D755">
        <v>1</v>
      </c>
      <c r="E755" t="s">
        <v>7</v>
      </c>
      <c r="F755">
        <v>33000</v>
      </c>
      <c r="G755">
        <v>18000</v>
      </c>
      <c r="H755">
        <f>Table1[[#This Row],[Qty]]*Table1[[#This Row],[SellingPrice]]</f>
        <v>33000</v>
      </c>
      <c r="I755">
        <f>Table1[[#This Row],[Qty]]*Table1[[#This Row],[CostPrice]]</f>
        <v>18000</v>
      </c>
      <c r="J755">
        <v>14895</v>
      </c>
      <c r="K755">
        <v>104.99999999999999</v>
      </c>
      <c r="L755" t="s">
        <v>13</v>
      </c>
      <c r="M755" t="s">
        <v>30</v>
      </c>
      <c r="N755">
        <f>MONTH(Table1[[#This Row],[SaleDate]])</f>
        <v>4</v>
      </c>
      <c r="O755" t="str">
        <f>TEXT(Table1[[#This Row],[SaleDate]],"MMM")</f>
        <v>Apr</v>
      </c>
    </row>
    <row r="756" spans="1:15">
      <c r="A756" s="1">
        <v>45020</v>
      </c>
      <c r="B756" t="s">
        <v>25</v>
      </c>
      <c r="C756" t="s">
        <v>21</v>
      </c>
      <c r="D756">
        <v>1</v>
      </c>
      <c r="E756" t="s">
        <v>9</v>
      </c>
      <c r="F756">
        <v>60000</v>
      </c>
      <c r="G756">
        <v>31000</v>
      </c>
      <c r="H756">
        <f>Table1[[#This Row],[Qty]]*Table1[[#This Row],[SellingPrice]]</f>
        <v>60000</v>
      </c>
      <c r="I756">
        <f>Table1[[#This Row],[Qty]]*Table1[[#This Row],[CostPrice]]</f>
        <v>31000</v>
      </c>
      <c r="J756">
        <v>28797</v>
      </c>
      <c r="K756">
        <v>202.99999999999997</v>
      </c>
      <c r="L756" t="s">
        <v>13</v>
      </c>
      <c r="M756" t="s">
        <v>29</v>
      </c>
      <c r="N756">
        <f>MONTH(Table1[[#This Row],[SaleDate]])</f>
        <v>4</v>
      </c>
      <c r="O756" t="str">
        <f>TEXT(Table1[[#This Row],[SaleDate]],"MMM")</f>
        <v>Apr</v>
      </c>
    </row>
    <row r="757" spans="1:15">
      <c r="A757" s="1">
        <v>45020</v>
      </c>
      <c r="B757" t="s">
        <v>25</v>
      </c>
      <c r="C757" t="s">
        <v>21</v>
      </c>
      <c r="D757">
        <v>1</v>
      </c>
      <c r="E757" t="s">
        <v>10</v>
      </c>
      <c r="F757">
        <v>89000</v>
      </c>
      <c r="G757">
        <v>65000</v>
      </c>
      <c r="H757">
        <f>Table1[[#This Row],[Qty]]*Table1[[#This Row],[SellingPrice]]</f>
        <v>89000</v>
      </c>
      <c r="I757">
        <f>Table1[[#This Row],[Qty]]*Table1[[#This Row],[CostPrice]]</f>
        <v>65000</v>
      </c>
      <c r="J757">
        <v>23832</v>
      </c>
      <c r="K757">
        <v>167.99999999999997</v>
      </c>
      <c r="L757" t="s">
        <v>13</v>
      </c>
      <c r="M757" t="s">
        <v>29</v>
      </c>
      <c r="N757">
        <f>MONTH(Table1[[#This Row],[SaleDate]])</f>
        <v>4</v>
      </c>
      <c r="O757" t="str">
        <f>TEXT(Table1[[#This Row],[SaleDate]],"MMM")</f>
        <v>Apr</v>
      </c>
    </row>
    <row r="758" spans="1:15">
      <c r="A758" s="1">
        <v>45021</v>
      </c>
      <c r="B758" t="s">
        <v>23</v>
      </c>
      <c r="C758" t="s">
        <v>19</v>
      </c>
      <c r="D758">
        <v>2</v>
      </c>
      <c r="E758" t="s">
        <v>7</v>
      </c>
      <c r="F758">
        <v>33000</v>
      </c>
      <c r="G758">
        <v>18000</v>
      </c>
      <c r="H758">
        <f>Table1[[#This Row],[Qty]]*Table1[[#This Row],[SellingPrice]]</f>
        <v>66000</v>
      </c>
      <c r="I758">
        <f>Table1[[#This Row],[Qty]]*Table1[[#This Row],[CostPrice]]</f>
        <v>36000</v>
      </c>
      <c r="J758">
        <v>29790</v>
      </c>
      <c r="K758">
        <v>209.99999999999997</v>
      </c>
      <c r="L758" t="s">
        <v>8</v>
      </c>
      <c r="M758" t="s">
        <v>29</v>
      </c>
      <c r="N758">
        <f>MONTH(Table1[[#This Row],[SaleDate]])</f>
        <v>4</v>
      </c>
      <c r="O758" t="str">
        <f>TEXT(Table1[[#This Row],[SaleDate]],"MMM")</f>
        <v>Apr</v>
      </c>
    </row>
    <row r="759" spans="1:15">
      <c r="A759" s="1">
        <v>45021</v>
      </c>
      <c r="B759" t="s">
        <v>23</v>
      </c>
      <c r="C759" t="s">
        <v>19</v>
      </c>
      <c r="D759">
        <v>2</v>
      </c>
      <c r="E759" t="s">
        <v>9</v>
      </c>
      <c r="F759">
        <v>60000</v>
      </c>
      <c r="G759">
        <v>31000</v>
      </c>
      <c r="H759">
        <f>Table1[[#This Row],[Qty]]*Table1[[#This Row],[SellingPrice]]</f>
        <v>120000</v>
      </c>
      <c r="I759">
        <f>Table1[[#This Row],[Qty]]*Table1[[#This Row],[CostPrice]]</f>
        <v>62000</v>
      </c>
      <c r="J759">
        <v>57594</v>
      </c>
      <c r="K759">
        <v>405.99999999999994</v>
      </c>
      <c r="L759" t="s">
        <v>8</v>
      </c>
      <c r="M759" t="s">
        <v>29</v>
      </c>
      <c r="N759">
        <f>MONTH(Table1[[#This Row],[SaleDate]])</f>
        <v>4</v>
      </c>
      <c r="O759" t="str">
        <f>TEXT(Table1[[#This Row],[SaleDate]],"MMM")</f>
        <v>Apr</v>
      </c>
    </row>
    <row r="760" spans="1:15">
      <c r="A760" s="1">
        <v>45021</v>
      </c>
      <c r="B760" t="s">
        <v>23</v>
      </c>
      <c r="C760" t="s">
        <v>19</v>
      </c>
      <c r="D760">
        <v>2</v>
      </c>
      <c r="E760" t="s">
        <v>10</v>
      </c>
      <c r="F760">
        <v>89000</v>
      </c>
      <c r="G760">
        <v>65000</v>
      </c>
      <c r="H760">
        <f>Table1[[#This Row],[Qty]]*Table1[[#This Row],[SellingPrice]]</f>
        <v>178000</v>
      </c>
      <c r="I760">
        <f>Table1[[#This Row],[Qty]]*Table1[[#This Row],[CostPrice]]</f>
        <v>130000</v>
      </c>
      <c r="J760">
        <v>47664</v>
      </c>
      <c r="K760">
        <v>335.99999999999994</v>
      </c>
      <c r="L760" t="s">
        <v>8</v>
      </c>
      <c r="M760" t="s">
        <v>27</v>
      </c>
      <c r="N760">
        <f>MONTH(Table1[[#This Row],[SaleDate]])</f>
        <v>4</v>
      </c>
      <c r="O760" t="str">
        <f>TEXT(Table1[[#This Row],[SaleDate]],"MMM")</f>
        <v>Apr</v>
      </c>
    </row>
    <row r="761" spans="1:15">
      <c r="A761" s="1">
        <v>45021</v>
      </c>
      <c r="B761" t="s">
        <v>24</v>
      </c>
      <c r="C761" t="s">
        <v>22</v>
      </c>
      <c r="D761">
        <v>2</v>
      </c>
      <c r="E761" t="s">
        <v>7</v>
      </c>
      <c r="F761">
        <v>33000</v>
      </c>
      <c r="G761">
        <v>18000</v>
      </c>
      <c r="H761">
        <f>Table1[[#This Row],[Qty]]*Table1[[#This Row],[SellingPrice]]</f>
        <v>66000</v>
      </c>
      <c r="I761">
        <f>Table1[[#This Row],[Qty]]*Table1[[#This Row],[CostPrice]]</f>
        <v>36000</v>
      </c>
      <c r="J761">
        <v>29790</v>
      </c>
      <c r="K761">
        <v>209.99999999999997</v>
      </c>
      <c r="L761" t="s">
        <v>12</v>
      </c>
      <c r="M761" t="s">
        <v>30</v>
      </c>
      <c r="N761">
        <f>MONTH(Table1[[#This Row],[SaleDate]])</f>
        <v>4</v>
      </c>
      <c r="O761" t="str">
        <f>TEXT(Table1[[#This Row],[SaleDate]],"MMM")</f>
        <v>Apr</v>
      </c>
    </row>
    <row r="762" spans="1:15">
      <c r="A762" s="1">
        <v>45021</v>
      </c>
      <c r="B762" t="s">
        <v>24</v>
      </c>
      <c r="C762" t="s">
        <v>22</v>
      </c>
      <c r="D762">
        <v>2</v>
      </c>
      <c r="E762" t="s">
        <v>9</v>
      </c>
      <c r="F762">
        <v>60000</v>
      </c>
      <c r="G762">
        <v>31000</v>
      </c>
      <c r="H762">
        <f>Table1[[#This Row],[Qty]]*Table1[[#This Row],[SellingPrice]]</f>
        <v>120000</v>
      </c>
      <c r="I762">
        <f>Table1[[#This Row],[Qty]]*Table1[[#This Row],[CostPrice]]</f>
        <v>62000</v>
      </c>
      <c r="J762">
        <v>57594</v>
      </c>
      <c r="K762">
        <v>405.99999999999994</v>
      </c>
      <c r="L762" t="s">
        <v>12</v>
      </c>
      <c r="M762" t="s">
        <v>30</v>
      </c>
      <c r="N762">
        <f>MONTH(Table1[[#This Row],[SaleDate]])</f>
        <v>4</v>
      </c>
      <c r="O762" t="str">
        <f>TEXT(Table1[[#This Row],[SaleDate]],"MMM")</f>
        <v>Apr</v>
      </c>
    </row>
    <row r="763" spans="1:15">
      <c r="A763" s="1">
        <v>45021</v>
      </c>
      <c r="B763" t="s">
        <v>25</v>
      </c>
      <c r="C763" t="s">
        <v>21</v>
      </c>
      <c r="D763">
        <v>2</v>
      </c>
      <c r="E763" t="s">
        <v>7</v>
      </c>
      <c r="F763">
        <v>33000</v>
      </c>
      <c r="G763">
        <v>18000</v>
      </c>
      <c r="H763">
        <f>Table1[[#This Row],[Qty]]*Table1[[#This Row],[SellingPrice]]</f>
        <v>66000</v>
      </c>
      <c r="I763">
        <f>Table1[[#This Row],[Qty]]*Table1[[#This Row],[CostPrice]]</f>
        <v>36000</v>
      </c>
      <c r="J763">
        <v>29790</v>
      </c>
      <c r="K763">
        <v>209.99999999999997</v>
      </c>
      <c r="L763" t="s">
        <v>13</v>
      </c>
      <c r="M763" t="s">
        <v>27</v>
      </c>
      <c r="N763">
        <f>MONTH(Table1[[#This Row],[SaleDate]])</f>
        <v>4</v>
      </c>
      <c r="O763" t="str">
        <f>TEXT(Table1[[#This Row],[SaleDate]],"MMM")</f>
        <v>Apr</v>
      </c>
    </row>
    <row r="764" spans="1:15">
      <c r="A764" s="1">
        <v>45021</v>
      </c>
      <c r="B764" t="s">
        <v>25</v>
      </c>
      <c r="C764" t="s">
        <v>21</v>
      </c>
      <c r="D764">
        <v>2</v>
      </c>
      <c r="E764" t="s">
        <v>9</v>
      </c>
      <c r="F764">
        <v>60000</v>
      </c>
      <c r="G764">
        <v>31000</v>
      </c>
      <c r="H764">
        <f>Table1[[#This Row],[Qty]]*Table1[[#This Row],[SellingPrice]]</f>
        <v>120000</v>
      </c>
      <c r="I764">
        <f>Table1[[#This Row],[Qty]]*Table1[[#This Row],[CostPrice]]</f>
        <v>62000</v>
      </c>
      <c r="J764">
        <v>57594</v>
      </c>
      <c r="K764">
        <v>405.99999999999994</v>
      </c>
      <c r="L764" t="s">
        <v>13</v>
      </c>
      <c r="M764" t="s">
        <v>30</v>
      </c>
      <c r="N764">
        <f>MONTH(Table1[[#This Row],[SaleDate]])</f>
        <v>4</v>
      </c>
      <c r="O764" t="str">
        <f>TEXT(Table1[[#This Row],[SaleDate]],"MMM")</f>
        <v>Apr</v>
      </c>
    </row>
    <row r="765" spans="1:15">
      <c r="A765" s="1">
        <v>45021</v>
      </c>
      <c r="B765" t="s">
        <v>25</v>
      </c>
      <c r="C765" t="s">
        <v>21</v>
      </c>
      <c r="D765">
        <v>2</v>
      </c>
      <c r="E765" t="s">
        <v>10</v>
      </c>
      <c r="F765">
        <v>89000</v>
      </c>
      <c r="G765">
        <v>65000</v>
      </c>
      <c r="H765">
        <f>Table1[[#This Row],[Qty]]*Table1[[#This Row],[SellingPrice]]</f>
        <v>178000</v>
      </c>
      <c r="I765">
        <f>Table1[[#This Row],[Qty]]*Table1[[#This Row],[CostPrice]]</f>
        <v>130000</v>
      </c>
      <c r="J765">
        <v>47664</v>
      </c>
      <c r="K765">
        <v>335.99999999999994</v>
      </c>
      <c r="L765" t="s">
        <v>13</v>
      </c>
      <c r="M765" t="s">
        <v>30</v>
      </c>
      <c r="N765">
        <f>MONTH(Table1[[#This Row],[SaleDate]])</f>
        <v>4</v>
      </c>
      <c r="O765" t="str">
        <f>TEXT(Table1[[#This Row],[SaleDate]],"MMM")</f>
        <v>Apr</v>
      </c>
    </row>
    <row r="766" spans="1:15">
      <c r="A766" s="1">
        <v>45022</v>
      </c>
      <c r="B766" t="s">
        <v>23</v>
      </c>
      <c r="C766" t="s">
        <v>19</v>
      </c>
      <c r="D766">
        <v>1</v>
      </c>
      <c r="E766" t="s">
        <v>7</v>
      </c>
      <c r="F766">
        <v>33000</v>
      </c>
      <c r="G766">
        <v>18000</v>
      </c>
      <c r="H766">
        <f>Table1[[#This Row],[Qty]]*Table1[[#This Row],[SellingPrice]]</f>
        <v>33000</v>
      </c>
      <c r="I766">
        <f>Table1[[#This Row],[Qty]]*Table1[[#This Row],[CostPrice]]</f>
        <v>18000</v>
      </c>
      <c r="J766">
        <v>14895</v>
      </c>
      <c r="K766">
        <v>104.99999999999999</v>
      </c>
      <c r="L766" t="s">
        <v>8</v>
      </c>
      <c r="M766" t="s">
        <v>29</v>
      </c>
      <c r="N766">
        <f>MONTH(Table1[[#This Row],[SaleDate]])</f>
        <v>4</v>
      </c>
      <c r="O766" t="str">
        <f>TEXT(Table1[[#This Row],[SaleDate]],"MMM")</f>
        <v>Apr</v>
      </c>
    </row>
    <row r="767" spans="1:15">
      <c r="A767" s="1">
        <v>45022</v>
      </c>
      <c r="B767" t="s">
        <v>23</v>
      </c>
      <c r="C767" t="s">
        <v>19</v>
      </c>
      <c r="D767">
        <v>1</v>
      </c>
      <c r="E767" t="s">
        <v>9</v>
      </c>
      <c r="F767">
        <v>60000</v>
      </c>
      <c r="G767">
        <v>31000</v>
      </c>
      <c r="H767">
        <f>Table1[[#This Row],[Qty]]*Table1[[#This Row],[SellingPrice]]</f>
        <v>60000</v>
      </c>
      <c r="I767">
        <f>Table1[[#This Row],[Qty]]*Table1[[#This Row],[CostPrice]]</f>
        <v>31000</v>
      </c>
      <c r="J767">
        <v>28797</v>
      </c>
      <c r="K767">
        <v>202.99999999999997</v>
      </c>
      <c r="L767" t="s">
        <v>8</v>
      </c>
      <c r="M767" t="s">
        <v>30</v>
      </c>
      <c r="N767">
        <f>MONTH(Table1[[#This Row],[SaleDate]])</f>
        <v>4</v>
      </c>
      <c r="O767" t="str">
        <f>TEXT(Table1[[#This Row],[SaleDate]],"MMM")</f>
        <v>Apr</v>
      </c>
    </row>
    <row r="768" spans="1:15">
      <c r="A768" s="1">
        <v>45022</v>
      </c>
      <c r="B768" t="s">
        <v>23</v>
      </c>
      <c r="C768" t="s">
        <v>19</v>
      </c>
      <c r="D768">
        <v>1</v>
      </c>
      <c r="E768" t="s">
        <v>10</v>
      </c>
      <c r="F768">
        <v>89000</v>
      </c>
      <c r="G768">
        <v>65000</v>
      </c>
      <c r="H768">
        <f>Table1[[#This Row],[Qty]]*Table1[[#This Row],[SellingPrice]]</f>
        <v>89000</v>
      </c>
      <c r="I768">
        <f>Table1[[#This Row],[Qty]]*Table1[[#This Row],[CostPrice]]</f>
        <v>65000</v>
      </c>
      <c r="J768">
        <v>23832</v>
      </c>
      <c r="K768">
        <v>167.99999999999997</v>
      </c>
      <c r="L768" t="s">
        <v>8</v>
      </c>
      <c r="M768" t="s">
        <v>27</v>
      </c>
      <c r="N768">
        <f>MONTH(Table1[[#This Row],[SaleDate]])</f>
        <v>4</v>
      </c>
      <c r="O768" t="str">
        <f>TEXT(Table1[[#This Row],[SaleDate]],"MMM")</f>
        <v>Apr</v>
      </c>
    </row>
    <row r="769" spans="1:15">
      <c r="A769" s="1">
        <v>45022</v>
      </c>
      <c r="B769" t="s">
        <v>26</v>
      </c>
      <c r="C769" t="s">
        <v>20</v>
      </c>
      <c r="D769">
        <v>1</v>
      </c>
      <c r="E769" t="s">
        <v>7</v>
      </c>
      <c r="F769">
        <v>33000</v>
      </c>
      <c r="G769">
        <v>18000</v>
      </c>
      <c r="H769">
        <f>Table1[[#This Row],[Qty]]*Table1[[#This Row],[SellingPrice]]</f>
        <v>33000</v>
      </c>
      <c r="I769">
        <f>Table1[[#This Row],[Qty]]*Table1[[#This Row],[CostPrice]]</f>
        <v>18000</v>
      </c>
      <c r="J769">
        <v>14895</v>
      </c>
      <c r="K769">
        <v>104.99999999999999</v>
      </c>
      <c r="L769" t="s">
        <v>11</v>
      </c>
      <c r="M769" t="s">
        <v>30</v>
      </c>
      <c r="N769">
        <f>MONTH(Table1[[#This Row],[SaleDate]])</f>
        <v>4</v>
      </c>
      <c r="O769" t="str">
        <f>TEXT(Table1[[#This Row],[SaleDate]],"MMM")</f>
        <v>Apr</v>
      </c>
    </row>
    <row r="770" spans="1:15">
      <c r="A770" s="1">
        <v>45022</v>
      </c>
      <c r="B770" t="s">
        <v>24</v>
      </c>
      <c r="C770" t="s">
        <v>22</v>
      </c>
      <c r="D770">
        <v>1</v>
      </c>
      <c r="E770" t="s">
        <v>7</v>
      </c>
      <c r="F770">
        <v>33000</v>
      </c>
      <c r="G770">
        <v>18000</v>
      </c>
      <c r="H770">
        <f>Table1[[#This Row],[Qty]]*Table1[[#This Row],[SellingPrice]]</f>
        <v>33000</v>
      </c>
      <c r="I770">
        <f>Table1[[#This Row],[Qty]]*Table1[[#This Row],[CostPrice]]</f>
        <v>18000</v>
      </c>
      <c r="J770">
        <v>14895</v>
      </c>
      <c r="K770">
        <v>104.99999999999999</v>
      </c>
      <c r="L770" t="s">
        <v>12</v>
      </c>
      <c r="M770" t="s">
        <v>29</v>
      </c>
      <c r="N770">
        <f>MONTH(Table1[[#This Row],[SaleDate]])</f>
        <v>4</v>
      </c>
      <c r="O770" t="str">
        <f>TEXT(Table1[[#This Row],[SaleDate]],"MMM")</f>
        <v>Apr</v>
      </c>
    </row>
    <row r="771" spans="1:15">
      <c r="A771" s="1">
        <v>45022</v>
      </c>
      <c r="B771" t="s">
        <v>24</v>
      </c>
      <c r="C771" t="s">
        <v>22</v>
      </c>
      <c r="D771">
        <v>1</v>
      </c>
      <c r="E771" t="s">
        <v>9</v>
      </c>
      <c r="F771">
        <v>60000</v>
      </c>
      <c r="G771">
        <v>31000</v>
      </c>
      <c r="H771">
        <f>Table1[[#This Row],[Qty]]*Table1[[#This Row],[SellingPrice]]</f>
        <v>60000</v>
      </c>
      <c r="I771">
        <f>Table1[[#This Row],[Qty]]*Table1[[#This Row],[CostPrice]]</f>
        <v>31000</v>
      </c>
      <c r="J771">
        <v>28797</v>
      </c>
      <c r="K771">
        <v>202.99999999999997</v>
      </c>
      <c r="L771" t="s">
        <v>12</v>
      </c>
      <c r="M771" t="s">
        <v>30</v>
      </c>
      <c r="N771">
        <f>MONTH(Table1[[#This Row],[SaleDate]])</f>
        <v>4</v>
      </c>
      <c r="O771" t="str">
        <f>TEXT(Table1[[#This Row],[SaleDate]],"MMM")</f>
        <v>Apr</v>
      </c>
    </row>
    <row r="772" spans="1:15">
      <c r="A772" s="1">
        <v>45022</v>
      </c>
      <c r="B772" t="s">
        <v>25</v>
      </c>
      <c r="C772" t="s">
        <v>21</v>
      </c>
      <c r="D772">
        <v>1</v>
      </c>
      <c r="E772" t="s">
        <v>7</v>
      </c>
      <c r="F772">
        <v>33000</v>
      </c>
      <c r="G772">
        <v>18000</v>
      </c>
      <c r="H772">
        <f>Table1[[#This Row],[Qty]]*Table1[[#This Row],[SellingPrice]]</f>
        <v>33000</v>
      </c>
      <c r="I772">
        <f>Table1[[#This Row],[Qty]]*Table1[[#This Row],[CostPrice]]</f>
        <v>18000</v>
      </c>
      <c r="J772">
        <v>14895</v>
      </c>
      <c r="K772">
        <v>104.99999999999999</v>
      </c>
      <c r="L772" t="s">
        <v>13</v>
      </c>
      <c r="M772" t="s">
        <v>29</v>
      </c>
      <c r="N772">
        <f>MONTH(Table1[[#This Row],[SaleDate]])</f>
        <v>4</v>
      </c>
      <c r="O772" t="str">
        <f>TEXT(Table1[[#This Row],[SaleDate]],"MMM")</f>
        <v>Apr</v>
      </c>
    </row>
    <row r="773" spans="1:15">
      <c r="A773" s="1">
        <v>45022</v>
      </c>
      <c r="B773" t="s">
        <v>25</v>
      </c>
      <c r="C773" t="s">
        <v>21</v>
      </c>
      <c r="D773">
        <v>1</v>
      </c>
      <c r="E773" t="s">
        <v>9</v>
      </c>
      <c r="F773">
        <v>60000</v>
      </c>
      <c r="G773">
        <v>31000</v>
      </c>
      <c r="H773">
        <f>Table1[[#This Row],[Qty]]*Table1[[#This Row],[SellingPrice]]</f>
        <v>60000</v>
      </c>
      <c r="I773">
        <f>Table1[[#This Row],[Qty]]*Table1[[#This Row],[CostPrice]]</f>
        <v>31000</v>
      </c>
      <c r="J773">
        <v>28797</v>
      </c>
      <c r="K773">
        <v>202.99999999999997</v>
      </c>
      <c r="L773" t="s">
        <v>13</v>
      </c>
      <c r="M773" t="s">
        <v>30</v>
      </c>
      <c r="N773">
        <f>MONTH(Table1[[#This Row],[SaleDate]])</f>
        <v>4</v>
      </c>
      <c r="O773" t="str">
        <f>TEXT(Table1[[#This Row],[SaleDate]],"MMM")</f>
        <v>Apr</v>
      </c>
    </row>
    <row r="774" spans="1:15">
      <c r="A774" s="1">
        <v>45022</v>
      </c>
      <c r="B774" t="s">
        <v>25</v>
      </c>
      <c r="C774" t="s">
        <v>21</v>
      </c>
      <c r="D774">
        <v>1</v>
      </c>
      <c r="E774" t="s">
        <v>10</v>
      </c>
      <c r="F774">
        <v>89000</v>
      </c>
      <c r="G774">
        <v>65000</v>
      </c>
      <c r="H774">
        <f>Table1[[#This Row],[Qty]]*Table1[[#This Row],[SellingPrice]]</f>
        <v>89000</v>
      </c>
      <c r="I774">
        <f>Table1[[#This Row],[Qty]]*Table1[[#This Row],[CostPrice]]</f>
        <v>65000</v>
      </c>
      <c r="J774">
        <v>23832</v>
      </c>
      <c r="K774">
        <v>167.99999999999997</v>
      </c>
      <c r="L774" t="s">
        <v>13</v>
      </c>
      <c r="M774" t="s">
        <v>30</v>
      </c>
      <c r="N774">
        <f>MONTH(Table1[[#This Row],[SaleDate]])</f>
        <v>4</v>
      </c>
      <c r="O774" t="str">
        <f>TEXT(Table1[[#This Row],[SaleDate]],"MMM")</f>
        <v>Apr</v>
      </c>
    </row>
    <row r="775" spans="1:15">
      <c r="A775" s="1">
        <v>45023</v>
      </c>
      <c r="B775" t="s">
        <v>23</v>
      </c>
      <c r="C775" t="s">
        <v>19</v>
      </c>
      <c r="D775">
        <v>1</v>
      </c>
      <c r="E775" t="s">
        <v>7</v>
      </c>
      <c r="F775">
        <v>33000</v>
      </c>
      <c r="G775">
        <v>18000</v>
      </c>
      <c r="H775">
        <f>Table1[[#This Row],[Qty]]*Table1[[#This Row],[SellingPrice]]</f>
        <v>33000</v>
      </c>
      <c r="I775">
        <f>Table1[[#This Row],[Qty]]*Table1[[#This Row],[CostPrice]]</f>
        <v>18000</v>
      </c>
      <c r="J775">
        <v>14895</v>
      </c>
      <c r="K775">
        <v>104.99999999999999</v>
      </c>
      <c r="L775" t="s">
        <v>8</v>
      </c>
      <c r="M775" t="s">
        <v>30</v>
      </c>
      <c r="N775">
        <f>MONTH(Table1[[#This Row],[SaleDate]])</f>
        <v>4</v>
      </c>
      <c r="O775" t="str">
        <f>TEXT(Table1[[#This Row],[SaleDate]],"MMM")</f>
        <v>Apr</v>
      </c>
    </row>
    <row r="776" spans="1:15">
      <c r="A776" s="1">
        <v>45023</v>
      </c>
      <c r="B776" t="s">
        <v>23</v>
      </c>
      <c r="C776" t="s">
        <v>19</v>
      </c>
      <c r="D776">
        <v>1</v>
      </c>
      <c r="E776" t="s">
        <v>9</v>
      </c>
      <c r="F776">
        <v>60000</v>
      </c>
      <c r="G776">
        <v>31000</v>
      </c>
      <c r="H776">
        <f>Table1[[#This Row],[Qty]]*Table1[[#This Row],[SellingPrice]]</f>
        <v>60000</v>
      </c>
      <c r="I776">
        <f>Table1[[#This Row],[Qty]]*Table1[[#This Row],[CostPrice]]</f>
        <v>31000</v>
      </c>
      <c r="J776">
        <v>28797</v>
      </c>
      <c r="K776">
        <v>202.99999999999997</v>
      </c>
      <c r="L776" t="s">
        <v>8</v>
      </c>
      <c r="M776" t="s">
        <v>30</v>
      </c>
      <c r="N776">
        <f>MONTH(Table1[[#This Row],[SaleDate]])</f>
        <v>4</v>
      </c>
      <c r="O776" t="str">
        <f>TEXT(Table1[[#This Row],[SaleDate]],"MMM")</f>
        <v>Apr</v>
      </c>
    </row>
    <row r="777" spans="1:15">
      <c r="A777" s="1">
        <v>45023</v>
      </c>
      <c r="B777" t="s">
        <v>23</v>
      </c>
      <c r="C777" t="s">
        <v>19</v>
      </c>
      <c r="D777">
        <v>1</v>
      </c>
      <c r="E777" t="s">
        <v>10</v>
      </c>
      <c r="F777">
        <v>89000</v>
      </c>
      <c r="G777">
        <v>65000</v>
      </c>
      <c r="H777">
        <f>Table1[[#This Row],[Qty]]*Table1[[#This Row],[SellingPrice]]</f>
        <v>89000</v>
      </c>
      <c r="I777">
        <f>Table1[[#This Row],[Qty]]*Table1[[#This Row],[CostPrice]]</f>
        <v>65000</v>
      </c>
      <c r="J777">
        <v>23832</v>
      </c>
      <c r="K777">
        <v>167.99999999999997</v>
      </c>
      <c r="L777" t="s">
        <v>8</v>
      </c>
      <c r="M777" t="s">
        <v>29</v>
      </c>
      <c r="N777">
        <f>MONTH(Table1[[#This Row],[SaleDate]])</f>
        <v>4</v>
      </c>
      <c r="O777" t="str">
        <f>TEXT(Table1[[#This Row],[SaleDate]],"MMM")</f>
        <v>Apr</v>
      </c>
    </row>
    <row r="778" spans="1:15">
      <c r="A778" s="1">
        <v>45023</v>
      </c>
      <c r="B778" t="s">
        <v>26</v>
      </c>
      <c r="C778" t="s">
        <v>20</v>
      </c>
      <c r="D778">
        <v>1</v>
      </c>
      <c r="E778" t="s">
        <v>7</v>
      </c>
      <c r="F778">
        <v>33000</v>
      </c>
      <c r="G778">
        <v>18000</v>
      </c>
      <c r="H778">
        <f>Table1[[#This Row],[Qty]]*Table1[[#This Row],[SellingPrice]]</f>
        <v>33000</v>
      </c>
      <c r="I778">
        <f>Table1[[#This Row],[Qty]]*Table1[[#This Row],[CostPrice]]</f>
        <v>18000</v>
      </c>
      <c r="J778">
        <v>14895</v>
      </c>
      <c r="K778">
        <v>104.99999999999999</v>
      </c>
      <c r="L778" t="s">
        <v>11</v>
      </c>
      <c r="M778" t="s">
        <v>28</v>
      </c>
      <c r="N778">
        <f>MONTH(Table1[[#This Row],[SaleDate]])</f>
        <v>4</v>
      </c>
      <c r="O778" t="str">
        <f>TEXT(Table1[[#This Row],[SaleDate]],"MMM")</f>
        <v>Apr</v>
      </c>
    </row>
    <row r="779" spans="1:15">
      <c r="A779" s="1">
        <v>45023</v>
      </c>
      <c r="B779" t="s">
        <v>24</v>
      </c>
      <c r="C779" t="s">
        <v>22</v>
      </c>
      <c r="D779">
        <v>1</v>
      </c>
      <c r="E779" t="s">
        <v>7</v>
      </c>
      <c r="F779">
        <v>33000</v>
      </c>
      <c r="G779">
        <v>18000</v>
      </c>
      <c r="H779">
        <f>Table1[[#This Row],[Qty]]*Table1[[#This Row],[SellingPrice]]</f>
        <v>33000</v>
      </c>
      <c r="I779">
        <f>Table1[[#This Row],[Qty]]*Table1[[#This Row],[CostPrice]]</f>
        <v>18000</v>
      </c>
      <c r="J779">
        <v>14895</v>
      </c>
      <c r="K779">
        <v>104.99999999999999</v>
      </c>
      <c r="L779" t="s">
        <v>12</v>
      </c>
      <c r="M779" t="s">
        <v>30</v>
      </c>
      <c r="N779">
        <f>MONTH(Table1[[#This Row],[SaleDate]])</f>
        <v>4</v>
      </c>
      <c r="O779" t="str">
        <f>TEXT(Table1[[#This Row],[SaleDate]],"MMM")</f>
        <v>Apr</v>
      </c>
    </row>
    <row r="780" spans="1:15">
      <c r="A780" s="1">
        <v>45023</v>
      </c>
      <c r="B780" t="s">
        <v>24</v>
      </c>
      <c r="C780" t="s">
        <v>22</v>
      </c>
      <c r="D780">
        <v>1</v>
      </c>
      <c r="E780" t="s">
        <v>9</v>
      </c>
      <c r="F780">
        <v>60000</v>
      </c>
      <c r="G780">
        <v>31000</v>
      </c>
      <c r="H780">
        <f>Table1[[#This Row],[Qty]]*Table1[[#This Row],[SellingPrice]]</f>
        <v>60000</v>
      </c>
      <c r="I780">
        <f>Table1[[#This Row],[Qty]]*Table1[[#This Row],[CostPrice]]</f>
        <v>31000</v>
      </c>
      <c r="J780">
        <v>28797</v>
      </c>
      <c r="K780">
        <v>202.99999999999997</v>
      </c>
      <c r="L780" t="s">
        <v>12</v>
      </c>
      <c r="M780" t="s">
        <v>30</v>
      </c>
      <c r="N780">
        <f>MONTH(Table1[[#This Row],[SaleDate]])</f>
        <v>4</v>
      </c>
      <c r="O780" t="str">
        <f>TEXT(Table1[[#This Row],[SaleDate]],"MMM")</f>
        <v>Apr</v>
      </c>
    </row>
    <row r="781" spans="1:15">
      <c r="A781" s="1">
        <v>45023</v>
      </c>
      <c r="B781" t="s">
        <v>25</v>
      </c>
      <c r="C781" t="s">
        <v>21</v>
      </c>
      <c r="D781">
        <v>1</v>
      </c>
      <c r="E781" t="s">
        <v>7</v>
      </c>
      <c r="F781">
        <v>33000</v>
      </c>
      <c r="G781">
        <v>18000</v>
      </c>
      <c r="H781">
        <f>Table1[[#This Row],[Qty]]*Table1[[#This Row],[SellingPrice]]</f>
        <v>33000</v>
      </c>
      <c r="I781">
        <f>Table1[[#This Row],[Qty]]*Table1[[#This Row],[CostPrice]]</f>
        <v>18000</v>
      </c>
      <c r="J781">
        <v>14895</v>
      </c>
      <c r="K781">
        <v>104.99999999999999</v>
      </c>
      <c r="L781" t="s">
        <v>13</v>
      </c>
      <c r="M781" t="s">
        <v>30</v>
      </c>
      <c r="N781">
        <f>MONTH(Table1[[#This Row],[SaleDate]])</f>
        <v>4</v>
      </c>
      <c r="O781" t="str">
        <f>TEXT(Table1[[#This Row],[SaleDate]],"MMM")</f>
        <v>Apr</v>
      </c>
    </row>
    <row r="782" spans="1:15">
      <c r="A782" s="1">
        <v>45023</v>
      </c>
      <c r="B782" t="s">
        <v>25</v>
      </c>
      <c r="C782" t="s">
        <v>21</v>
      </c>
      <c r="D782">
        <v>1</v>
      </c>
      <c r="E782" t="s">
        <v>9</v>
      </c>
      <c r="F782">
        <v>60000</v>
      </c>
      <c r="G782">
        <v>31000</v>
      </c>
      <c r="H782">
        <f>Table1[[#This Row],[Qty]]*Table1[[#This Row],[SellingPrice]]</f>
        <v>60000</v>
      </c>
      <c r="I782">
        <f>Table1[[#This Row],[Qty]]*Table1[[#This Row],[CostPrice]]</f>
        <v>31000</v>
      </c>
      <c r="J782">
        <v>28797</v>
      </c>
      <c r="K782">
        <v>202.99999999999997</v>
      </c>
      <c r="L782" t="s">
        <v>13</v>
      </c>
      <c r="M782" t="s">
        <v>29</v>
      </c>
      <c r="N782">
        <f>MONTH(Table1[[#This Row],[SaleDate]])</f>
        <v>4</v>
      </c>
      <c r="O782" t="str">
        <f>TEXT(Table1[[#This Row],[SaleDate]],"MMM")</f>
        <v>Apr</v>
      </c>
    </row>
    <row r="783" spans="1:15">
      <c r="A783" s="1">
        <v>45023</v>
      </c>
      <c r="B783" t="s">
        <v>25</v>
      </c>
      <c r="C783" t="s">
        <v>21</v>
      </c>
      <c r="D783">
        <v>1</v>
      </c>
      <c r="E783" t="s">
        <v>10</v>
      </c>
      <c r="F783">
        <v>89000</v>
      </c>
      <c r="G783">
        <v>65000</v>
      </c>
      <c r="H783">
        <f>Table1[[#This Row],[Qty]]*Table1[[#This Row],[SellingPrice]]</f>
        <v>89000</v>
      </c>
      <c r="I783">
        <f>Table1[[#This Row],[Qty]]*Table1[[#This Row],[CostPrice]]</f>
        <v>65000</v>
      </c>
      <c r="J783">
        <v>23832</v>
      </c>
      <c r="K783">
        <v>167.99999999999997</v>
      </c>
      <c r="L783" t="s">
        <v>13</v>
      </c>
      <c r="M783" t="s">
        <v>30</v>
      </c>
      <c r="N783">
        <f>MONTH(Table1[[#This Row],[SaleDate]])</f>
        <v>4</v>
      </c>
      <c r="O783" t="str">
        <f>TEXT(Table1[[#This Row],[SaleDate]],"MMM")</f>
        <v>Apr</v>
      </c>
    </row>
    <row r="784" spans="1:15">
      <c r="A784" s="1">
        <v>45024</v>
      </c>
      <c r="B784" t="s">
        <v>23</v>
      </c>
      <c r="C784" t="s">
        <v>19</v>
      </c>
      <c r="D784">
        <v>1</v>
      </c>
      <c r="E784" t="s">
        <v>7</v>
      </c>
      <c r="F784">
        <v>33000</v>
      </c>
      <c r="G784">
        <v>18000</v>
      </c>
      <c r="H784">
        <f>Table1[[#This Row],[Qty]]*Table1[[#This Row],[SellingPrice]]</f>
        <v>33000</v>
      </c>
      <c r="I784">
        <f>Table1[[#This Row],[Qty]]*Table1[[#This Row],[CostPrice]]</f>
        <v>18000</v>
      </c>
      <c r="J784">
        <v>14895</v>
      </c>
      <c r="K784">
        <v>104.99999999999999</v>
      </c>
      <c r="L784" t="s">
        <v>8</v>
      </c>
      <c r="M784" t="s">
        <v>30</v>
      </c>
      <c r="N784">
        <f>MONTH(Table1[[#This Row],[SaleDate]])</f>
        <v>4</v>
      </c>
      <c r="O784" t="str">
        <f>TEXT(Table1[[#This Row],[SaleDate]],"MMM")</f>
        <v>Apr</v>
      </c>
    </row>
    <row r="785" spans="1:15">
      <c r="A785" s="1">
        <v>45024</v>
      </c>
      <c r="B785" t="s">
        <v>23</v>
      </c>
      <c r="C785" t="s">
        <v>19</v>
      </c>
      <c r="D785">
        <v>1</v>
      </c>
      <c r="E785" t="s">
        <v>9</v>
      </c>
      <c r="F785">
        <v>60000</v>
      </c>
      <c r="G785">
        <v>31000</v>
      </c>
      <c r="H785">
        <f>Table1[[#This Row],[Qty]]*Table1[[#This Row],[SellingPrice]]</f>
        <v>60000</v>
      </c>
      <c r="I785">
        <f>Table1[[#This Row],[Qty]]*Table1[[#This Row],[CostPrice]]</f>
        <v>31000</v>
      </c>
      <c r="J785">
        <v>28797</v>
      </c>
      <c r="K785">
        <v>202.99999999999997</v>
      </c>
      <c r="L785" t="s">
        <v>8</v>
      </c>
      <c r="M785" t="s">
        <v>30</v>
      </c>
      <c r="N785">
        <f>MONTH(Table1[[#This Row],[SaleDate]])</f>
        <v>4</v>
      </c>
      <c r="O785" t="str">
        <f>TEXT(Table1[[#This Row],[SaleDate]],"MMM")</f>
        <v>Apr</v>
      </c>
    </row>
    <row r="786" spans="1:15">
      <c r="A786" s="1">
        <v>45024</v>
      </c>
      <c r="B786" t="s">
        <v>23</v>
      </c>
      <c r="C786" t="s">
        <v>19</v>
      </c>
      <c r="D786">
        <v>1</v>
      </c>
      <c r="E786" t="s">
        <v>10</v>
      </c>
      <c r="F786">
        <v>89000</v>
      </c>
      <c r="G786">
        <v>65000</v>
      </c>
      <c r="H786">
        <f>Table1[[#This Row],[Qty]]*Table1[[#This Row],[SellingPrice]]</f>
        <v>89000</v>
      </c>
      <c r="I786">
        <f>Table1[[#This Row],[Qty]]*Table1[[#This Row],[CostPrice]]</f>
        <v>65000</v>
      </c>
      <c r="J786">
        <v>23832</v>
      </c>
      <c r="K786">
        <v>167.99999999999997</v>
      </c>
      <c r="L786" t="s">
        <v>8</v>
      </c>
      <c r="M786" t="s">
        <v>30</v>
      </c>
      <c r="N786">
        <f>MONTH(Table1[[#This Row],[SaleDate]])</f>
        <v>4</v>
      </c>
      <c r="O786" t="str">
        <f>TEXT(Table1[[#This Row],[SaleDate]],"MMM")</f>
        <v>Apr</v>
      </c>
    </row>
    <row r="787" spans="1:15">
      <c r="A787" s="1">
        <v>45024</v>
      </c>
      <c r="B787" t="s">
        <v>26</v>
      </c>
      <c r="C787" t="s">
        <v>20</v>
      </c>
      <c r="D787">
        <v>1</v>
      </c>
      <c r="E787" t="s">
        <v>7</v>
      </c>
      <c r="F787">
        <v>33000</v>
      </c>
      <c r="G787">
        <v>18000</v>
      </c>
      <c r="H787">
        <f>Table1[[#This Row],[Qty]]*Table1[[#This Row],[SellingPrice]]</f>
        <v>33000</v>
      </c>
      <c r="I787">
        <f>Table1[[#This Row],[Qty]]*Table1[[#This Row],[CostPrice]]</f>
        <v>18000</v>
      </c>
      <c r="J787">
        <v>14895</v>
      </c>
      <c r="K787">
        <v>104.99999999999999</v>
      </c>
      <c r="L787" t="s">
        <v>11</v>
      </c>
      <c r="M787" t="s">
        <v>27</v>
      </c>
      <c r="N787">
        <f>MONTH(Table1[[#This Row],[SaleDate]])</f>
        <v>4</v>
      </c>
      <c r="O787" t="str">
        <f>TEXT(Table1[[#This Row],[SaleDate]],"MMM")</f>
        <v>Apr</v>
      </c>
    </row>
    <row r="788" spans="1:15">
      <c r="A788" s="1">
        <v>45024</v>
      </c>
      <c r="B788" t="s">
        <v>24</v>
      </c>
      <c r="C788" t="s">
        <v>22</v>
      </c>
      <c r="D788">
        <v>1</v>
      </c>
      <c r="E788" t="s">
        <v>7</v>
      </c>
      <c r="F788">
        <v>33000</v>
      </c>
      <c r="G788">
        <v>18000</v>
      </c>
      <c r="H788">
        <f>Table1[[#This Row],[Qty]]*Table1[[#This Row],[SellingPrice]]</f>
        <v>33000</v>
      </c>
      <c r="I788">
        <f>Table1[[#This Row],[Qty]]*Table1[[#This Row],[CostPrice]]</f>
        <v>18000</v>
      </c>
      <c r="J788">
        <v>14895</v>
      </c>
      <c r="K788">
        <v>104.99999999999999</v>
      </c>
      <c r="L788" t="s">
        <v>12</v>
      </c>
      <c r="M788" t="s">
        <v>30</v>
      </c>
      <c r="N788">
        <f>MONTH(Table1[[#This Row],[SaleDate]])</f>
        <v>4</v>
      </c>
      <c r="O788" t="str">
        <f>TEXT(Table1[[#This Row],[SaleDate]],"MMM")</f>
        <v>Apr</v>
      </c>
    </row>
    <row r="789" spans="1:15">
      <c r="A789" s="1">
        <v>45024</v>
      </c>
      <c r="B789" t="s">
        <v>24</v>
      </c>
      <c r="C789" t="s">
        <v>22</v>
      </c>
      <c r="D789">
        <v>1</v>
      </c>
      <c r="E789" t="s">
        <v>9</v>
      </c>
      <c r="F789">
        <v>60000</v>
      </c>
      <c r="G789">
        <v>31000</v>
      </c>
      <c r="H789">
        <f>Table1[[#This Row],[Qty]]*Table1[[#This Row],[SellingPrice]]</f>
        <v>60000</v>
      </c>
      <c r="I789">
        <f>Table1[[#This Row],[Qty]]*Table1[[#This Row],[CostPrice]]</f>
        <v>31000</v>
      </c>
      <c r="J789">
        <v>28797</v>
      </c>
      <c r="K789">
        <v>202.99999999999997</v>
      </c>
      <c r="L789" t="s">
        <v>12</v>
      </c>
      <c r="M789" t="s">
        <v>29</v>
      </c>
      <c r="N789">
        <f>MONTH(Table1[[#This Row],[SaleDate]])</f>
        <v>4</v>
      </c>
      <c r="O789" t="str">
        <f>TEXT(Table1[[#This Row],[SaleDate]],"MMM")</f>
        <v>Apr</v>
      </c>
    </row>
    <row r="790" spans="1:15">
      <c r="A790" s="1">
        <v>45024</v>
      </c>
      <c r="B790" t="s">
        <v>25</v>
      </c>
      <c r="C790" t="s">
        <v>21</v>
      </c>
      <c r="D790">
        <v>1</v>
      </c>
      <c r="E790" t="s">
        <v>7</v>
      </c>
      <c r="F790">
        <v>33000</v>
      </c>
      <c r="G790">
        <v>18000</v>
      </c>
      <c r="H790">
        <f>Table1[[#This Row],[Qty]]*Table1[[#This Row],[SellingPrice]]</f>
        <v>33000</v>
      </c>
      <c r="I790">
        <f>Table1[[#This Row],[Qty]]*Table1[[#This Row],[CostPrice]]</f>
        <v>18000</v>
      </c>
      <c r="J790">
        <v>14895</v>
      </c>
      <c r="K790">
        <v>104.99999999999999</v>
      </c>
      <c r="L790" t="s">
        <v>13</v>
      </c>
      <c r="M790" t="s">
        <v>29</v>
      </c>
      <c r="N790">
        <f>MONTH(Table1[[#This Row],[SaleDate]])</f>
        <v>4</v>
      </c>
      <c r="O790" t="str">
        <f>TEXT(Table1[[#This Row],[SaleDate]],"MMM")</f>
        <v>Apr</v>
      </c>
    </row>
    <row r="791" spans="1:15">
      <c r="A791" s="1">
        <v>45024</v>
      </c>
      <c r="B791" t="s">
        <v>25</v>
      </c>
      <c r="C791" t="s">
        <v>21</v>
      </c>
      <c r="D791">
        <v>1</v>
      </c>
      <c r="E791" t="s">
        <v>9</v>
      </c>
      <c r="F791">
        <v>60000</v>
      </c>
      <c r="G791">
        <v>31000</v>
      </c>
      <c r="H791">
        <f>Table1[[#This Row],[Qty]]*Table1[[#This Row],[SellingPrice]]</f>
        <v>60000</v>
      </c>
      <c r="I791">
        <f>Table1[[#This Row],[Qty]]*Table1[[#This Row],[CostPrice]]</f>
        <v>31000</v>
      </c>
      <c r="J791">
        <v>28797</v>
      </c>
      <c r="K791">
        <v>202.99999999999997</v>
      </c>
      <c r="L791" t="s">
        <v>13</v>
      </c>
      <c r="M791" t="s">
        <v>28</v>
      </c>
      <c r="N791">
        <f>MONTH(Table1[[#This Row],[SaleDate]])</f>
        <v>4</v>
      </c>
      <c r="O791" t="str">
        <f>TEXT(Table1[[#This Row],[SaleDate]],"MMM")</f>
        <v>Apr</v>
      </c>
    </row>
    <row r="792" spans="1:15">
      <c r="A792" s="1">
        <v>45024</v>
      </c>
      <c r="B792" t="s">
        <v>25</v>
      </c>
      <c r="C792" t="s">
        <v>21</v>
      </c>
      <c r="D792">
        <v>1</v>
      </c>
      <c r="E792" t="s">
        <v>10</v>
      </c>
      <c r="F792">
        <v>89000</v>
      </c>
      <c r="G792">
        <v>65000</v>
      </c>
      <c r="H792">
        <f>Table1[[#This Row],[Qty]]*Table1[[#This Row],[SellingPrice]]</f>
        <v>89000</v>
      </c>
      <c r="I792">
        <f>Table1[[#This Row],[Qty]]*Table1[[#This Row],[CostPrice]]</f>
        <v>65000</v>
      </c>
      <c r="J792">
        <v>23832</v>
      </c>
      <c r="K792">
        <v>167.99999999999997</v>
      </c>
      <c r="L792" t="s">
        <v>13</v>
      </c>
      <c r="M792" t="s">
        <v>27</v>
      </c>
      <c r="N792">
        <f>MONTH(Table1[[#This Row],[SaleDate]])</f>
        <v>4</v>
      </c>
      <c r="O792" t="str">
        <f>TEXT(Table1[[#This Row],[SaleDate]],"MMM")</f>
        <v>Apr</v>
      </c>
    </row>
    <row r="793" spans="1:15">
      <c r="A793" s="1">
        <v>45025</v>
      </c>
      <c r="B793" t="s">
        <v>23</v>
      </c>
      <c r="C793" t="s">
        <v>19</v>
      </c>
      <c r="D793">
        <v>2</v>
      </c>
      <c r="E793" t="s">
        <v>7</v>
      </c>
      <c r="F793">
        <v>33000</v>
      </c>
      <c r="G793">
        <v>18000</v>
      </c>
      <c r="H793">
        <f>Table1[[#This Row],[Qty]]*Table1[[#This Row],[SellingPrice]]</f>
        <v>66000</v>
      </c>
      <c r="I793">
        <f>Table1[[#This Row],[Qty]]*Table1[[#This Row],[CostPrice]]</f>
        <v>36000</v>
      </c>
      <c r="J793">
        <v>29790</v>
      </c>
      <c r="K793">
        <v>209.99999999999997</v>
      </c>
      <c r="L793" t="s">
        <v>8</v>
      </c>
      <c r="M793" t="s">
        <v>27</v>
      </c>
      <c r="N793">
        <f>MONTH(Table1[[#This Row],[SaleDate]])</f>
        <v>4</v>
      </c>
      <c r="O793" t="str">
        <f>TEXT(Table1[[#This Row],[SaleDate]],"MMM")</f>
        <v>Apr</v>
      </c>
    </row>
    <row r="794" spans="1:15">
      <c r="A794" s="1">
        <v>45025</v>
      </c>
      <c r="B794" t="s">
        <v>23</v>
      </c>
      <c r="C794" t="s">
        <v>19</v>
      </c>
      <c r="D794">
        <v>2</v>
      </c>
      <c r="E794" t="s">
        <v>9</v>
      </c>
      <c r="F794">
        <v>60000</v>
      </c>
      <c r="G794">
        <v>31000</v>
      </c>
      <c r="H794">
        <f>Table1[[#This Row],[Qty]]*Table1[[#This Row],[SellingPrice]]</f>
        <v>120000</v>
      </c>
      <c r="I794">
        <f>Table1[[#This Row],[Qty]]*Table1[[#This Row],[CostPrice]]</f>
        <v>62000</v>
      </c>
      <c r="J794">
        <v>57594</v>
      </c>
      <c r="K794">
        <v>405.99999999999994</v>
      </c>
      <c r="L794" t="s">
        <v>8</v>
      </c>
      <c r="M794" t="s">
        <v>30</v>
      </c>
      <c r="N794">
        <f>MONTH(Table1[[#This Row],[SaleDate]])</f>
        <v>4</v>
      </c>
      <c r="O794" t="str">
        <f>TEXT(Table1[[#This Row],[SaleDate]],"MMM")</f>
        <v>Apr</v>
      </c>
    </row>
    <row r="795" spans="1:15">
      <c r="A795" s="1">
        <v>45025</v>
      </c>
      <c r="B795" t="s">
        <v>23</v>
      </c>
      <c r="C795" t="s">
        <v>19</v>
      </c>
      <c r="D795">
        <v>2</v>
      </c>
      <c r="E795" t="s">
        <v>10</v>
      </c>
      <c r="F795">
        <v>89000</v>
      </c>
      <c r="G795">
        <v>65000</v>
      </c>
      <c r="H795">
        <f>Table1[[#This Row],[Qty]]*Table1[[#This Row],[SellingPrice]]</f>
        <v>178000</v>
      </c>
      <c r="I795">
        <f>Table1[[#This Row],[Qty]]*Table1[[#This Row],[CostPrice]]</f>
        <v>130000</v>
      </c>
      <c r="J795">
        <v>47664</v>
      </c>
      <c r="K795">
        <v>335.99999999999994</v>
      </c>
      <c r="L795" t="s">
        <v>8</v>
      </c>
      <c r="M795" t="s">
        <v>30</v>
      </c>
      <c r="N795">
        <f>MONTH(Table1[[#This Row],[SaleDate]])</f>
        <v>4</v>
      </c>
      <c r="O795" t="str">
        <f>TEXT(Table1[[#This Row],[SaleDate]],"MMM")</f>
        <v>Apr</v>
      </c>
    </row>
    <row r="796" spans="1:15">
      <c r="A796" s="1">
        <v>45025</v>
      </c>
      <c r="B796" t="s">
        <v>26</v>
      </c>
      <c r="C796" t="s">
        <v>20</v>
      </c>
      <c r="D796">
        <v>2</v>
      </c>
      <c r="E796" t="s">
        <v>7</v>
      </c>
      <c r="F796">
        <v>33000</v>
      </c>
      <c r="G796">
        <v>18000</v>
      </c>
      <c r="H796">
        <f>Table1[[#This Row],[Qty]]*Table1[[#This Row],[SellingPrice]]</f>
        <v>66000</v>
      </c>
      <c r="I796">
        <f>Table1[[#This Row],[Qty]]*Table1[[#This Row],[CostPrice]]</f>
        <v>36000</v>
      </c>
      <c r="J796">
        <v>29790</v>
      </c>
      <c r="K796">
        <v>209.99999999999997</v>
      </c>
      <c r="L796" t="s">
        <v>11</v>
      </c>
      <c r="M796" t="s">
        <v>27</v>
      </c>
      <c r="N796">
        <f>MONTH(Table1[[#This Row],[SaleDate]])</f>
        <v>4</v>
      </c>
      <c r="O796" t="str">
        <f>TEXT(Table1[[#This Row],[SaleDate]],"MMM")</f>
        <v>Apr</v>
      </c>
    </row>
    <row r="797" spans="1:15">
      <c r="A797" s="1">
        <v>45025</v>
      </c>
      <c r="B797" t="s">
        <v>24</v>
      </c>
      <c r="C797" t="s">
        <v>22</v>
      </c>
      <c r="D797">
        <v>2</v>
      </c>
      <c r="E797" t="s">
        <v>7</v>
      </c>
      <c r="F797">
        <v>33000</v>
      </c>
      <c r="G797">
        <v>18000</v>
      </c>
      <c r="H797">
        <f>Table1[[#This Row],[Qty]]*Table1[[#This Row],[SellingPrice]]</f>
        <v>66000</v>
      </c>
      <c r="I797">
        <f>Table1[[#This Row],[Qty]]*Table1[[#This Row],[CostPrice]]</f>
        <v>36000</v>
      </c>
      <c r="J797">
        <v>29790</v>
      </c>
      <c r="K797">
        <v>209.99999999999997</v>
      </c>
      <c r="L797" t="s">
        <v>12</v>
      </c>
      <c r="M797" t="s">
        <v>30</v>
      </c>
      <c r="N797">
        <f>MONTH(Table1[[#This Row],[SaleDate]])</f>
        <v>4</v>
      </c>
      <c r="O797" t="str">
        <f>TEXT(Table1[[#This Row],[SaleDate]],"MMM")</f>
        <v>Apr</v>
      </c>
    </row>
    <row r="798" spans="1:15">
      <c r="A798" s="1">
        <v>45025</v>
      </c>
      <c r="B798" t="s">
        <v>24</v>
      </c>
      <c r="C798" t="s">
        <v>22</v>
      </c>
      <c r="D798">
        <v>2</v>
      </c>
      <c r="E798" t="s">
        <v>9</v>
      </c>
      <c r="F798">
        <v>60000</v>
      </c>
      <c r="G798">
        <v>31000</v>
      </c>
      <c r="H798">
        <f>Table1[[#This Row],[Qty]]*Table1[[#This Row],[SellingPrice]]</f>
        <v>120000</v>
      </c>
      <c r="I798">
        <f>Table1[[#This Row],[Qty]]*Table1[[#This Row],[CostPrice]]</f>
        <v>62000</v>
      </c>
      <c r="J798">
        <v>57594</v>
      </c>
      <c r="K798">
        <v>405.99999999999994</v>
      </c>
      <c r="L798" t="s">
        <v>12</v>
      </c>
      <c r="M798" t="s">
        <v>30</v>
      </c>
      <c r="N798">
        <f>MONTH(Table1[[#This Row],[SaleDate]])</f>
        <v>4</v>
      </c>
      <c r="O798" t="str">
        <f>TEXT(Table1[[#This Row],[SaleDate]],"MMM")</f>
        <v>Apr</v>
      </c>
    </row>
    <row r="799" spans="1:15">
      <c r="A799" s="1">
        <v>45025</v>
      </c>
      <c r="B799" t="s">
        <v>25</v>
      </c>
      <c r="C799" t="s">
        <v>21</v>
      </c>
      <c r="D799">
        <v>2</v>
      </c>
      <c r="E799" t="s">
        <v>7</v>
      </c>
      <c r="F799">
        <v>33000</v>
      </c>
      <c r="G799">
        <v>18000</v>
      </c>
      <c r="H799">
        <f>Table1[[#This Row],[Qty]]*Table1[[#This Row],[SellingPrice]]</f>
        <v>66000</v>
      </c>
      <c r="I799">
        <f>Table1[[#This Row],[Qty]]*Table1[[#This Row],[CostPrice]]</f>
        <v>36000</v>
      </c>
      <c r="J799">
        <v>29790</v>
      </c>
      <c r="K799">
        <v>209.99999999999997</v>
      </c>
      <c r="L799" t="s">
        <v>13</v>
      </c>
      <c r="M799" t="s">
        <v>30</v>
      </c>
      <c r="N799">
        <f>MONTH(Table1[[#This Row],[SaleDate]])</f>
        <v>4</v>
      </c>
      <c r="O799" t="str">
        <f>TEXT(Table1[[#This Row],[SaleDate]],"MMM")</f>
        <v>Apr</v>
      </c>
    </row>
    <row r="800" spans="1:15">
      <c r="A800" s="1">
        <v>45025</v>
      </c>
      <c r="B800" t="s">
        <v>25</v>
      </c>
      <c r="C800" t="s">
        <v>21</v>
      </c>
      <c r="D800">
        <v>2</v>
      </c>
      <c r="E800" t="s">
        <v>9</v>
      </c>
      <c r="F800">
        <v>60000</v>
      </c>
      <c r="G800">
        <v>31000</v>
      </c>
      <c r="H800">
        <f>Table1[[#This Row],[Qty]]*Table1[[#This Row],[SellingPrice]]</f>
        <v>120000</v>
      </c>
      <c r="I800">
        <f>Table1[[#This Row],[Qty]]*Table1[[#This Row],[CostPrice]]</f>
        <v>62000</v>
      </c>
      <c r="J800">
        <v>57594</v>
      </c>
      <c r="K800">
        <v>405.99999999999994</v>
      </c>
      <c r="L800" t="s">
        <v>13</v>
      </c>
      <c r="M800" t="s">
        <v>29</v>
      </c>
      <c r="N800">
        <f>MONTH(Table1[[#This Row],[SaleDate]])</f>
        <v>4</v>
      </c>
      <c r="O800" t="str">
        <f>TEXT(Table1[[#This Row],[SaleDate]],"MMM")</f>
        <v>Apr</v>
      </c>
    </row>
    <row r="801" spans="1:15">
      <c r="A801" s="1">
        <v>45025</v>
      </c>
      <c r="B801" t="s">
        <v>25</v>
      </c>
      <c r="C801" t="s">
        <v>21</v>
      </c>
      <c r="D801">
        <v>2</v>
      </c>
      <c r="E801" t="s">
        <v>10</v>
      </c>
      <c r="F801">
        <v>89000</v>
      </c>
      <c r="G801">
        <v>65000</v>
      </c>
      <c r="H801">
        <f>Table1[[#This Row],[Qty]]*Table1[[#This Row],[SellingPrice]]</f>
        <v>178000</v>
      </c>
      <c r="I801">
        <f>Table1[[#This Row],[Qty]]*Table1[[#This Row],[CostPrice]]</f>
        <v>130000</v>
      </c>
      <c r="J801">
        <v>47664</v>
      </c>
      <c r="K801">
        <v>335.99999999999994</v>
      </c>
      <c r="L801" t="s">
        <v>13</v>
      </c>
      <c r="M801" t="s">
        <v>29</v>
      </c>
      <c r="N801">
        <f>MONTH(Table1[[#This Row],[SaleDate]])</f>
        <v>4</v>
      </c>
      <c r="O801" t="str">
        <f>TEXT(Table1[[#This Row],[SaleDate]],"MMM")</f>
        <v>Apr</v>
      </c>
    </row>
    <row r="802" spans="1:15">
      <c r="A802" s="1">
        <v>45026</v>
      </c>
      <c r="B802" t="s">
        <v>23</v>
      </c>
      <c r="C802" t="s">
        <v>19</v>
      </c>
      <c r="D802">
        <v>1</v>
      </c>
      <c r="E802" t="s">
        <v>7</v>
      </c>
      <c r="F802">
        <v>33000</v>
      </c>
      <c r="G802">
        <v>18000</v>
      </c>
      <c r="H802">
        <f>Table1[[#This Row],[Qty]]*Table1[[#This Row],[SellingPrice]]</f>
        <v>33000</v>
      </c>
      <c r="I802">
        <f>Table1[[#This Row],[Qty]]*Table1[[#This Row],[CostPrice]]</f>
        <v>18000</v>
      </c>
      <c r="J802">
        <v>14895</v>
      </c>
      <c r="K802">
        <v>104.99999999999999</v>
      </c>
      <c r="L802" t="s">
        <v>8</v>
      </c>
      <c r="M802" t="s">
        <v>29</v>
      </c>
      <c r="N802">
        <f>MONTH(Table1[[#This Row],[SaleDate]])</f>
        <v>4</v>
      </c>
      <c r="O802" t="str">
        <f>TEXT(Table1[[#This Row],[SaleDate]],"MMM")</f>
        <v>Apr</v>
      </c>
    </row>
    <row r="803" spans="1:15">
      <c r="A803" s="1">
        <v>45026</v>
      </c>
      <c r="B803" t="s">
        <v>23</v>
      </c>
      <c r="C803" t="s">
        <v>19</v>
      </c>
      <c r="D803">
        <v>1</v>
      </c>
      <c r="E803" t="s">
        <v>9</v>
      </c>
      <c r="F803">
        <v>60000</v>
      </c>
      <c r="G803">
        <v>31000</v>
      </c>
      <c r="H803">
        <f>Table1[[#This Row],[Qty]]*Table1[[#This Row],[SellingPrice]]</f>
        <v>60000</v>
      </c>
      <c r="I803">
        <f>Table1[[#This Row],[Qty]]*Table1[[#This Row],[CostPrice]]</f>
        <v>31000</v>
      </c>
      <c r="J803">
        <v>28797</v>
      </c>
      <c r="K803">
        <v>202.99999999999997</v>
      </c>
      <c r="L803" t="s">
        <v>8</v>
      </c>
      <c r="M803" t="s">
        <v>28</v>
      </c>
      <c r="N803">
        <f>MONTH(Table1[[#This Row],[SaleDate]])</f>
        <v>4</v>
      </c>
      <c r="O803" t="str">
        <f>TEXT(Table1[[#This Row],[SaleDate]],"MMM")</f>
        <v>Apr</v>
      </c>
    </row>
    <row r="804" spans="1:15">
      <c r="A804" s="1">
        <v>45026</v>
      </c>
      <c r="B804" t="s">
        <v>23</v>
      </c>
      <c r="C804" t="s">
        <v>19</v>
      </c>
      <c r="D804">
        <v>1</v>
      </c>
      <c r="E804" t="s">
        <v>10</v>
      </c>
      <c r="F804">
        <v>89000</v>
      </c>
      <c r="G804">
        <v>65000</v>
      </c>
      <c r="H804">
        <f>Table1[[#This Row],[Qty]]*Table1[[#This Row],[SellingPrice]]</f>
        <v>89000</v>
      </c>
      <c r="I804">
        <f>Table1[[#This Row],[Qty]]*Table1[[#This Row],[CostPrice]]</f>
        <v>65000</v>
      </c>
      <c r="J804">
        <v>23832</v>
      </c>
      <c r="K804">
        <v>167.99999999999997</v>
      </c>
      <c r="L804" t="s">
        <v>8</v>
      </c>
      <c r="M804" t="s">
        <v>27</v>
      </c>
      <c r="N804">
        <f>MONTH(Table1[[#This Row],[SaleDate]])</f>
        <v>4</v>
      </c>
      <c r="O804" t="str">
        <f>TEXT(Table1[[#This Row],[SaleDate]],"MMM")</f>
        <v>Apr</v>
      </c>
    </row>
    <row r="805" spans="1:15">
      <c r="A805" s="1">
        <v>45026</v>
      </c>
      <c r="B805" t="s">
        <v>26</v>
      </c>
      <c r="C805" t="s">
        <v>20</v>
      </c>
      <c r="D805">
        <v>1</v>
      </c>
      <c r="E805" t="s">
        <v>7</v>
      </c>
      <c r="F805">
        <v>33000</v>
      </c>
      <c r="G805">
        <v>18000</v>
      </c>
      <c r="H805">
        <f>Table1[[#This Row],[Qty]]*Table1[[#This Row],[SellingPrice]]</f>
        <v>33000</v>
      </c>
      <c r="I805">
        <f>Table1[[#This Row],[Qty]]*Table1[[#This Row],[CostPrice]]</f>
        <v>18000</v>
      </c>
      <c r="J805">
        <v>14895</v>
      </c>
      <c r="K805">
        <v>104.99999999999999</v>
      </c>
      <c r="L805" t="s">
        <v>11</v>
      </c>
      <c r="M805" t="s">
        <v>29</v>
      </c>
      <c r="N805">
        <f>MONTH(Table1[[#This Row],[SaleDate]])</f>
        <v>4</v>
      </c>
      <c r="O805" t="str">
        <f>TEXT(Table1[[#This Row],[SaleDate]],"MMM")</f>
        <v>Apr</v>
      </c>
    </row>
    <row r="806" spans="1:15">
      <c r="A806" s="1">
        <v>45026</v>
      </c>
      <c r="B806" t="s">
        <v>24</v>
      </c>
      <c r="C806" t="s">
        <v>22</v>
      </c>
      <c r="D806">
        <v>1</v>
      </c>
      <c r="E806" t="s">
        <v>7</v>
      </c>
      <c r="F806">
        <v>33000</v>
      </c>
      <c r="G806">
        <v>18000</v>
      </c>
      <c r="H806">
        <f>Table1[[#This Row],[Qty]]*Table1[[#This Row],[SellingPrice]]</f>
        <v>33000</v>
      </c>
      <c r="I806">
        <f>Table1[[#This Row],[Qty]]*Table1[[#This Row],[CostPrice]]</f>
        <v>18000</v>
      </c>
      <c r="J806">
        <v>14895</v>
      </c>
      <c r="K806">
        <v>104.99999999999999</v>
      </c>
      <c r="L806" t="s">
        <v>12</v>
      </c>
      <c r="M806" t="s">
        <v>28</v>
      </c>
      <c r="N806">
        <f>MONTH(Table1[[#This Row],[SaleDate]])</f>
        <v>4</v>
      </c>
      <c r="O806" t="str">
        <f>TEXT(Table1[[#This Row],[SaleDate]],"MMM")</f>
        <v>Apr</v>
      </c>
    </row>
    <row r="807" spans="1:15">
      <c r="A807" s="1">
        <v>45026</v>
      </c>
      <c r="B807" t="s">
        <v>24</v>
      </c>
      <c r="C807" t="s">
        <v>22</v>
      </c>
      <c r="D807">
        <v>1</v>
      </c>
      <c r="E807" t="s">
        <v>9</v>
      </c>
      <c r="F807">
        <v>60000</v>
      </c>
      <c r="G807">
        <v>31000</v>
      </c>
      <c r="H807">
        <f>Table1[[#This Row],[Qty]]*Table1[[#This Row],[SellingPrice]]</f>
        <v>60000</v>
      </c>
      <c r="I807">
        <f>Table1[[#This Row],[Qty]]*Table1[[#This Row],[CostPrice]]</f>
        <v>31000</v>
      </c>
      <c r="J807">
        <v>28797</v>
      </c>
      <c r="K807">
        <v>202.99999999999997</v>
      </c>
      <c r="L807" t="s">
        <v>12</v>
      </c>
      <c r="M807" t="s">
        <v>30</v>
      </c>
      <c r="N807">
        <f>MONTH(Table1[[#This Row],[SaleDate]])</f>
        <v>4</v>
      </c>
      <c r="O807" t="str">
        <f>TEXT(Table1[[#This Row],[SaleDate]],"MMM")</f>
        <v>Apr</v>
      </c>
    </row>
    <row r="808" spans="1:15">
      <c r="A808" s="1">
        <v>45026</v>
      </c>
      <c r="B808" t="s">
        <v>25</v>
      </c>
      <c r="C808" t="s">
        <v>21</v>
      </c>
      <c r="D808">
        <v>1</v>
      </c>
      <c r="E808" t="s">
        <v>7</v>
      </c>
      <c r="F808">
        <v>33000</v>
      </c>
      <c r="G808">
        <v>18000</v>
      </c>
      <c r="H808">
        <f>Table1[[#This Row],[Qty]]*Table1[[#This Row],[SellingPrice]]</f>
        <v>33000</v>
      </c>
      <c r="I808">
        <f>Table1[[#This Row],[Qty]]*Table1[[#This Row],[CostPrice]]</f>
        <v>18000</v>
      </c>
      <c r="J808">
        <v>14895</v>
      </c>
      <c r="K808">
        <v>104.99999999999999</v>
      </c>
      <c r="L808" t="s">
        <v>13</v>
      </c>
      <c r="M808" t="s">
        <v>29</v>
      </c>
      <c r="N808">
        <f>MONTH(Table1[[#This Row],[SaleDate]])</f>
        <v>4</v>
      </c>
      <c r="O808" t="str">
        <f>TEXT(Table1[[#This Row],[SaleDate]],"MMM")</f>
        <v>Apr</v>
      </c>
    </row>
    <row r="809" spans="1:15">
      <c r="A809" s="1">
        <v>45026</v>
      </c>
      <c r="B809" t="s">
        <v>25</v>
      </c>
      <c r="C809" t="s">
        <v>21</v>
      </c>
      <c r="D809">
        <v>1</v>
      </c>
      <c r="E809" t="s">
        <v>9</v>
      </c>
      <c r="F809">
        <v>60000</v>
      </c>
      <c r="G809">
        <v>31000</v>
      </c>
      <c r="H809">
        <f>Table1[[#This Row],[Qty]]*Table1[[#This Row],[SellingPrice]]</f>
        <v>60000</v>
      </c>
      <c r="I809">
        <f>Table1[[#This Row],[Qty]]*Table1[[#This Row],[CostPrice]]</f>
        <v>31000</v>
      </c>
      <c r="J809">
        <v>28797</v>
      </c>
      <c r="K809">
        <v>202.99999999999997</v>
      </c>
      <c r="L809" t="s">
        <v>13</v>
      </c>
      <c r="M809" t="s">
        <v>29</v>
      </c>
      <c r="N809">
        <f>MONTH(Table1[[#This Row],[SaleDate]])</f>
        <v>4</v>
      </c>
      <c r="O809" t="str">
        <f>TEXT(Table1[[#This Row],[SaleDate]],"MMM")</f>
        <v>Apr</v>
      </c>
    </row>
    <row r="810" spans="1:15">
      <c r="A810" s="1">
        <v>45026</v>
      </c>
      <c r="B810" t="s">
        <v>25</v>
      </c>
      <c r="C810" t="s">
        <v>21</v>
      </c>
      <c r="D810">
        <v>1</v>
      </c>
      <c r="E810" t="s">
        <v>10</v>
      </c>
      <c r="F810">
        <v>89000</v>
      </c>
      <c r="G810">
        <v>65000</v>
      </c>
      <c r="H810">
        <f>Table1[[#This Row],[Qty]]*Table1[[#This Row],[SellingPrice]]</f>
        <v>89000</v>
      </c>
      <c r="I810">
        <f>Table1[[#This Row],[Qty]]*Table1[[#This Row],[CostPrice]]</f>
        <v>65000</v>
      </c>
      <c r="J810">
        <v>23832</v>
      </c>
      <c r="K810">
        <v>167.99999999999997</v>
      </c>
      <c r="L810" t="s">
        <v>13</v>
      </c>
      <c r="M810" t="s">
        <v>27</v>
      </c>
      <c r="N810">
        <f>MONTH(Table1[[#This Row],[SaleDate]])</f>
        <v>4</v>
      </c>
      <c r="O810" t="str">
        <f>TEXT(Table1[[#This Row],[SaleDate]],"MMM")</f>
        <v>Apr</v>
      </c>
    </row>
    <row r="811" spans="1:15">
      <c r="A811" s="1">
        <v>45027</v>
      </c>
      <c r="B811" t="s">
        <v>23</v>
      </c>
      <c r="C811" t="s">
        <v>19</v>
      </c>
      <c r="D811">
        <v>1</v>
      </c>
      <c r="E811" t="s">
        <v>7</v>
      </c>
      <c r="F811">
        <v>33000</v>
      </c>
      <c r="G811">
        <v>18000</v>
      </c>
      <c r="H811">
        <f>Table1[[#This Row],[Qty]]*Table1[[#This Row],[SellingPrice]]</f>
        <v>33000</v>
      </c>
      <c r="I811">
        <f>Table1[[#This Row],[Qty]]*Table1[[#This Row],[CostPrice]]</f>
        <v>18000</v>
      </c>
      <c r="J811">
        <v>14895</v>
      </c>
      <c r="K811">
        <v>104.99999999999999</v>
      </c>
      <c r="L811" t="s">
        <v>8</v>
      </c>
      <c r="M811" t="s">
        <v>27</v>
      </c>
      <c r="N811">
        <f>MONTH(Table1[[#This Row],[SaleDate]])</f>
        <v>4</v>
      </c>
      <c r="O811" t="str">
        <f>TEXT(Table1[[#This Row],[SaleDate]],"MMM")</f>
        <v>Apr</v>
      </c>
    </row>
    <row r="812" spans="1:15">
      <c r="A812" s="1">
        <v>45027</v>
      </c>
      <c r="B812" t="s">
        <v>23</v>
      </c>
      <c r="C812" t="s">
        <v>19</v>
      </c>
      <c r="D812">
        <v>1</v>
      </c>
      <c r="E812" t="s">
        <v>9</v>
      </c>
      <c r="F812">
        <v>60000</v>
      </c>
      <c r="G812">
        <v>31000</v>
      </c>
      <c r="H812">
        <f>Table1[[#This Row],[Qty]]*Table1[[#This Row],[SellingPrice]]</f>
        <v>60000</v>
      </c>
      <c r="I812">
        <f>Table1[[#This Row],[Qty]]*Table1[[#This Row],[CostPrice]]</f>
        <v>31000</v>
      </c>
      <c r="J812">
        <v>28797</v>
      </c>
      <c r="K812">
        <v>202.99999999999997</v>
      </c>
      <c r="L812" t="s">
        <v>8</v>
      </c>
      <c r="M812" t="s">
        <v>30</v>
      </c>
      <c r="N812">
        <f>MONTH(Table1[[#This Row],[SaleDate]])</f>
        <v>4</v>
      </c>
      <c r="O812" t="str">
        <f>TEXT(Table1[[#This Row],[SaleDate]],"MMM")</f>
        <v>Apr</v>
      </c>
    </row>
    <row r="813" spans="1:15">
      <c r="A813" s="1">
        <v>45027</v>
      </c>
      <c r="B813" t="s">
        <v>23</v>
      </c>
      <c r="C813" t="s">
        <v>19</v>
      </c>
      <c r="D813">
        <v>1</v>
      </c>
      <c r="E813" t="s">
        <v>10</v>
      </c>
      <c r="F813">
        <v>89000</v>
      </c>
      <c r="G813">
        <v>65000</v>
      </c>
      <c r="H813">
        <f>Table1[[#This Row],[Qty]]*Table1[[#This Row],[SellingPrice]]</f>
        <v>89000</v>
      </c>
      <c r="I813">
        <f>Table1[[#This Row],[Qty]]*Table1[[#This Row],[CostPrice]]</f>
        <v>65000</v>
      </c>
      <c r="J813">
        <v>23832</v>
      </c>
      <c r="K813">
        <v>167.99999999999997</v>
      </c>
      <c r="L813" t="s">
        <v>8</v>
      </c>
      <c r="M813" t="s">
        <v>28</v>
      </c>
      <c r="N813">
        <f>MONTH(Table1[[#This Row],[SaleDate]])</f>
        <v>4</v>
      </c>
      <c r="O813" t="str">
        <f>TEXT(Table1[[#This Row],[SaleDate]],"MMM")</f>
        <v>Apr</v>
      </c>
    </row>
    <row r="814" spans="1:15">
      <c r="A814" s="1">
        <v>45027</v>
      </c>
      <c r="B814" t="s">
        <v>26</v>
      </c>
      <c r="C814" t="s">
        <v>20</v>
      </c>
      <c r="D814">
        <v>1</v>
      </c>
      <c r="E814" t="s">
        <v>7</v>
      </c>
      <c r="F814">
        <v>33000</v>
      </c>
      <c r="G814">
        <v>18000</v>
      </c>
      <c r="H814">
        <f>Table1[[#This Row],[Qty]]*Table1[[#This Row],[SellingPrice]]</f>
        <v>33000</v>
      </c>
      <c r="I814">
        <f>Table1[[#This Row],[Qty]]*Table1[[#This Row],[CostPrice]]</f>
        <v>18000</v>
      </c>
      <c r="J814">
        <v>14895</v>
      </c>
      <c r="K814">
        <v>104.99999999999999</v>
      </c>
      <c r="L814" t="s">
        <v>11</v>
      </c>
      <c r="M814" t="s">
        <v>30</v>
      </c>
      <c r="N814">
        <f>MONTH(Table1[[#This Row],[SaleDate]])</f>
        <v>4</v>
      </c>
      <c r="O814" t="str">
        <f>TEXT(Table1[[#This Row],[SaleDate]],"MMM")</f>
        <v>Apr</v>
      </c>
    </row>
    <row r="815" spans="1:15">
      <c r="A815" s="1">
        <v>45027</v>
      </c>
      <c r="B815" t="s">
        <v>24</v>
      </c>
      <c r="C815" t="s">
        <v>22</v>
      </c>
      <c r="D815">
        <v>1</v>
      </c>
      <c r="E815" t="s">
        <v>7</v>
      </c>
      <c r="F815">
        <v>33000</v>
      </c>
      <c r="G815">
        <v>18000</v>
      </c>
      <c r="H815">
        <f>Table1[[#This Row],[Qty]]*Table1[[#This Row],[SellingPrice]]</f>
        <v>33000</v>
      </c>
      <c r="I815">
        <f>Table1[[#This Row],[Qty]]*Table1[[#This Row],[CostPrice]]</f>
        <v>18000</v>
      </c>
      <c r="J815">
        <v>14895</v>
      </c>
      <c r="K815">
        <v>104.99999999999999</v>
      </c>
      <c r="L815" t="s">
        <v>12</v>
      </c>
      <c r="M815" t="s">
        <v>30</v>
      </c>
      <c r="N815">
        <f>MONTH(Table1[[#This Row],[SaleDate]])</f>
        <v>4</v>
      </c>
      <c r="O815" t="str">
        <f>TEXT(Table1[[#This Row],[SaleDate]],"MMM")</f>
        <v>Apr</v>
      </c>
    </row>
    <row r="816" spans="1:15">
      <c r="A816" s="1">
        <v>45027</v>
      </c>
      <c r="B816" t="s">
        <v>24</v>
      </c>
      <c r="C816" t="s">
        <v>22</v>
      </c>
      <c r="D816">
        <v>1</v>
      </c>
      <c r="E816" t="s">
        <v>9</v>
      </c>
      <c r="F816">
        <v>60000</v>
      </c>
      <c r="G816">
        <v>31000</v>
      </c>
      <c r="H816">
        <f>Table1[[#This Row],[Qty]]*Table1[[#This Row],[SellingPrice]]</f>
        <v>60000</v>
      </c>
      <c r="I816">
        <f>Table1[[#This Row],[Qty]]*Table1[[#This Row],[CostPrice]]</f>
        <v>31000</v>
      </c>
      <c r="J816">
        <v>28797</v>
      </c>
      <c r="K816">
        <v>202.99999999999997</v>
      </c>
      <c r="L816" t="s">
        <v>12</v>
      </c>
      <c r="M816" t="s">
        <v>28</v>
      </c>
      <c r="N816">
        <f>MONTH(Table1[[#This Row],[SaleDate]])</f>
        <v>4</v>
      </c>
      <c r="O816" t="str">
        <f>TEXT(Table1[[#This Row],[SaleDate]],"MMM")</f>
        <v>Apr</v>
      </c>
    </row>
    <row r="817" spans="1:15">
      <c r="A817" s="1">
        <v>45027</v>
      </c>
      <c r="B817" t="s">
        <v>25</v>
      </c>
      <c r="C817" t="s">
        <v>21</v>
      </c>
      <c r="D817">
        <v>1</v>
      </c>
      <c r="E817" t="s">
        <v>7</v>
      </c>
      <c r="F817">
        <v>33000</v>
      </c>
      <c r="G817">
        <v>18000</v>
      </c>
      <c r="H817">
        <f>Table1[[#This Row],[Qty]]*Table1[[#This Row],[SellingPrice]]</f>
        <v>33000</v>
      </c>
      <c r="I817">
        <f>Table1[[#This Row],[Qty]]*Table1[[#This Row],[CostPrice]]</f>
        <v>18000</v>
      </c>
      <c r="J817">
        <v>14895</v>
      </c>
      <c r="K817">
        <v>104.99999999999999</v>
      </c>
      <c r="L817" t="s">
        <v>13</v>
      </c>
      <c r="M817" t="s">
        <v>30</v>
      </c>
      <c r="N817">
        <f>MONTH(Table1[[#This Row],[SaleDate]])</f>
        <v>4</v>
      </c>
      <c r="O817" t="str">
        <f>TEXT(Table1[[#This Row],[SaleDate]],"MMM")</f>
        <v>Apr</v>
      </c>
    </row>
    <row r="818" spans="1:15">
      <c r="A818" s="1">
        <v>45027</v>
      </c>
      <c r="B818" t="s">
        <v>25</v>
      </c>
      <c r="C818" t="s">
        <v>21</v>
      </c>
      <c r="D818">
        <v>1</v>
      </c>
      <c r="E818" t="s">
        <v>9</v>
      </c>
      <c r="F818">
        <v>60000</v>
      </c>
      <c r="G818">
        <v>31000</v>
      </c>
      <c r="H818">
        <f>Table1[[#This Row],[Qty]]*Table1[[#This Row],[SellingPrice]]</f>
        <v>60000</v>
      </c>
      <c r="I818">
        <f>Table1[[#This Row],[Qty]]*Table1[[#This Row],[CostPrice]]</f>
        <v>31000</v>
      </c>
      <c r="J818">
        <v>28797</v>
      </c>
      <c r="K818">
        <v>202.99999999999997</v>
      </c>
      <c r="L818" t="s">
        <v>13</v>
      </c>
      <c r="M818" t="s">
        <v>27</v>
      </c>
      <c r="N818">
        <f>MONTH(Table1[[#This Row],[SaleDate]])</f>
        <v>4</v>
      </c>
      <c r="O818" t="str">
        <f>TEXT(Table1[[#This Row],[SaleDate]],"MMM")</f>
        <v>Apr</v>
      </c>
    </row>
    <row r="819" spans="1:15">
      <c r="A819" s="1">
        <v>45027</v>
      </c>
      <c r="B819" t="s">
        <v>25</v>
      </c>
      <c r="C819" t="s">
        <v>21</v>
      </c>
      <c r="D819">
        <v>1</v>
      </c>
      <c r="E819" t="s">
        <v>10</v>
      </c>
      <c r="F819">
        <v>89000</v>
      </c>
      <c r="G819">
        <v>65000</v>
      </c>
      <c r="H819">
        <f>Table1[[#This Row],[Qty]]*Table1[[#This Row],[SellingPrice]]</f>
        <v>89000</v>
      </c>
      <c r="I819">
        <f>Table1[[#This Row],[Qty]]*Table1[[#This Row],[CostPrice]]</f>
        <v>65000</v>
      </c>
      <c r="J819">
        <v>23832</v>
      </c>
      <c r="K819">
        <v>167.99999999999997</v>
      </c>
      <c r="L819" t="s">
        <v>13</v>
      </c>
      <c r="M819" t="s">
        <v>30</v>
      </c>
      <c r="N819">
        <f>MONTH(Table1[[#This Row],[SaleDate]])</f>
        <v>4</v>
      </c>
      <c r="O819" t="str">
        <f>TEXT(Table1[[#This Row],[SaleDate]],"MMM")</f>
        <v>Apr</v>
      </c>
    </row>
    <row r="820" spans="1:15">
      <c r="A820" s="1">
        <v>45028</v>
      </c>
      <c r="B820" t="s">
        <v>23</v>
      </c>
      <c r="C820" t="s">
        <v>19</v>
      </c>
      <c r="D820">
        <v>1</v>
      </c>
      <c r="E820" t="s">
        <v>7</v>
      </c>
      <c r="F820">
        <v>33000</v>
      </c>
      <c r="G820">
        <v>18000</v>
      </c>
      <c r="H820">
        <f>Table1[[#This Row],[Qty]]*Table1[[#This Row],[SellingPrice]]</f>
        <v>33000</v>
      </c>
      <c r="I820">
        <f>Table1[[#This Row],[Qty]]*Table1[[#This Row],[CostPrice]]</f>
        <v>18000</v>
      </c>
      <c r="J820">
        <v>14895</v>
      </c>
      <c r="K820">
        <v>104.99999999999999</v>
      </c>
      <c r="L820" t="s">
        <v>8</v>
      </c>
      <c r="M820" t="s">
        <v>27</v>
      </c>
      <c r="N820">
        <f>MONTH(Table1[[#This Row],[SaleDate]])</f>
        <v>4</v>
      </c>
      <c r="O820" t="str">
        <f>TEXT(Table1[[#This Row],[SaleDate]],"MMM")</f>
        <v>Apr</v>
      </c>
    </row>
    <row r="821" spans="1:15">
      <c r="A821" s="1">
        <v>45028</v>
      </c>
      <c r="B821" t="s">
        <v>23</v>
      </c>
      <c r="C821" t="s">
        <v>19</v>
      </c>
      <c r="D821">
        <v>1</v>
      </c>
      <c r="E821" t="s">
        <v>9</v>
      </c>
      <c r="F821">
        <v>60000</v>
      </c>
      <c r="G821">
        <v>31000</v>
      </c>
      <c r="H821">
        <f>Table1[[#This Row],[Qty]]*Table1[[#This Row],[SellingPrice]]</f>
        <v>60000</v>
      </c>
      <c r="I821">
        <f>Table1[[#This Row],[Qty]]*Table1[[#This Row],[CostPrice]]</f>
        <v>31000</v>
      </c>
      <c r="J821">
        <v>28797</v>
      </c>
      <c r="K821">
        <v>202.99999999999997</v>
      </c>
      <c r="L821" t="s">
        <v>8</v>
      </c>
      <c r="M821" t="s">
        <v>30</v>
      </c>
      <c r="N821">
        <f>MONTH(Table1[[#This Row],[SaleDate]])</f>
        <v>4</v>
      </c>
      <c r="O821" t="str">
        <f>TEXT(Table1[[#This Row],[SaleDate]],"MMM")</f>
        <v>Apr</v>
      </c>
    </row>
    <row r="822" spans="1:15">
      <c r="A822" s="1">
        <v>45028</v>
      </c>
      <c r="B822" t="s">
        <v>23</v>
      </c>
      <c r="C822" t="s">
        <v>19</v>
      </c>
      <c r="D822">
        <v>1</v>
      </c>
      <c r="E822" t="s">
        <v>10</v>
      </c>
      <c r="F822">
        <v>89000</v>
      </c>
      <c r="G822">
        <v>65000</v>
      </c>
      <c r="H822">
        <f>Table1[[#This Row],[Qty]]*Table1[[#This Row],[SellingPrice]]</f>
        <v>89000</v>
      </c>
      <c r="I822">
        <f>Table1[[#This Row],[Qty]]*Table1[[#This Row],[CostPrice]]</f>
        <v>65000</v>
      </c>
      <c r="J822">
        <v>23832</v>
      </c>
      <c r="K822">
        <v>167.99999999999997</v>
      </c>
      <c r="L822" t="s">
        <v>8</v>
      </c>
      <c r="M822" t="s">
        <v>30</v>
      </c>
      <c r="N822">
        <f>MONTH(Table1[[#This Row],[SaleDate]])</f>
        <v>4</v>
      </c>
      <c r="O822" t="str">
        <f>TEXT(Table1[[#This Row],[SaleDate]],"MMM")</f>
        <v>Apr</v>
      </c>
    </row>
    <row r="823" spans="1:15">
      <c r="A823" s="1">
        <v>45028</v>
      </c>
      <c r="B823" t="s">
        <v>26</v>
      </c>
      <c r="C823" t="s">
        <v>20</v>
      </c>
      <c r="D823">
        <v>1</v>
      </c>
      <c r="E823" t="s">
        <v>7</v>
      </c>
      <c r="F823">
        <v>33000</v>
      </c>
      <c r="G823">
        <v>18000</v>
      </c>
      <c r="H823">
        <f>Table1[[#This Row],[Qty]]*Table1[[#This Row],[SellingPrice]]</f>
        <v>33000</v>
      </c>
      <c r="I823">
        <f>Table1[[#This Row],[Qty]]*Table1[[#This Row],[CostPrice]]</f>
        <v>18000</v>
      </c>
      <c r="J823">
        <v>14895</v>
      </c>
      <c r="K823">
        <v>104.99999999999999</v>
      </c>
      <c r="L823" t="s">
        <v>11</v>
      </c>
      <c r="M823" t="s">
        <v>29</v>
      </c>
      <c r="N823">
        <f>MONTH(Table1[[#This Row],[SaleDate]])</f>
        <v>4</v>
      </c>
      <c r="O823" t="str">
        <f>TEXT(Table1[[#This Row],[SaleDate]],"MMM")</f>
        <v>Apr</v>
      </c>
    </row>
    <row r="824" spans="1:15">
      <c r="A824" s="1">
        <v>45028</v>
      </c>
      <c r="B824" t="s">
        <v>24</v>
      </c>
      <c r="C824" t="s">
        <v>22</v>
      </c>
      <c r="D824">
        <v>1</v>
      </c>
      <c r="E824" t="s">
        <v>7</v>
      </c>
      <c r="F824">
        <v>33000</v>
      </c>
      <c r="G824">
        <v>18000</v>
      </c>
      <c r="H824">
        <f>Table1[[#This Row],[Qty]]*Table1[[#This Row],[SellingPrice]]</f>
        <v>33000</v>
      </c>
      <c r="I824">
        <f>Table1[[#This Row],[Qty]]*Table1[[#This Row],[CostPrice]]</f>
        <v>18000</v>
      </c>
      <c r="J824">
        <v>14895</v>
      </c>
      <c r="K824">
        <v>104.99999999999999</v>
      </c>
      <c r="L824" t="s">
        <v>12</v>
      </c>
      <c r="M824" t="s">
        <v>30</v>
      </c>
      <c r="N824">
        <f>MONTH(Table1[[#This Row],[SaleDate]])</f>
        <v>4</v>
      </c>
      <c r="O824" t="str">
        <f>TEXT(Table1[[#This Row],[SaleDate]],"MMM")</f>
        <v>Apr</v>
      </c>
    </row>
    <row r="825" spans="1:15">
      <c r="A825" s="1">
        <v>45028</v>
      </c>
      <c r="B825" t="s">
        <v>24</v>
      </c>
      <c r="C825" t="s">
        <v>22</v>
      </c>
      <c r="D825">
        <v>1</v>
      </c>
      <c r="E825" t="s">
        <v>9</v>
      </c>
      <c r="F825">
        <v>60000</v>
      </c>
      <c r="G825">
        <v>31000</v>
      </c>
      <c r="H825">
        <f>Table1[[#This Row],[Qty]]*Table1[[#This Row],[SellingPrice]]</f>
        <v>60000</v>
      </c>
      <c r="I825">
        <f>Table1[[#This Row],[Qty]]*Table1[[#This Row],[CostPrice]]</f>
        <v>31000</v>
      </c>
      <c r="J825">
        <v>28797</v>
      </c>
      <c r="K825">
        <v>202.99999999999997</v>
      </c>
      <c r="L825" t="s">
        <v>12</v>
      </c>
      <c r="M825" t="s">
        <v>29</v>
      </c>
      <c r="N825">
        <f>MONTH(Table1[[#This Row],[SaleDate]])</f>
        <v>4</v>
      </c>
      <c r="O825" t="str">
        <f>TEXT(Table1[[#This Row],[SaleDate]],"MMM")</f>
        <v>Apr</v>
      </c>
    </row>
    <row r="826" spans="1:15">
      <c r="A826" s="1">
        <v>45028</v>
      </c>
      <c r="B826" t="s">
        <v>25</v>
      </c>
      <c r="C826" t="s">
        <v>21</v>
      </c>
      <c r="D826">
        <v>1</v>
      </c>
      <c r="E826" t="s">
        <v>7</v>
      </c>
      <c r="F826">
        <v>33000</v>
      </c>
      <c r="G826">
        <v>18000</v>
      </c>
      <c r="H826">
        <f>Table1[[#This Row],[Qty]]*Table1[[#This Row],[SellingPrice]]</f>
        <v>33000</v>
      </c>
      <c r="I826">
        <f>Table1[[#This Row],[Qty]]*Table1[[#This Row],[CostPrice]]</f>
        <v>18000</v>
      </c>
      <c r="J826">
        <v>14895</v>
      </c>
      <c r="K826">
        <v>104.99999999999999</v>
      </c>
      <c r="L826" t="s">
        <v>13</v>
      </c>
      <c r="M826" t="s">
        <v>30</v>
      </c>
      <c r="N826">
        <f>MONTH(Table1[[#This Row],[SaleDate]])</f>
        <v>4</v>
      </c>
      <c r="O826" t="str">
        <f>TEXT(Table1[[#This Row],[SaleDate]],"MMM")</f>
        <v>Apr</v>
      </c>
    </row>
    <row r="827" spans="1:15">
      <c r="A827" s="1">
        <v>45028</v>
      </c>
      <c r="B827" t="s">
        <v>25</v>
      </c>
      <c r="C827" t="s">
        <v>21</v>
      </c>
      <c r="D827">
        <v>1</v>
      </c>
      <c r="E827" t="s">
        <v>9</v>
      </c>
      <c r="F827">
        <v>60000</v>
      </c>
      <c r="G827">
        <v>31000</v>
      </c>
      <c r="H827">
        <f>Table1[[#This Row],[Qty]]*Table1[[#This Row],[SellingPrice]]</f>
        <v>60000</v>
      </c>
      <c r="I827">
        <f>Table1[[#This Row],[Qty]]*Table1[[#This Row],[CostPrice]]</f>
        <v>31000</v>
      </c>
      <c r="J827">
        <v>28797</v>
      </c>
      <c r="K827">
        <v>202.99999999999997</v>
      </c>
      <c r="L827" t="s">
        <v>13</v>
      </c>
      <c r="M827" t="s">
        <v>30</v>
      </c>
      <c r="N827">
        <f>MONTH(Table1[[#This Row],[SaleDate]])</f>
        <v>4</v>
      </c>
      <c r="O827" t="str">
        <f>TEXT(Table1[[#This Row],[SaleDate]],"MMM")</f>
        <v>Apr</v>
      </c>
    </row>
    <row r="828" spans="1:15">
      <c r="A828" s="1">
        <v>45028</v>
      </c>
      <c r="B828" t="s">
        <v>25</v>
      </c>
      <c r="C828" t="s">
        <v>21</v>
      </c>
      <c r="D828">
        <v>1</v>
      </c>
      <c r="E828" t="s">
        <v>10</v>
      </c>
      <c r="F828">
        <v>89000</v>
      </c>
      <c r="G828">
        <v>65000</v>
      </c>
      <c r="H828">
        <f>Table1[[#This Row],[Qty]]*Table1[[#This Row],[SellingPrice]]</f>
        <v>89000</v>
      </c>
      <c r="I828">
        <f>Table1[[#This Row],[Qty]]*Table1[[#This Row],[CostPrice]]</f>
        <v>65000</v>
      </c>
      <c r="J828">
        <v>23832</v>
      </c>
      <c r="K828">
        <v>167.99999999999997</v>
      </c>
      <c r="L828" t="s">
        <v>13</v>
      </c>
      <c r="M828" t="s">
        <v>27</v>
      </c>
      <c r="N828">
        <f>MONTH(Table1[[#This Row],[SaleDate]])</f>
        <v>4</v>
      </c>
      <c r="O828" t="str">
        <f>TEXT(Table1[[#This Row],[SaleDate]],"MMM")</f>
        <v>Apr</v>
      </c>
    </row>
    <row r="829" spans="1:15">
      <c r="A829" s="1">
        <v>45029</v>
      </c>
      <c r="B829" t="s">
        <v>23</v>
      </c>
      <c r="C829" t="s">
        <v>19</v>
      </c>
      <c r="D829">
        <v>2</v>
      </c>
      <c r="E829" t="s">
        <v>7</v>
      </c>
      <c r="F829">
        <v>33000</v>
      </c>
      <c r="G829">
        <v>18000</v>
      </c>
      <c r="H829">
        <f>Table1[[#This Row],[Qty]]*Table1[[#This Row],[SellingPrice]]</f>
        <v>66000</v>
      </c>
      <c r="I829">
        <f>Table1[[#This Row],[Qty]]*Table1[[#This Row],[CostPrice]]</f>
        <v>36000</v>
      </c>
      <c r="J829">
        <v>29790</v>
      </c>
      <c r="K829">
        <v>209.99999999999997</v>
      </c>
      <c r="L829" t="s">
        <v>8</v>
      </c>
      <c r="M829" t="s">
        <v>30</v>
      </c>
      <c r="N829">
        <f>MONTH(Table1[[#This Row],[SaleDate]])</f>
        <v>4</v>
      </c>
      <c r="O829" t="str">
        <f>TEXT(Table1[[#This Row],[SaleDate]],"MMM")</f>
        <v>Apr</v>
      </c>
    </row>
    <row r="830" spans="1:15">
      <c r="A830" s="1">
        <v>45029</v>
      </c>
      <c r="B830" t="s">
        <v>23</v>
      </c>
      <c r="C830" t="s">
        <v>19</v>
      </c>
      <c r="D830">
        <v>2</v>
      </c>
      <c r="E830" t="s">
        <v>9</v>
      </c>
      <c r="F830">
        <v>60000</v>
      </c>
      <c r="G830">
        <v>31000</v>
      </c>
      <c r="H830">
        <f>Table1[[#This Row],[Qty]]*Table1[[#This Row],[SellingPrice]]</f>
        <v>120000</v>
      </c>
      <c r="I830">
        <f>Table1[[#This Row],[Qty]]*Table1[[#This Row],[CostPrice]]</f>
        <v>62000</v>
      </c>
      <c r="J830">
        <v>57594</v>
      </c>
      <c r="K830">
        <v>405.99999999999994</v>
      </c>
      <c r="L830" t="s">
        <v>8</v>
      </c>
      <c r="M830" t="s">
        <v>27</v>
      </c>
      <c r="N830">
        <f>MONTH(Table1[[#This Row],[SaleDate]])</f>
        <v>4</v>
      </c>
      <c r="O830" t="str">
        <f>TEXT(Table1[[#This Row],[SaleDate]],"MMM")</f>
        <v>Apr</v>
      </c>
    </row>
    <row r="831" spans="1:15">
      <c r="A831" s="1">
        <v>45029</v>
      </c>
      <c r="B831" t="s">
        <v>23</v>
      </c>
      <c r="C831" t="s">
        <v>19</v>
      </c>
      <c r="D831">
        <v>2</v>
      </c>
      <c r="E831" t="s">
        <v>10</v>
      </c>
      <c r="F831">
        <v>89000</v>
      </c>
      <c r="G831">
        <v>65000</v>
      </c>
      <c r="H831">
        <f>Table1[[#This Row],[Qty]]*Table1[[#This Row],[SellingPrice]]</f>
        <v>178000</v>
      </c>
      <c r="I831">
        <f>Table1[[#This Row],[Qty]]*Table1[[#This Row],[CostPrice]]</f>
        <v>130000</v>
      </c>
      <c r="J831">
        <v>47664</v>
      </c>
      <c r="K831">
        <v>335.99999999999994</v>
      </c>
      <c r="L831" t="s">
        <v>8</v>
      </c>
      <c r="M831" t="s">
        <v>30</v>
      </c>
      <c r="N831">
        <f>MONTH(Table1[[#This Row],[SaleDate]])</f>
        <v>4</v>
      </c>
      <c r="O831" t="str">
        <f>TEXT(Table1[[#This Row],[SaleDate]],"MMM")</f>
        <v>Apr</v>
      </c>
    </row>
    <row r="832" spans="1:15">
      <c r="A832" s="1">
        <v>45029</v>
      </c>
      <c r="B832" t="s">
        <v>26</v>
      </c>
      <c r="C832" t="s">
        <v>20</v>
      </c>
      <c r="D832">
        <v>2</v>
      </c>
      <c r="E832" t="s">
        <v>7</v>
      </c>
      <c r="F832">
        <v>33000</v>
      </c>
      <c r="G832">
        <v>18000</v>
      </c>
      <c r="H832">
        <f>Table1[[#This Row],[Qty]]*Table1[[#This Row],[SellingPrice]]</f>
        <v>66000</v>
      </c>
      <c r="I832">
        <f>Table1[[#This Row],[Qty]]*Table1[[#This Row],[CostPrice]]</f>
        <v>36000</v>
      </c>
      <c r="J832">
        <v>29790</v>
      </c>
      <c r="K832">
        <v>209.99999999999997</v>
      </c>
      <c r="L832" t="s">
        <v>11</v>
      </c>
      <c r="M832" t="s">
        <v>30</v>
      </c>
      <c r="N832">
        <f>MONTH(Table1[[#This Row],[SaleDate]])</f>
        <v>4</v>
      </c>
      <c r="O832" t="str">
        <f>TEXT(Table1[[#This Row],[SaleDate]],"MMM")</f>
        <v>Apr</v>
      </c>
    </row>
    <row r="833" spans="1:15">
      <c r="A833" s="1">
        <v>45029</v>
      </c>
      <c r="B833" t="s">
        <v>24</v>
      </c>
      <c r="C833" t="s">
        <v>22</v>
      </c>
      <c r="D833">
        <v>2</v>
      </c>
      <c r="E833" t="s">
        <v>7</v>
      </c>
      <c r="F833">
        <v>33000</v>
      </c>
      <c r="G833">
        <v>18000</v>
      </c>
      <c r="H833">
        <f>Table1[[#This Row],[Qty]]*Table1[[#This Row],[SellingPrice]]</f>
        <v>66000</v>
      </c>
      <c r="I833">
        <f>Table1[[#This Row],[Qty]]*Table1[[#This Row],[CostPrice]]</f>
        <v>36000</v>
      </c>
      <c r="J833">
        <v>29790</v>
      </c>
      <c r="K833">
        <v>209.99999999999997</v>
      </c>
      <c r="L833" t="s">
        <v>12</v>
      </c>
      <c r="M833" t="s">
        <v>28</v>
      </c>
      <c r="N833">
        <f>MONTH(Table1[[#This Row],[SaleDate]])</f>
        <v>4</v>
      </c>
      <c r="O833" t="str">
        <f>TEXT(Table1[[#This Row],[SaleDate]],"MMM")</f>
        <v>Apr</v>
      </c>
    </row>
    <row r="834" spans="1:15">
      <c r="A834" s="1">
        <v>45029</v>
      </c>
      <c r="B834" t="s">
        <v>24</v>
      </c>
      <c r="C834" t="s">
        <v>22</v>
      </c>
      <c r="D834">
        <v>2</v>
      </c>
      <c r="E834" t="s">
        <v>9</v>
      </c>
      <c r="F834">
        <v>60000</v>
      </c>
      <c r="G834">
        <v>31000</v>
      </c>
      <c r="H834">
        <f>Table1[[#This Row],[Qty]]*Table1[[#This Row],[SellingPrice]]</f>
        <v>120000</v>
      </c>
      <c r="I834">
        <f>Table1[[#This Row],[Qty]]*Table1[[#This Row],[CostPrice]]</f>
        <v>62000</v>
      </c>
      <c r="J834">
        <v>57594</v>
      </c>
      <c r="K834">
        <v>405.99999999999994</v>
      </c>
      <c r="L834" t="s">
        <v>12</v>
      </c>
      <c r="M834" t="s">
        <v>30</v>
      </c>
      <c r="N834">
        <f>MONTH(Table1[[#This Row],[SaleDate]])</f>
        <v>4</v>
      </c>
      <c r="O834" t="str">
        <f>TEXT(Table1[[#This Row],[SaleDate]],"MMM")</f>
        <v>Apr</v>
      </c>
    </row>
    <row r="835" spans="1:15">
      <c r="A835" s="1">
        <v>45029</v>
      </c>
      <c r="B835" t="s">
        <v>25</v>
      </c>
      <c r="C835" t="s">
        <v>21</v>
      </c>
      <c r="D835">
        <v>2</v>
      </c>
      <c r="E835" t="s">
        <v>7</v>
      </c>
      <c r="F835">
        <v>33000</v>
      </c>
      <c r="G835">
        <v>18000</v>
      </c>
      <c r="H835">
        <f>Table1[[#This Row],[Qty]]*Table1[[#This Row],[SellingPrice]]</f>
        <v>66000</v>
      </c>
      <c r="I835">
        <f>Table1[[#This Row],[Qty]]*Table1[[#This Row],[CostPrice]]</f>
        <v>36000</v>
      </c>
      <c r="J835">
        <v>29790</v>
      </c>
      <c r="K835">
        <v>209.99999999999997</v>
      </c>
      <c r="L835" t="s">
        <v>13</v>
      </c>
      <c r="M835" t="s">
        <v>30</v>
      </c>
      <c r="N835">
        <f>MONTH(Table1[[#This Row],[SaleDate]])</f>
        <v>4</v>
      </c>
      <c r="O835" t="str">
        <f>TEXT(Table1[[#This Row],[SaleDate]],"MMM")</f>
        <v>Apr</v>
      </c>
    </row>
    <row r="836" spans="1:15">
      <c r="A836" s="1">
        <v>45029</v>
      </c>
      <c r="B836" t="s">
        <v>25</v>
      </c>
      <c r="C836" t="s">
        <v>21</v>
      </c>
      <c r="D836">
        <v>2</v>
      </c>
      <c r="E836" t="s">
        <v>9</v>
      </c>
      <c r="F836">
        <v>60000</v>
      </c>
      <c r="G836">
        <v>31000</v>
      </c>
      <c r="H836">
        <f>Table1[[#This Row],[Qty]]*Table1[[#This Row],[SellingPrice]]</f>
        <v>120000</v>
      </c>
      <c r="I836">
        <f>Table1[[#This Row],[Qty]]*Table1[[#This Row],[CostPrice]]</f>
        <v>62000</v>
      </c>
      <c r="J836">
        <v>57594</v>
      </c>
      <c r="K836">
        <v>405.99999999999994</v>
      </c>
      <c r="L836" t="s">
        <v>13</v>
      </c>
      <c r="M836" t="s">
        <v>29</v>
      </c>
      <c r="N836">
        <f>MONTH(Table1[[#This Row],[SaleDate]])</f>
        <v>4</v>
      </c>
      <c r="O836" t="str">
        <f>TEXT(Table1[[#This Row],[SaleDate]],"MMM")</f>
        <v>Apr</v>
      </c>
    </row>
    <row r="837" spans="1:15">
      <c r="A837" s="1">
        <v>45029</v>
      </c>
      <c r="B837" t="s">
        <v>25</v>
      </c>
      <c r="C837" t="s">
        <v>21</v>
      </c>
      <c r="D837">
        <v>2</v>
      </c>
      <c r="E837" t="s">
        <v>10</v>
      </c>
      <c r="F837">
        <v>89000</v>
      </c>
      <c r="G837">
        <v>65000</v>
      </c>
      <c r="H837">
        <f>Table1[[#This Row],[Qty]]*Table1[[#This Row],[SellingPrice]]</f>
        <v>178000</v>
      </c>
      <c r="I837">
        <f>Table1[[#This Row],[Qty]]*Table1[[#This Row],[CostPrice]]</f>
        <v>130000</v>
      </c>
      <c r="J837">
        <v>47664</v>
      </c>
      <c r="K837">
        <v>335.99999999999994</v>
      </c>
      <c r="L837" t="s">
        <v>13</v>
      </c>
      <c r="M837" t="s">
        <v>30</v>
      </c>
      <c r="N837">
        <f>MONTH(Table1[[#This Row],[SaleDate]])</f>
        <v>4</v>
      </c>
      <c r="O837" t="str">
        <f>TEXT(Table1[[#This Row],[SaleDate]],"MMM")</f>
        <v>Apr</v>
      </c>
    </row>
    <row r="838" spans="1:15">
      <c r="A838" s="1">
        <v>45030</v>
      </c>
      <c r="B838" t="s">
        <v>23</v>
      </c>
      <c r="C838" t="s">
        <v>19</v>
      </c>
      <c r="D838">
        <v>1</v>
      </c>
      <c r="E838" t="s">
        <v>7</v>
      </c>
      <c r="F838">
        <v>33000</v>
      </c>
      <c r="G838">
        <v>18000</v>
      </c>
      <c r="H838">
        <f>Table1[[#This Row],[Qty]]*Table1[[#This Row],[SellingPrice]]</f>
        <v>33000</v>
      </c>
      <c r="I838">
        <f>Table1[[#This Row],[Qty]]*Table1[[#This Row],[CostPrice]]</f>
        <v>18000</v>
      </c>
      <c r="J838">
        <v>14895</v>
      </c>
      <c r="K838">
        <v>104.99999999999999</v>
      </c>
      <c r="L838" t="s">
        <v>8</v>
      </c>
      <c r="M838" t="s">
        <v>27</v>
      </c>
      <c r="N838">
        <f>MONTH(Table1[[#This Row],[SaleDate]])</f>
        <v>4</v>
      </c>
      <c r="O838" t="str">
        <f>TEXT(Table1[[#This Row],[SaleDate]],"MMM")</f>
        <v>Apr</v>
      </c>
    </row>
    <row r="839" spans="1:15">
      <c r="A839" s="1">
        <v>45030</v>
      </c>
      <c r="B839" t="s">
        <v>23</v>
      </c>
      <c r="C839" t="s">
        <v>19</v>
      </c>
      <c r="D839">
        <v>1</v>
      </c>
      <c r="E839" t="s">
        <v>9</v>
      </c>
      <c r="F839">
        <v>60000</v>
      </c>
      <c r="G839">
        <v>31000</v>
      </c>
      <c r="H839">
        <f>Table1[[#This Row],[Qty]]*Table1[[#This Row],[SellingPrice]]</f>
        <v>60000</v>
      </c>
      <c r="I839">
        <f>Table1[[#This Row],[Qty]]*Table1[[#This Row],[CostPrice]]</f>
        <v>31000</v>
      </c>
      <c r="J839">
        <v>28797</v>
      </c>
      <c r="K839">
        <v>202.99999999999997</v>
      </c>
      <c r="L839" t="s">
        <v>8</v>
      </c>
      <c r="M839" t="s">
        <v>29</v>
      </c>
      <c r="N839">
        <f>MONTH(Table1[[#This Row],[SaleDate]])</f>
        <v>4</v>
      </c>
      <c r="O839" t="str">
        <f>TEXT(Table1[[#This Row],[SaleDate]],"MMM")</f>
        <v>Apr</v>
      </c>
    </row>
    <row r="840" spans="1:15">
      <c r="A840" s="1">
        <v>45030</v>
      </c>
      <c r="B840" t="s">
        <v>23</v>
      </c>
      <c r="C840" t="s">
        <v>19</v>
      </c>
      <c r="D840">
        <v>1</v>
      </c>
      <c r="E840" t="s">
        <v>10</v>
      </c>
      <c r="F840">
        <v>89000</v>
      </c>
      <c r="G840">
        <v>65000</v>
      </c>
      <c r="H840">
        <f>Table1[[#This Row],[Qty]]*Table1[[#This Row],[SellingPrice]]</f>
        <v>89000</v>
      </c>
      <c r="I840">
        <f>Table1[[#This Row],[Qty]]*Table1[[#This Row],[CostPrice]]</f>
        <v>65000</v>
      </c>
      <c r="J840">
        <v>23832</v>
      </c>
      <c r="K840">
        <v>167.99999999999997</v>
      </c>
      <c r="L840" t="s">
        <v>8</v>
      </c>
      <c r="M840" t="s">
        <v>30</v>
      </c>
      <c r="N840">
        <f>MONTH(Table1[[#This Row],[SaleDate]])</f>
        <v>4</v>
      </c>
      <c r="O840" t="str">
        <f>TEXT(Table1[[#This Row],[SaleDate]],"MMM")</f>
        <v>Apr</v>
      </c>
    </row>
    <row r="841" spans="1:15">
      <c r="A841" s="1">
        <v>45030</v>
      </c>
      <c r="B841" t="s">
        <v>26</v>
      </c>
      <c r="C841" t="s">
        <v>20</v>
      </c>
      <c r="D841">
        <v>1</v>
      </c>
      <c r="E841" t="s">
        <v>7</v>
      </c>
      <c r="F841">
        <v>33000</v>
      </c>
      <c r="G841">
        <v>18000</v>
      </c>
      <c r="H841">
        <f>Table1[[#This Row],[Qty]]*Table1[[#This Row],[SellingPrice]]</f>
        <v>33000</v>
      </c>
      <c r="I841">
        <f>Table1[[#This Row],[Qty]]*Table1[[#This Row],[CostPrice]]</f>
        <v>18000</v>
      </c>
      <c r="J841">
        <v>14895</v>
      </c>
      <c r="K841">
        <v>104.99999999999999</v>
      </c>
      <c r="L841" t="s">
        <v>11</v>
      </c>
      <c r="M841" t="s">
        <v>29</v>
      </c>
      <c r="N841">
        <f>MONTH(Table1[[#This Row],[SaleDate]])</f>
        <v>4</v>
      </c>
      <c r="O841" t="str">
        <f>TEXT(Table1[[#This Row],[SaleDate]],"MMM")</f>
        <v>Apr</v>
      </c>
    </row>
    <row r="842" spans="1:15">
      <c r="A842" s="1">
        <v>45030</v>
      </c>
      <c r="B842" t="s">
        <v>24</v>
      </c>
      <c r="C842" t="s">
        <v>22</v>
      </c>
      <c r="D842">
        <v>1</v>
      </c>
      <c r="E842" t="s">
        <v>7</v>
      </c>
      <c r="F842">
        <v>33000</v>
      </c>
      <c r="G842">
        <v>18000</v>
      </c>
      <c r="H842">
        <f>Table1[[#This Row],[Qty]]*Table1[[#This Row],[SellingPrice]]</f>
        <v>33000</v>
      </c>
      <c r="I842">
        <f>Table1[[#This Row],[Qty]]*Table1[[#This Row],[CostPrice]]</f>
        <v>18000</v>
      </c>
      <c r="J842">
        <v>14895</v>
      </c>
      <c r="K842">
        <v>104.99999999999999</v>
      </c>
      <c r="L842" t="s">
        <v>12</v>
      </c>
      <c r="M842" t="s">
        <v>30</v>
      </c>
      <c r="N842">
        <f>MONTH(Table1[[#This Row],[SaleDate]])</f>
        <v>4</v>
      </c>
      <c r="O842" t="str">
        <f>TEXT(Table1[[#This Row],[SaleDate]],"MMM")</f>
        <v>Apr</v>
      </c>
    </row>
    <row r="843" spans="1:15">
      <c r="A843" s="1">
        <v>45030</v>
      </c>
      <c r="B843" t="s">
        <v>24</v>
      </c>
      <c r="C843" t="s">
        <v>22</v>
      </c>
      <c r="D843">
        <v>1</v>
      </c>
      <c r="E843" t="s">
        <v>9</v>
      </c>
      <c r="F843">
        <v>60000</v>
      </c>
      <c r="G843">
        <v>31000</v>
      </c>
      <c r="H843">
        <f>Table1[[#This Row],[Qty]]*Table1[[#This Row],[SellingPrice]]</f>
        <v>60000</v>
      </c>
      <c r="I843">
        <f>Table1[[#This Row],[Qty]]*Table1[[#This Row],[CostPrice]]</f>
        <v>31000</v>
      </c>
      <c r="J843">
        <v>28797</v>
      </c>
      <c r="K843">
        <v>202.99999999999997</v>
      </c>
      <c r="L843" t="s">
        <v>12</v>
      </c>
      <c r="M843" t="s">
        <v>27</v>
      </c>
      <c r="N843">
        <f>MONTH(Table1[[#This Row],[SaleDate]])</f>
        <v>4</v>
      </c>
      <c r="O843" t="str">
        <f>TEXT(Table1[[#This Row],[SaleDate]],"MMM")</f>
        <v>Apr</v>
      </c>
    </row>
    <row r="844" spans="1:15">
      <c r="A844" s="1">
        <v>45030</v>
      </c>
      <c r="B844" t="s">
        <v>25</v>
      </c>
      <c r="C844" t="s">
        <v>21</v>
      </c>
      <c r="D844">
        <v>1</v>
      </c>
      <c r="E844" t="s">
        <v>7</v>
      </c>
      <c r="F844">
        <v>33000</v>
      </c>
      <c r="G844">
        <v>18000</v>
      </c>
      <c r="H844">
        <f>Table1[[#This Row],[Qty]]*Table1[[#This Row],[SellingPrice]]</f>
        <v>33000</v>
      </c>
      <c r="I844">
        <f>Table1[[#This Row],[Qty]]*Table1[[#This Row],[CostPrice]]</f>
        <v>18000</v>
      </c>
      <c r="J844">
        <v>14895</v>
      </c>
      <c r="K844">
        <v>104.99999999999999</v>
      </c>
      <c r="L844" t="s">
        <v>13</v>
      </c>
      <c r="M844" t="s">
        <v>29</v>
      </c>
      <c r="N844">
        <f>MONTH(Table1[[#This Row],[SaleDate]])</f>
        <v>4</v>
      </c>
      <c r="O844" t="str">
        <f>TEXT(Table1[[#This Row],[SaleDate]],"MMM")</f>
        <v>Apr</v>
      </c>
    </row>
    <row r="845" spans="1:15">
      <c r="A845" s="1">
        <v>45030</v>
      </c>
      <c r="B845" t="s">
        <v>25</v>
      </c>
      <c r="C845" t="s">
        <v>21</v>
      </c>
      <c r="D845">
        <v>1</v>
      </c>
      <c r="E845" t="s">
        <v>9</v>
      </c>
      <c r="F845">
        <v>60000</v>
      </c>
      <c r="G845">
        <v>31000</v>
      </c>
      <c r="H845">
        <f>Table1[[#This Row],[Qty]]*Table1[[#This Row],[SellingPrice]]</f>
        <v>60000</v>
      </c>
      <c r="I845">
        <f>Table1[[#This Row],[Qty]]*Table1[[#This Row],[CostPrice]]</f>
        <v>31000</v>
      </c>
      <c r="J845">
        <v>28797</v>
      </c>
      <c r="K845">
        <v>202.99999999999997</v>
      </c>
      <c r="L845" t="s">
        <v>13</v>
      </c>
      <c r="M845" t="s">
        <v>30</v>
      </c>
      <c r="N845">
        <f>MONTH(Table1[[#This Row],[SaleDate]])</f>
        <v>4</v>
      </c>
      <c r="O845" t="str">
        <f>TEXT(Table1[[#This Row],[SaleDate]],"MMM")</f>
        <v>Apr</v>
      </c>
    </row>
    <row r="846" spans="1:15">
      <c r="A846" s="1">
        <v>45030</v>
      </c>
      <c r="B846" t="s">
        <v>25</v>
      </c>
      <c r="C846" t="s">
        <v>21</v>
      </c>
      <c r="D846">
        <v>1</v>
      </c>
      <c r="E846" t="s">
        <v>10</v>
      </c>
      <c r="F846">
        <v>89000</v>
      </c>
      <c r="G846">
        <v>65000</v>
      </c>
      <c r="H846">
        <f>Table1[[#This Row],[Qty]]*Table1[[#This Row],[SellingPrice]]</f>
        <v>89000</v>
      </c>
      <c r="I846">
        <f>Table1[[#This Row],[Qty]]*Table1[[#This Row],[CostPrice]]</f>
        <v>65000</v>
      </c>
      <c r="J846">
        <v>23832</v>
      </c>
      <c r="K846">
        <v>167.99999999999997</v>
      </c>
      <c r="L846" t="s">
        <v>13</v>
      </c>
      <c r="M846" t="s">
        <v>27</v>
      </c>
      <c r="N846">
        <f>MONTH(Table1[[#This Row],[SaleDate]])</f>
        <v>4</v>
      </c>
      <c r="O846" t="str">
        <f>TEXT(Table1[[#This Row],[SaleDate]],"MMM")</f>
        <v>Apr</v>
      </c>
    </row>
    <row r="847" spans="1:15">
      <c r="A847" s="1">
        <v>45031</v>
      </c>
      <c r="B847" t="s">
        <v>23</v>
      </c>
      <c r="C847" t="s">
        <v>19</v>
      </c>
      <c r="D847">
        <v>1</v>
      </c>
      <c r="E847" t="s">
        <v>7</v>
      </c>
      <c r="F847">
        <v>33000</v>
      </c>
      <c r="G847">
        <v>18000</v>
      </c>
      <c r="H847">
        <f>Table1[[#This Row],[Qty]]*Table1[[#This Row],[SellingPrice]]</f>
        <v>33000</v>
      </c>
      <c r="I847">
        <f>Table1[[#This Row],[Qty]]*Table1[[#This Row],[CostPrice]]</f>
        <v>18000</v>
      </c>
      <c r="J847">
        <v>14895</v>
      </c>
      <c r="K847">
        <v>104.99999999999999</v>
      </c>
      <c r="L847" t="s">
        <v>8</v>
      </c>
      <c r="M847" t="s">
        <v>30</v>
      </c>
      <c r="N847">
        <f>MONTH(Table1[[#This Row],[SaleDate]])</f>
        <v>4</v>
      </c>
      <c r="O847" t="str">
        <f>TEXT(Table1[[#This Row],[SaleDate]],"MMM")</f>
        <v>Apr</v>
      </c>
    </row>
    <row r="848" spans="1:15">
      <c r="A848" s="1">
        <v>45031</v>
      </c>
      <c r="B848" t="s">
        <v>23</v>
      </c>
      <c r="C848" t="s">
        <v>19</v>
      </c>
      <c r="D848">
        <v>1</v>
      </c>
      <c r="E848" t="s">
        <v>9</v>
      </c>
      <c r="F848">
        <v>60000</v>
      </c>
      <c r="G848">
        <v>31000</v>
      </c>
      <c r="H848">
        <f>Table1[[#This Row],[Qty]]*Table1[[#This Row],[SellingPrice]]</f>
        <v>60000</v>
      </c>
      <c r="I848">
        <f>Table1[[#This Row],[Qty]]*Table1[[#This Row],[CostPrice]]</f>
        <v>31000</v>
      </c>
      <c r="J848">
        <v>28797</v>
      </c>
      <c r="K848">
        <v>202.99999999999997</v>
      </c>
      <c r="L848" t="s">
        <v>8</v>
      </c>
      <c r="M848" t="s">
        <v>30</v>
      </c>
      <c r="N848">
        <f>MONTH(Table1[[#This Row],[SaleDate]])</f>
        <v>4</v>
      </c>
      <c r="O848" t="str">
        <f>TEXT(Table1[[#This Row],[SaleDate]],"MMM")</f>
        <v>Apr</v>
      </c>
    </row>
    <row r="849" spans="1:15">
      <c r="A849" s="1">
        <v>45031</v>
      </c>
      <c r="B849" t="s">
        <v>23</v>
      </c>
      <c r="C849" t="s">
        <v>19</v>
      </c>
      <c r="D849">
        <v>1</v>
      </c>
      <c r="E849" t="s">
        <v>10</v>
      </c>
      <c r="F849">
        <v>89000</v>
      </c>
      <c r="G849">
        <v>65000</v>
      </c>
      <c r="H849">
        <f>Table1[[#This Row],[Qty]]*Table1[[#This Row],[SellingPrice]]</f>
        <v>89000</v>
      </c>
      <c r="I849">
        <f>Table1[[#This Row],[Qty]]*Table1[[#This Row],[CostPrice]]</f>
        <v>65000</v>
      </c>
      <c r="J849">
        <v>23832</v>
      </c>
      <c r="K849">
        <v>167.99999999999997</v>
      </c>
      <c r="L849" t="s">
        <v>8</v>
      </c>
      <c r="M849" t="s">
        <v>27</v>
      </c>
      <c r="N849">
        <f>MONTH(Table1[[#This Row],[SaleDate]])</f>
        <v>4</v>
      </c>
      <c r="O849" t="str">
        <f>TEXT(Table1[[#This Row],[SaleDate]],"MMM")</f>
        <v>Apr</v>
      </c>
    </row>
    <row r="850" spans="1:15">
      <c r="A850" s="1">
        <v>45031</v>
      </c>
      <c r="B850" t="s">
        <v>26</v>
      </c>
      <c r="C850" t="s">
        <v>20</v>
      </c>
      <c r="D850">
        <v>1</v>
      </c>
      <c r="E850" t="s">
        <v>7</v>
      </c>
      <c r="F850">
        <v>33000</v>
      </c>
      <c r="G850">
        <v>18000</v>
      </c>
      <c r="H850">
        <f>Table1[[#This Row],[Qty]]*Table1[[#This Row],[SellingPrice]]</f>
        <v>33000</v>
      </c>
      <c r="I850">
        <f>Table1[[#This Row],[Qty]]*Table1[[#This Row],[CostPrice]]</f>
        <v>18000</v>
      </c>
      <c r="J850">
        <v>14895</v>
      </c>
      <c r="K850">
        <v>104.99999999999999</v>
      </c>
      <c r="L850" t="s">
        <v>11</v>
      </c>
      <c r="M850" t="s">
        <v>27</v>
      </c>
      <c r="N850">
        <f>MONTH(Table1[[#This Row],[SaleDate]])</f>
        <v>4</v>
      </c>
      <c r="O850" t="str">
        <f>TEXT(Table1[[#This Row],[SaleDate]],"MMM")</f>
        <v>Apr</v>
      </c>
    </row>
    <row r="851" spans="1:15">
      <c r="A851" s="1">
        <v>45031</v>
      </c>
      <c r="B851" t="s">
        <v>24</v>
      </c>
      <c r="C851" t="s">
        <v>22</v>
      </c>
      <c r="D851">
        <v>1</v>
      </c>
      <c r="E851" t="s">
        <v>7</v>
      </c>
      <c r="F851">
        <v>33000</v>
      </c>
      <c r="G851">
        <v>18000</v>
      </c>
      <c r="H851">
        <f>Table1[[#This Row],[Qty]]*Table1[[#This Row],[SellingPrice]]</f>
        <v>33000</v>
      </c>
      <c r="I851">
        <f>Table1[[#This Row],[Qty]]*Table1[[#This Row],[CostPrice]]</f>
        <v>18000</v>
      </c>
      <c r="J851">
        <v>14895</v>
      </c>
      <c r="K851">
        <v>104.99999999999999</v>
      </c>
      <c r="L851" t="s">
        <v>12</v>
      </c>
      <c r="M851" t="s">
        <v>29</v>
      </c>
      <c r="N851">
        <f>MONTH(Table1[[#This Row],[SaleDate]])</f>
        <v>4</v>
      </c>
      <c r="O851" t="str">
        <f>TEXT(Table1[[#This Row],[SaleDate]],"MMM")</f>
        <v>Apr</v>
      </c>
    </row>
    <row r="852" spans="1:15">
      <c r="A852" s="1">
        <v>45031</v>
      </c>
      <c r="B852" t="s">
        <v>24</v>
      </c>
      <c r="C852" t="s">
        <v>22</v>
      </c>
      <c r="D852">
        <v>1</v>
      </c>
      <c r="E852" t="s">
        <v>9</v>
      </c>
      <c r="F852">
        <v>60000</v>
      </c>
      <c r="G852">
        <v>31000</v>
      </c>
      <c r="H852">
        <f>Table1[[#This Row],[Qty]]*Table1[[#This Row],[SellingPrice]]</f>
        <v>60000</v>
      </c>
      <c r="I852">
        <f>Table1[[#This Row],[Qty]]*Table1[[#This Row],[CostPrice]]</f>
        <v>31000</v>
      </c>
      <c r="J852">
        <v>28797</v>
      </c>
      <c r="K852">
        <v>202.99999999999997</v>
      </c>
      <c r="L852" t="s">
        <v>12</v>
      </c>
      <c r="M852" t="s">
        <v>29</v>
      </c>
      <c r="N852">
        <f>MONTH(Table1[[#This Row],[SaleDate]])</f>
        <v>4</v>
      </c>
      <c r="O852" t="str">
        <f>TEXT(Table1[[#This Row],[SaleDate]],"MMM")</f>
        <v>Apr</v>
      </c>
    </row>
    <row r="853" spans="1:15">
      <c r="A853" s="1">
        <v>45031</v>
      </c>
      <c r="B853" t="s">
        <v>25</v>
      </c>
      <c r="C853" t="s">
        <v>21</v>
      </c>
      <c r="D853">
        <v>1</v>
      </c>
      <c r="E853" t="s">
        <v>7</v>
      </c>
      <c r="F853">
        <v>33000</v>
      </c>
      <c r="G853">
        <v>18000</v>
      </c>
      <c r="H853">
        <f>Table1[[#This Row],[Qty]]*Table1[[#This Row],[SellingPrice]]</f>
        <v>33000</v>
      </c>
      <c r="I853">
        <f>Table1[[#This Row],[Qty]]*Table1[[#This Row],[CostPrice]]</f>
        <v>18000</v>
      </c>
      <c r="J853">
        <v>14895</v>
      </c>
      <c r="K853">
        <v>104.99999999999999</v>
      </c>
      <c r="L853" t="s">
        <v>13</v>
      </c>
      <c r="M853" t="s">
        <v>29</v>
      </c>
      <c r="N853">
        <f>MONTH(Table1[[#This Row],[SaleDate]])</f>
        <v>4</v>
      </c>
      <c r="O853" t="str">
        <f>TEXT(Table1[[#This Row],[SaleDate]],"MMM")</f>
        <v>Apr</v>
      </c>
    </row>
    <row r="854" spans="1:15">
      <c r="A854" s="1">
        <v>45031</v>
      </c>
      <c r="B854" t="s">
        <v>25</v>
      </c>
      <c r="C854" t="s">
        <v>21</v>
      </c>
      <c r="D854">
        <v>1</v>
      </c>
      <c r="E854" t="s">
        <v>9</v>
      </c>
      <c r="F854">
        <v>60000</v>
      </c>
      <c r="G854">
        <v>31000</v>
      </c>
      <c r="H854">
        <f>Table1[[#This Row],[Qty]]*Table1[[#This Row],[SellingPrice]]</f>
        <v>60000</v>
      </c>
      <c r="I854">
        <f>Table1[[#This Row],[Qty]]*Table1[[#This Row],[CostPrice]]</f>
        <v>31000</v>
      </c>
      <c r="J854">
        <v>28797</v>
      </c>
      <c r="K854">
        <v>202.99999999999997</v>
      </c>
      <c r="L854" t="s">
        <v>13</v>
      </c>
      <c r="M854" t="s">
        <v>29</v>
      </c>
      <c r="N854">
        <f>MONTH(Table1[[#This Row],[SaleDate]])</f>
        <v>4</v>
      </c>
      <c r="O854" t="str">
        <f>TEXT(Table1[[#This Row],[SaleDate]],"MMM")</f>
        <v>Apr</v>
      </c>
    </row>
    <row r="855" spans="1:15">
      <c r="A855" s="1">
        <v>45031</v>
      </c>
      <c r="B855" t="s">
        <v>25</v>
      </c>
      <c r="C855" t="s">
        <v>21</v>
      </c>
      <c r="D855">
        <v>1</v>
      </c>
      <c r="E855" t="s">
        <v>10</v>
      </c>
      <c r="F855">
        <v>89000</v>
      </c>
      <c r="G855">
        <v>65000</v>
      </c>
      <c r="H855">
        <f>Table1[[#This Row],[Qty]]*Table1[[#This Row],[SellingPrice]]</f>
        <v>89000</v>
      </c>
      <c r="I855">
        <f>Table1[[#This Row],[Qty]]*Table1[[#This Row],[CostPrice]]</f>
        <v>65000</v>
      </c>
      <c r="J855">
        <v>23832</v>
      </c>
      <c r="K855">
        <v>167.99999999999997</v>
      </c>
      <c r="L855" t="s">
        <v>13</v>
      </c>
      <c r="M855" t="s">
        <v>27</v>
      </c>
      <c r="N855">
        <f>MONTH(Table1[[#This Row],[SaleDate]])</f>
        <v>4</v>
      </c>
      <c r="O855" t="str">
        <f>TEXT(Table1[[#This Row],[SaleDate]],"MMM")</f>
        <v>Apr</v>
      </c>
    </row>
    <row r="856" spans="1:15">
      <c r="A856" s="1">
        <v>45032</v>
      </c>
      <c r="B856" t="s">
        <v>23</v>
      </c>
      <c r="C856" t="s">
        <v>19</v>
      </c>
      <c r="D856">
        <v>2</v>
      </c>
      <c r="E856" t="s">
        <v>7</v>
      </c>
      <c r="F856">
        <v>33000</v>
      </c>
      <c r="G856">
        <v>18000</v>
      </c>
      <c r="H856">
        <f>Table1[[#This Row],[Qty]]*Table1[[#This Row],[SellingPrice]]</f>
        <v>66000</v>
      </c>
      <c r="I856">
        <f>Table1[[#This Row],[Qty]]*Table1[[#This Row],[CostPrice]]</f>
        <v>36000</v>
      </c>
      <c r="J856">
        <v>29790</v>
      </c>
      <c r="K856">
        <v>209.99999999999997</v>
      </c>
      <c r="L856" t="s">
        <v>8</v>
      </c>
      <c r="M856" t="s">
        <v>30</v>
      </c>
      <c r="N856">
        <f>MONTH(Table1[[#This Row],[SaleDate]])</f>
        <v>4</v>
      </c>
      <c r="O856" t="str">
        <f>TEXT(Table1[[#This Row],[SaleDate]],"MMM")</f>
        <v>Apr</v>
      </c>
    </row>
    <row r="857" spans="1:15">
      <c r="A857" s="1">
        <v>45032</v>
      </c>
      <c r="B857" t="s">
        <v>23</v>
      </c>
      <c r="C857" t="s">
        <v>19</v>
      </c>
      <c r="D857">
        <v>2</v>
      </c>
      <c r="E857" t="s">
        <v>9</v>
      </c>
      <c r="F857">
        <v>60000</v>
      </c>
      <c r="G857">
        <v>31000</v>
      </c>
      <c r="H857">
        <f>Table1[[#This Row],[Qty]]*Table1[[#This Row],[SellingPrice]]</f>
        <v>120000</v>
      </c>
      <c r="I857">
        <f>Table1[[#This Row],[Qty]]*Table1[[#This Row],[CostPrice]]</f>
        <v>62000</v>
      </c>
      <c r="J857">
        <v>57594</v>
      </c>
      <c r="K857">
        <v>405.99999999999994</v>
      </c>
      <c r="L857" t="s">
        <v>8</v>
      </c>
      <c r="M857" t="s">
        <v>30</v>
      </c>
      <c r="N857">
        <f>MONTH(Table1[[#This Row],[SaleDate]])</f>
        <v>4</v>
      </c>
      <c r="O857" t="str">
        <f>TEXT(Table1[[#This Row],[SaleDate]],"MMM")</f>
        <v>Apr</v>
      </c>
    </row>
    <row r="858" spans="1:15">
      <c r="A858" s="1">
        <v>45032</v>
      </c>
      <c r="B858" t="s">
        <v>23</v>
      </c>
      <c r="C858" t="s">
        <v>19</v>
      </c>
      <c r="D858">
        <v>2</v>
      </c>
      <c r="E858" t="s">
        <v>10</v>
      </c>
      <c r="F858">
        <v>89000</v>
      </c>
      <c r="G858">
        <v>65000</v>
      </c>
      <c r="H858">
        <f>Table1[[#This Row],[Qty]]*Table1[[#This Row],[SellingPrice]]</f>
        <v>178000</v>
      </c>
      <c r="I858">
        <f>Table1[[#This Row],[Qty]]*Table1[[#This Row],[CostPrice]]</f>
        <v>130000</v>
      </c>
      <c r="J858">
        <v>47664</v>
      </c>
      <c r="K858">
        <v>335.99999999999994</v>
      </c>
      <c r="L858" t="s">
        <v>8</v>
      </c>
      <c r="M858" t="s">
        <v>27</v>
      </c>
      <c r="N858">
        <f>MONTH(Table1[[#This Row],[SaleDate]])</f>
        <v>4</v>
      </c>
      <c r="O858" t="str">
        <f>TEXT(Table1[[#This Row],[SaleDate]],"MMM")</f>
        <v>Apr</v>
      </c>
    </row>
    <row r="859" spans="1:15">
      <c r="A859" s="1">
        <v>45032</v>
      </c>
      <c r="B859" t="s">
        <v>26</v>
      </c>
      <c r="C859" t="s">
        <v>20</v>
      </c>
      <c r="D859">
        <v>2</v>
      </c>
      <c r="E859" t="s">
        <v>7</v>
      </c>
      <c r="F859">
        <v>33000</v>
      </c>
      <c r="G859">
        <v>18000</v>
      </c>
      <c r="H859">
        <f>Table1[[#This Row],[Qty]]*Table1[[#This Row],[SellingPrice]]</f>
        <v>66000</v>
      </c>
      <c r="I859">
        <f>Table1[[#This Row],[Qty]]*Table1[[#This Row],[CostPrice]]</f>
        <v>36000</v>
      </c>
      <c r="J859">
        <v>29790</v>
      </c>
      <c r="K859">
        <v>209.99999999999997</v>
      </c>
      <c r="L859" t="s">
        <v>11</v>
      </c>
      <c r="M859" t="s">
        <v>29</v>
      </c>
      <c r="N859">
        <f>MONTH(Table1[[#This Row],[SaleDate]])</f>
        <v>4</v>
      </c>
      <c r="O859" t="str">
        <f>TEXT(Table1[[#This Row],[SaleDate]],"MMM")</f>
        <v>Apr</v>
      </c>
    </row>
    <row r="860" spans="1:15">
      <c r="A860" s="1">
        <v>45032</v>
      </c>
      <c r="B860" t="s">
        <v>24</v>
      </c>
      <c r="C860" t="s">
        <v>22</v>
      </c>
      <c r="D860">
        <v>2</v>
      </c>
      <c r="E860" t="s">
        <v>7</v>
      </c>
      <c r="F860">
        <v>33000</v>
      </c>
      <c r="G860">
        <v>18000</v>
      </c>
      <c r="H860">
        <f>Table1[[#This Row],[Qty]]*Table1[[#This Row],[SellingPrice]]</f>
        <v>66000</v>
      </c>
      <c r="I860">
        <f>Table1[[#This Row],[Qty]]*Table1[[#This Row],[CostPrice]]</f>
        <v>36000</v>
      </c>
      <c r="J860">
        <v>29790</v>
      </c>
      <c r="K860">
        <v>209.99999999999997</v>
      </c>
      <c r="L860" t="s">
        <v>12</v>
      </c>
      <c r="M860" t="s">
        <v>30</v>
      </c>
      <c r="N860">
        <f>MONTH(Table1[[#This Row],[SaleDate]])</f>
        <v>4</v>
      </c>
      <c r="O860" t="str">
        <f>TEXT(Table1[[#This Row],[SaleDate]],"MMM")</f>
        <v>Apr</v>
      </c>
    </row>
    <row r="861" spans="1:15">
      <c r="A861" s="1">
        <v>45032</v>
      </c>
      <c r="B861" t="s">
        <v>25</v>
      </c>
      <c r="C861" t="s">
        <v>21</v>
      </c>
      <c r="D861">
        <v>2</v>
      </c>
      <c r="E861" t="s">
        <v>7</v>
      </c>
      <c r="F861">
        <v>33000</v>
      </c>
      <c r="G861">
        <v>18000</v>
      </c>
      <c r="H861">
        <f>Table1[[#This Row],[Qty]]*Table1[[#This Row],[SellingPrice]]</f>
        <v>66000</v>
      </c>
      <c r="I861">
        <f>Table1[[#This Row],[Qty]]*Table1[[#This Row],[CostPrice]]</f>
        <v>36000</v>
      </c>
      <c r="J861">
        <v>29790</v>
      </c>
      <c r="K861">
        <v>209.99999999999997</v>
      </c>
      <c r="L861" t="s">
        <v>13</v>
      </c>
      <c r="M861" t="s">
        <v>29</v>
      </c>
      <c r="N861">
        <f>MONTH(Table1[[#This Row],[SaleDate]])</f>
        <v>4</v>
      </c>
      <c r="O861" t="str">
        <f>TEXT(Table1[[#This Row],[SaleDate]],"MMM")</f>
        <v>Apr</v>
      </c>
    </row>
    <row r="862" spans="1:15">
      <c r="A862" s="1">
        <v>45032</v>
      </c>
      <c r="B862" t="s">
        <v>25</v>
      </c>
      <c r="C862" t="s">
        <v>21</v>
      </c>
      <c r="D862">
        <v>2</v>
      </c>
      <c r="E862" t="s">
        <v>9</v>
      </c>
      <c r="F862">
        <v>60000</v>
      </c>
      <c r="G862">
        <v>31000</v>
      </c>
      <c r="H862">
        <f>Table1[[#This Row],[Qty]]*Table1[[#This Row],[SellingPrice]]</f>
        <v>120000</v>
      </c>
      <c r="I862">
        <f>Table1[[#This Row],[Qty]]*Table1[[#This Row],[CostPrice]]</f>
        <v>62000</v>
      </c>
      <c r="J862">
        <v>57594</v>
      </c>
      <c r="K862">
        <v>405.99999999999994</v>
      </c>
      <c r="L862" t="s">
        <v>13</v>
      </c>
      <c r="M862" t="s">
        <v>27</v>
      </c>
      <c r="N862">
        <f>MONTH(Table1[[#This Row],[SaleDate]])</f>
        <v>4</v>
      </c>
      <c r="O862" t="str">
        <f>TEXT(Table1[[#This Row],[SaleDate]],"MMM")</f>
        <v>Apr</v>
      </c>
    </row>
    <row r="863" spans="1:15">
      <c r="A863" s="1">
        <v>45032</v>
      </c>
      <c r="B863" t="s">
        <v>25</v>
      </c>
      <c r="C863" t="s">
        <v>21</v>
      </c>
      <c r="D863">
        <v>2</v>
      </c>
      <c r="E863" t="s">
        <v>10</v>
      </c>
      <c r="F863">
        <v>89000</v>
      </c>
      <c r="G863">
        <v>65000</v>
      </c>
      <c r="H863">
        <f>Table1[[#This Row],[Qty]]*Table1[[#This Row],[SellingPrice]]</f>
        <v>178000</v>
      </c>
      <c r="I863">
        <f>Table1[[#This Row],[Qty]]*Table1[[#This Row],[CostPrice]]</f>
        <v>130000</v>
      </c>
      <c r="J863">
        <v>47664</v>
      </c>
      <c r="K863">
        <v>335.99999999999994</v>
      </c>
      <c r="L863" t="s">
        <v>13</v>
      </c>
      <c r="M863" t="s">
        <v>27</v>
      </c>
      <c r="N863">
        <f>MONTH(Table1[[#This Row],[SaleDate]])</f>
        <v>4</v>
      </c>
      <c r="O863" t="str">
        <f>TEXT(Table1[[#This Row],[SaleDate]],"MMM")</f>
        <v>Apr</v>
      </c>
    </row>
    <row r="864" spans="1:15">
      <c r="A864" s="1">
        <v>45033</v>
      </c>
      <c r="B864" t="s">
        <v>23</v>
      </c>
      <c r="C864" t="s">
        <v>19</v>
      </c>
      <c r="D864">
        <v>1</v>
      </c>
      <c r="E864" t="s">
        <v>7</v>
      </c>
      <c r="F864">
        <v>33000</v>
      </c>
      <c r="G864">
        <v>18000</v>
      </c>
      <c r="H864">
        <f>Table1[[#This Row],[Qty]]*Table1[[#This Row],[SellingPrice]]</f>
        <v>33000</v>
      </c>
      <c r="I864">
        <f>Table1[[#This Row],[Qty]]*Table1[[#This Row],[CostPrice]]</f>
        <v>18000</v>
      </c>
      <c r="J864">
        <v>14895</v>
      </c>
      <c r="K864">
        <v>104.99999999999999</v>
      </c>
      <c r="L864" t="s">
        <v>8</v>
      </c>
      <c r="M864" t="s">
        <v>30</v>
      </c>
      <c r="N864">
        <f>MONTH(Table1[[#This Row],[SaleDate]])</f>
        <v>4</v>
      </c>
      <c r="O864" t="str">
        <f>TEXT(Table1[[#This Row],[SaleDate]],"MMM")</f>
        <v>Apr</v>
      </c>
    </row>
    <row r="865" spans="1:15">
      <c r="A865" s="1">
        <v>45033</v>
      </c>
      <c r="B865" t="s">
        <v>23</v>
      </c>
      <c r="C865" t="s">
        <v>19</v>
      </c>
      <c r="D865">
        <v>1</v>
      </c>
      <c r="E865" t="s">
        <v>9</v>
      </c>
      <c r="F865">
        <v>60000</v>
      </c>
      <c r="G865">
        <v>31000</v>
      </c>
      <c r="H865">
        <f>Table1[[#This Row],[Qty]]*Table1[[#This Row],[SellingPrice]]</f>
        <v>60000</v>
      </c>
      <c r="I865">
        <f>Table1[[#This Row],[Qty]]*Table1[[#This Row],[CostPrice]]</f>
        <v>31000</v>
      </c>
      <c r="J865">
        <v>28797</v>
      </c>
      <c r="K865">
        <v>202.99999999999997</v>
      </c>
      <c r="L865" t="s">
        <v>8</v>
      </c>
      <c r="M865" t="s">
        <v>27</v>
      </c>
      <c r="N865">
        <f>MONTH(Table1[[#This Row],[SaleDate]])</f>
        <v>4</v>
      </c>
      <c r="O865" t="str">
        <f>TEXT(Table1[[#This Row],[SaleDate]],"MMM")</f>
        <v>Apr</v>
      </c>
    </row>
    <row r="866" spans="1:15">
      <c r="A866" s="1">
        <v>45033</v>
      </c>
      <c r="B866" t="s">
        <v>23</v>
      </c>
      <c r="C866" t="s">
        <v>19</v>
      </c>
      <c r="D866">
        <v>1</v>
      </c>
      <c r="E866" t="s">
        <v>10</v>
      </c>
      <c r="F866">
        <v>89000</v>
      </c>
      <c r="G866">
        <v>65000</v>
      </c>
      <c r="H866">
        <f>Table1[[#This Row],[Qty]]*Table1[[#This Row],[SellingPrice]]</f>
        <v>89000</v>
      </c>
      <c r="I866">
        <f>Table1[[#This Row],[Qty]]*Table1[[#This Row],[CostPrice]]</f>
        <v>65000</v>
      </c>
      <c r="J866">
        <v>23832</v>
      </c>
      <c r="K866">
        <v>167.99999999999997</v>
      </c>
      <c r="L866" t="s">
        <v>8</v>
      </c>
      <c r="M866" t="s">
        <v>29</v>
      </c>
      <c r="N866">
        <f>MONTH(Table1[[#This Row],[SaleDate]])</f>
        <v>4</v>
      </c>
      <c r="O866" t="str">
        <f>TEXT(Table1[[#This Row],[SaleDate]],"MMM")</f>
        <v>Apr</v>
      </c>
    </row>
    <row r="867" spans="1:15">
      <c r="A867" s="1">
        <v>45033</v>
      </c>
      <c r="B867" t="s">
        <v>26</v>
      </c>
      <c r="C867" t="s">
        <v>20</v>
      </c>
      <c r="D867">
        <v>1</v>
      </c>
      <c r="E867" t="s">
        <v>7</v>
      </c>
      <c r="F867">
        <v>33000</v>
      </c>
      <c r="G867">
        <v>18000</v>
      </c>
      <c r="H867">
        <f>Table1[[#This Row],[Qty]]*Table1[[#This Row],[SellingPrice]]</f>
        <v>33000</v>
      </c>
      <c r="I867">
        <f>Table1[[#This Row],[Qty]]*Table1[[#This Row],[CostPrice]]</f>
        <v>18000</v>
      </c>
      <c r="J867">
        <v>14895</v>
      </c>
      <c r="K867">
        <v>104.99999999999999</v>
      </c>
      <c r="L867" t="s">
        <v>11</v>
      </c>
      <c r="M867" t="s">
        <v>27</v>
      </c>
      <c r="N867">
        <f>MONTH(Table1[[#This Row],[SaleDate]])</f>
        <v>4</v>
      </c>
      <c r="O867" t="str">
        <f>TEXT(Table1[[#This Row],[SaleDate]],"MMM")</f>
        <v>Apr</v>
      </c>
    </row>
    <row r="868" spans="1:15">
      <c r="A868" s="1">
        <v>45033</v>
      </c>
      <c r="B868" t="s">
        <v>24</v>
      </c>
      <c r="C868" t="s">
        <v>22</v>
      </c>
      <c r="D868">
        <v>1</v>
      </c>
      <c r="E868" t="s">
        <v>7</v>
      </c>
      <c r="F868">
        <v>33000</v>
      </c>
      <c r="G868">
        <v>18000</v>
      </c>
      <c r="H868">
        <f>Table1[[#This Row],[Qty]]*Table1[[#This Row],[SellingPrice]]</f>
        <v>33000</v>
      </c>
      <c r="I868">
        <f>Table1[[#This Row],[Qty]]*Table1[[#This Row],[CostPrice]]</f>
        <v>18000</v>
      </c>
      <c r="J868">
        <v>14895</v>
      </c>
      <c r="K868">
        <v>104.99999999999999</v>
      </c>
      <c r="L868" t="s">
        <v>12</v>
      </c>
      <c r="M868" t="s">
        <v>29</v>
      </c>
      <c r="N868">
        <f>MONTH(Table1[[#This Row],[SaleDate]])</f>
        <v>4</v>
      </c>
      <c r="O868" t="str">
        <f>TEXT(Table1[[#This Row],[SaleDate]],"MMM")</f>
        <v>Apr</v>
      </c>
    </row>
    <row r="869" spans="1:15">
      <c r="A869" s="1">
        <v>45033</v>
      </c>
      <c r="B869" t="s">
        <v>25</v>
      </c>
      <c r="C869" t="s">
        <v>21</v>
      </c>
      <c r="D869">
        <v>1</v>
      </c>
      <c r="E869" t="s">
        <v>7</v>
      </c>
      <c r="F869">
        <v>33000</v>
      </c>
      <c r="G869">
        <v>18000</v>
      </c>
      <c r="H869">
        <f>Table1[[#This Row],[Qty]]*Table1[[#This Row],[SellingPrice]]</f>
        <v>33000</v>
      </c>
      <c r="I869">
        <f>Table1[[#This Row],[Qty]]*Table1[[#This Row],[CostPrice]]</f>
        <v>18000</v>
      </c>
      <c r="J869">
        <v>14895</v>
      </c>
      <c r="K869">
        <v>104.99999999999999</v>
      </c>
      <c r="L869" t="s">
        <v>13</v>
      </c>
      <c r="M869" t="s">
        <v>30</v>
      </c>
      <c r="N869">
        <f>MONTH(Table1[[#This Row],[SaleDate]])</f>
        <v>4</v>
      </c>
      <c r="O869" t="str">
        <f>TEXT(Table1[[#This Row],[SaleDate]],"MMM")</f>
        <v>Apr</v>
      </c>
    </row>
    <row r="870" spans="1:15">
      <c r="A870" s="1">
        <v>45033</v>
      </c>
      <c r="B870" t="s">
        <v>25</v>
      </c>
      <c r="C870" t="s">
        <v>21</v>
      </c>
      <c r="D870">
        <v>1</v>
      </c>
      <c r="E870" t="s">
        <v>9</v>
      </c>
      <c r="F870">
        <v>60000</v>
      </c>
      <c r="G870">
        <v>31000</v>
      </c>
      <c r="H870">
        <f>Table1[[#This Row],[Qty]]*Table1[[#This Row],[SellingPrice]]</f>
        <v>60000</v>
      </c>
      <c r="I870">
        <f>Table1[[#This Row],[Qty]]*Table1[[#This Row],[CostPrice]]</f>
        <v>31000</v>
      </c>
      <c r="J870">
        <v>28797</v>
      </c>
      <c r="K870">
        <v>202.99999999999997</v>
      </c>
      <c r="L870" t="s">
        <v>13</v>
      </c>
      <c r="M870" t="s">
        <v>30</v>
      </c>
      <c r="N870">
        <f>MONTH(Table1[[#This Row],[SaleDate]])</f>
        <v>4</v>
      </c>
      <c r="O870" t="str">
        <f>TEXT(Table1[[#This Row],[SaleDate]],"MMM")</f>
        <v>Apr</v>
      </c>
    </row>
    <row r="871" spans="1:15">
      <c r="A871" s="1">
        <v>45033</v>
      </c>
      <c r="B871" t="s">
        <v>25</v>
      </c>
      <c r="C871" t="s">
        <v>21</v>
      </c>
      <c r="D871">
        <v>1</v>
      </c>
      <c r="E871" t="s">
        <v>10</v>
      </c>
      <c r="F871">
        <v>89000</v>
      </c>
      <c r="G871">
        <v>65000</v>
      </c>
      <c r="H871">
        <f>Table1[[#This Row],[Qty]]*Table1[[#This Row],[SellingPrice]]</f>
        <v>89000</v>
      </c>
      <c r="I871">
        <f>Table1[[#This Row],[Qty]]*Table1[[#This Row],[CostPrice]]</f>
        <v>65000</v>
      </c>
      <c r="J871">
        <v>23832</v>
      </c>
      <c r="K871">
        <v>167.99999999999997</v>
      </c>
      <c r="L871" t="s">
        <v>13</v>
      </c>
      <c r="M871" t="s">
        <v>29</v>
      </c>
      <c r="N871">
        <f>MONTH(Table1[[#This Row],[SaleDate]])</f>
        <v>4</v>
      </c>
      <c r="O871" t="str">
        <f>TEXT(Table1[[#This Row],[SaleDate]],"MMM")</f>
        <v>Apr</v>
      </c>
    </row>
    <row r="872" spans="1:15">
      <c r="A872" s="1">
        <v>45034</v>
      </c>
      <c r="B872" t="s">
        <v>23</v>
      </c>
      <c r="C872" t="s">
        <v>19</v>
      </c>
      <c r="D872">
        <v>1</v>
      </c>
      <c r="E872" t="s">
        <v>7</v>
      </c>
      <c r="F872">
        <v>33000</v>
      </c>
      <c r="G872">
        <v>18000</v>
      </c>
      <c r="H872">
        <f>Table1[[#This Row],[Qty]]*Table1[[#This Row],[SellingPrice]]</f>
        <v>33000</v>
      </c>
      <c r="I872">
        <f>Table1[[#This Row],[Qty]]*Table1[[#This Row],[CostPrice]]</f>
        <v>18000</v>
      </c>
      <c r="J872">
        <v>14895</v>
      </c>
      <c r="K872">
        <v>104.99999999999999</v>
      </c>
      <c r="L872" t="s">
        <v>8</v>
      </c>
      <c r="M872" t="s">
        <v>27</v>
      </c>
      <c r="N872">
        <f>MONTH(Table1[[#This Row],[SaleDate]])</f>
        <v>4</v>
      </c>
      <c r="O872" t="str">
        <f>TEXT(Table1[[#This Row],[SaleDate]],"MMM")</f>
        <v>Apr</v>
      </c>
    </row>
    <row r="873" spans="1:15">
      <c r="A873" s="1">
        <v>45034</v>
      </c>
      <c r="B873" t="s">
        <v>23</v>
      </c>
      <c r="C873" t="s">
        <v>19</v>
      </c>
      <c r="D873">
        <v>1</v>
      </c>
      <c r="E873" t="s">
        <v>9</v>
      </c>
      <c r="F873">
        <v>60000</v>
      </c>
      <c r="G873">
        <v>31000</v>
      </c>
      <c r="H873">
        <f>Table1[[#This Row],[Qty]]*Table1[[#This Row],[SellingPrice]]</f>
        <v>60000</v>
      </c>
      <c r="I873">
        <f>Table1[[#This Row],[Qty]]*Table1[[#This Row],[CostPrice]]</f>
        <v>31000</v>
      </c>
      <c r="J873">
        <v>28797</v>
      </c>
      <c r="K873">
        <v>202.99999999999997</v>
      </c>
      <c r="L873" t="s">
        <v>8</v>
      </c>
      <c r="M873" t="s">
        <v>29</v>
      </c>
      <c r="N873">
        <f>MONTH(Table1[[#This Row],[SaleDate]])</f>
        <v>4</v>
      </c>
      <c r="O873" t="str">
        <f>TEXT(Table1[[#This Row],[SaleDate]],"MMM")</f>
        <v>Apr</v>
      </c>
    </row>
    <row r="874" spans="1:15">
      <c r="A874" s="1">
        <v>45034</v>
      </c>
      <c r="B874" t="s">
        <v>23</v>
      </c>
      <c r="C874" t="s">
        <v>19</v>
      </c>
      <c r="D874">
        <v>1</v>
      </c>
      <c r="E874" t="s">
        <v>10</v>
      </c>
      <c r="F874">
        <v>89000</v>
      </c>
      <c r="G874">
        <v>65000</v>
      </c>
      <c r="H874">
        <f>Table1[[#This Row],[Qty]]*Table1[[#This Row],[SellingPrice]]</f>
        <v>89000</v>
      </c>
      <c r="I874">
        <f>Table1[[#This Row],[Qty]]*Table1[[#This Row],[CostPrice]]</f>
        <v>65000</v>
      </c>
      <c r="J874">
        <v>23832</v>
      </c>
      <c r="K874">
        <v>167.99999999999997</v>
      </c>
      <c r="L874" t="s">
        <v>8</v>
      </c>
      <c r="M874" t="s">
        <v>30</v>
      </c>
      <c r="N874">
        <f>MONTH(Table1[[#This Row],[SaleDate]])</f>
        <v>4</v>
      </c>
      <c r="O874" t="str">
        <f>TEXT(Table1[[#This Row],[SaleDate]],"MMM")</f>
        <v>Apr</v>
      </c>
    </row>
    <row r="875" spans="1:15">
      <c r="A875" s="1">
        <v>45034</v>
      </c>
      <c r="B875" t="s">
        <v>26</v>
      </c>
      <c r="C875" t="s">
        <v>20</v>
      </c>
      <c r="D875">
        <v>1</v>
      </c>
      <c r="E875" t="s">
        <v>7</v>
      </c>
      <c r="F875">
        <v>33000</v>
      </c>
      <c r="G875">
        <v>18000</v>
      </c>
      <c r="H875">
        <f>Table1[[#This Row],[Qty]]*Table1[[#This Row],[SellingPrice]]</f>
        <v>33000</v>
      </c>
      <c r="I875">
        <f>Table1[[#This Row],[Qty]]*Table1[[#This Row],[CostPrice]]</f>
        <v>18000</v>
      </c>
      <c r="J875">
        <v>14895</v>
      </c>
      <c r="K875">
        <v>104.99999999999999</v>
      </c>
      <c r="L875" t="s">
        <v>11</v>
      </c>
      <c r="M875" t="s">
        <v>27</v>
      </c>
      <c r="N875">
        <f>MONTH(Table1[[#This Row],[SaleDate]])</f>
        <v>4</v>
      </c>
      <c r="O875" t="str">
        <f>TEXT(Table1[[#This Row],[SaleDate]],"MMM")</f>
        <v>Apr</v>
      </c>
    </row>
    <row r="876" spans="1:15">
      <c r="A876" s="1">
        <v>45034</v>
      </c>
      <c r="B876" t="s">
        <v>24</v>
      </c>
      <c r="C876" t="s">
        <v>22</v>
      </c>
      <c r="D876">
        <v>1</v>
      </c>
      <c r="E876" t="s">
        <v>7</v>
      </c>
      <c r="F876">
        <v>33000</v>
      </c>
      <c r="G876">
        <v>18000</v>
      </c>
      <c r="H876">
        <f>Table1[[#This Row],[Qty]]*Table1[[#This Row],[SellingPrice]]</f>
        <v>33000</v>
      </c>
      <c r="I876">
        <f>Table1[[#This Row],[Qty]]*Table1[[#This Row],[CostPrice]]</f>
        <v>18000</v>
      </c>
      <c r="J876">
        <v>14895</v>
      </c>
      <c r="K876">
        <v>104.99999999999999</v>
      </c>
      <c r="L876" t="s">
        <v>12</v>
      </c>
      <c r="M876" t="s">
        <v>27</v>
      </c>
      <c r="N876">
        <f>MONTH(Table1[[#This Row],[SaleDate]])</f>
        <v>4</v>
      </c>
      <c r="O876" t="str">
        <f>TEXT(Table1[[#This Row],[SaleDate]],"MMM")</f>
        <v>Apr</v>
      </c>
    </row>
    <row r="877" spans="1:15">
      <c r="A877" s="1">
        <v>45034</v>
      </c>
      <c r="B877" t="s">
        <v>25</v>
      </c>
      <c r="C877" t="s">
        <v>21</v>
      </c>
      <c r="D877">
        <v>1</v>
      </c>
      <c r="E877" t="s">
        <v>7</v>
      </c>
      <c r="F877">
        <v>33000</v>
      </c>
      <c r="G877">
        <v>18000</v>
      </c>
      <c r="H877">
        <f>Table1[[#This Row],[Qty]]*Table1[[#This Row],[SellingPrice]]</f>
        <v>33000</v>
      </c>
      <c r="I877">
        <f>Table1[[#This Row],[Qty]]*Table1[[#This Row],[CostPrice]]</f>
        <v>18000</v>
      </c>
      <c r="J877">
        <v>14895</v>
      </c>
      <c r="K877">
        <v>104.99999999999999</v>
      </c>
      <c r="L877" t="s">
        <v>13</v>
      </c>
      <c r="M877" t="s">
        <v>29</v>
      </c>
      <c r="N877">
        <f>MONTH(Table1[[#This Row],[SaleDate]])</f>
        <v>4</v>
      </c>
      <c r="O877" t="str">
        <f>TEXT(Table1[[#This Row],[SaleDate]],"MMM")</f>
        <v>Apr</v>
      </c>
    </row>
    <row r="878" spans="1:15">
      <c r="A878" s="1">
        <v>45034</v>
      </c>
      <c r="B878" t="s">
        <v>25</v>
      </c>
      <c r="C878" t="s">
        <v>21</v>
      </c>
      <c r="D878">
        <v>1</v>
      </c>
      <c r="E878" t="s">
        <v>9</v>
      </c>
      <c r="F878">
        <v>60000</v>
      </c>
      <c r="G878">
        <v>31000</v>
      </c>
      <c r="H878">
        <f>Table1[[#This Row],[Qty]]*Table1[[#This Row],[SellingPrice]]</f>
        <v>60000</v>
      </c>
      <c r="I878">
        <f>Table1[[#This Row],[Qty]]*Table1[[#This Row],[CostPrice]]</f>
        <v>31000</v>
      </c>
      <c r="J878">
        <v>28797</v>
      </c>
      <c r="K878">
        <v>202.99999999999997</v>
      </c>
      <c r="L878" t="s">
        <v>13</v>
      </c>
      <c r="M878" t="s">
        <v>29</v>
      </c>
      <c r="N878">
        <f>MONTH(Table1[[#This Row],[SaleDate]])</f>
        <v>4</v>
      </c>
      <c r="O878" t="str">
        <f>TEXT(Table1[[#This Row],[SaleDate]],"MMM")</f>
        <v>Apr</v>
      </c>
    </row>
    <row r="879" spans="1:15">
      <c r="A879" s="1">
        <v>45034</v>
      </c>
      <c r="B879" t="s">
        <v>25</v>
      </c>
      <c r="C879" t="s">
        <v>21</v>
      </c>
      <c r="D879">
        <v>1</v>
      </c>
      <c r="E879" t="s">
        <v>10</v>
      </c>
      <c r="F879">
        <v>89000</v>
      </c>
      <c r="G879">
        <v>65000</v>
      </c>
      <c r="H879">
        <f>Table1[[#This Row],[Qty]]*Table1[[#This Row],[SellingPrice]]</f>
        <v>89000</v>
      </c>
      <c r="I879">
        <f>Table1[[#This Row],[Qty]]*Table1[[#This Row],[CostPrice]]</f>
        <v>65000</v>
      </c>
      <c r="J879">
        <v>23832</v>
      </c>
      <c r="K879">
        <v>167.99999999999997</v>
      </c>
      <c r="L879" t="s">
        <v>13</v>
      </c>
      <c r="M879" t="s">
        <v>29</v>
      </c>
      <c r="N879">
        <f>MONTH(Table1[[#This Row],[SaleDate]])</f>
        <v>4</v>
      </c>
      <c r="O879" t="str">
        <f>TEXT(Table1[[#This Row],[SaleDate]],"MMM")</f>
        <v>Apr</v>
      </c>
    </row>
    <row r="880" spans="1:15">
      <c r="A880" s="1">
        <v>45035</v>
      </c>
      <c r="B880" t="s">
        <v>23</v>
      </c>
      <c r="C880" t="s">
        <v>19</v>
      </c>
      <c r="D880">
        <v>1</v>
      </c>
      <c r="E880" t="s">
        <v>7</v>
      </c>
      <c r="F880">
        <v>33000</v>
      </c>
      <c r="G880">
        <v>18000</v>
      </c>
      <c r="H880">
        <f>Table1[[#This Row],[Qty]]*Table1[[#This Row],[SellingPrice]]</f>
        <v>33000</v>
      </c>
      <c r="I880">
        <f>Table1[[#This Row],[Qty]]*Table1[[#This Row],[CostPrice]]</f>
        <v>18000</v>
      </c>
      <c r="J880">
        <v>14895</v>
      </c>
      <c r="K880">
        <v>104.99999999999999</v>
      </c>
      <c r="L880" t="s">
        <v>8</v>
      </c>
      <c r="M880" t="s">
        <v>29</v>
      </c>
      <c r="N880">
        <f>MONTH(Table1[[#This Row],[SaleDate]])</f>
        <v>4</v>
      </c>
      <c r="O880" t="str">
        <f>TEXT(Table1[[#This Row],[SaleDate]],"MMM")</f>
        <v>Apr</v>
      </c>
    </row>
    <row r="881" spans="1:15">
      <c r="A881" s="1">
        <v>45035</v>
      </c>
      <c r="B881" t="s">
        <v>23</v>
      </c>
      <c r="C881" t="s">
        <v>19</v>
      </c>
      <c r="D881">
        <v>1</v>
      </c>
      <c r="E881" t="s">
        <v>9</v>
      </c>
      <c r="F881">
        <v>60000</v>
      </c>
      <c r="G881">
        <v>31000</v>
      </c>
      <c r="H881">
        <f>Table1[[#This Row],[Qty]]*Table1[[#This Row],[SellingPrice]]</f>
        <v>60000</v>
      </c>
      <c r="I881">
        <f>Table1[[#This Row],[Qty]]*Table1[[#This Row],[CostPrice]]</f>
        <v>31000</v>
      </c>
      <c r="J881">
        <v>28797</v>
      </c>
      <c r="K881">
        <v>202.99999999999997</v>
      </c>
      <c r="L881" t="s">
        <v>8</v>
      </c>
      <c r="M881" t="s">
        <v>30</v>
      </c>
      <c r="N881">
        <f>MONTH(Table1[[#This Row],[SaleDate]])</f>
        <v>4</v>
      </c>
      <c r="O881" t="str">
        <f>TEXT(Table1[[#This Row],[SaleDate]],"MMM")</f>
        <v>Apr</v>
      </c>
    </row>
    <row r="882" spans="1:15">
      <c r="A882" s="1">
        <v>45035</v>
      </c>
      <c r="B882" t="s">
        <v>23</v>
      </c>
      <c r="C882" t="s">
        <v>19</v>
      </c>
      <c r="D882">
        <v>1</v>
      </c>
      <c r="E882" t="s">
        <v>10</v>
      </c>
      <c r="F882">
        <v>89000</v>
      </c>
      <c r="G882">
        <v>65000</v>
      </c>
      <c r="H882">
        <f>Table1[[#This Row],[Qty]]*Table1[[#This Row],[SellingPrice]]</f>
        <v>89000</v>
      </c>
      <c r="I882">
        <f>Table1[[#This Row],[Qty]]*Table1[[#This Row],[CostPrice]]</f>
        <v>65000</v>
      </c>
      <c r="J882">
        <v>23832</v>
      </c>
      <c r="K882">
        <v>167.99999999999997</v>
      </c>
      <c r="L882" t="s">
        <v>8</v>
      </c>
      <c r="M882" t="s">
        <v>27</v>
      </c>
      <c r="N882">
        <f>MONTH(Table1[[#This Row],[SaleDate]])</f>
        <v>4</v>
      </c>
      <c r="O882" t="str">
        <f>TEXT(Table1[[#This Row],[SaleDate]],"MMM")</f>
        <v>Apr</v>
      </c>
    </row>
    <row r="883" spans="1:15">
      <c r="A883" s="1">
        <v>45035</v>
      </c>
      <c r="B883" t="s">
        <v>26</v>
      </c>
      <c r="C883" t="s">
        <v>20</v>
      </c>
      <c r="D883">
        <v>1</v>
      </c>
      <c r="E883" t="s">
        <v>7</v>
      </c>
      <c r="F883">
        <v>33000</v>
      </c>
      <c r="G883">
        <v>18000</v>
      </c>
      <c r="H883">
        <f>Table1[[#This Row],[Qty]]*Table1[[#This Row],[SellingPrice]]</f>
        <v>33000</v>
      </c>
      <c r="I883">
        <f>Table1[[#This Row],[Qty]]*Table1[[#This Row],[CostPrice]]</f>
        <v>18000</v>
      </c>
      <c r="J883">
        <v>14895</v>
      </c>
      <c r="K883">
        <v>104.99999999999999</v>
      </c>
      <c r="L883" t="s">
        <v>11</v>
      </c>
      <c r="M883" t="s">
        <v>27</v>
      </c>
      <c r="N883">
        <f>MONTH(Table1[[#This Row],[SaleDate]])</f>
        <v>4</v>
      </c>
      <c r="O883" t="str">
        <f>TEXT(Table1[[#This Row],[SaleDate]],"MMM")</f>
        <v>Apr</v>
      </c>
    </row>
    <row r="884" spans="1:15">
      <c r="A884" s="1">
        <v>45035</v>
      </c>
      <c r="B884" t="s">
        <v>24</v>
      </c>
      <c r="C884" t="s">
        <v>22</v>
      </c>
      <c r="D884">
        <v>1</v>
      </c>
      <c r="E884" t="s">
        <v>7</v>
      </c>
      <c r="F884">
        <v>33000</v>
      </c>
      <c r="G884">
        <v>18000</v>
      </c>
      <c r="H884">
        <f>Table1[[#This Row],[Qty]]*Table1[[#This Row],[SellingPrice]]</f>
        <v>33000</v>
      </c>
      <c r="I884">
        <f>Table1[[#This Row],[Qty]]*Table1[[#This Row],[CostPrice]]</f>
        <v>18000</v>
      </c>
      <c r="J884">
        <v>14895</v>
      </c>
      <c r="K884">
        <v>104.99999999999999</v>
      </c>
      <c r="L884" t="s">
        <v>12</v>
      </c>
      <c r="M884" t="s">
        <v>28</v>
      </c>
      <c r="N884">
        <f>MONTH(Table1[[#This Row],[SaleDate]])</f>
        <v>4</v>
      </c>
      <c r="O884" t="str">
        <f>TEXT(Table1[[#This Row],[SaleDate]],"MMM")</f>
        <v>Apr</v>
      </c>
    </row>
    <row r="885" spans="1:15">
      <c r="A885" s="1">
        <v>45035</v>
      </c>
      <c r="B885" t="s">
        <v>25</v>
      </c>
      <c r="C885" t="s">
        <v>21</v>
      </c>
      <c r="D885">
        <v>1</v>
      </c>
      <c r="E885" t="s">
        <v>7</v>
      </c>
      <c r="F885">
        <v>33000</v>
      </c>
      <c r="G885">
        <v>18000</v>
      </c>
      <c r="H885">
        <f>Table1[[#This Row],[Qty]]*Table1[[#This Row],[SellingPrice]]</f>
        <v>33000</v>
      </c>
      <c r="I885">
        <f>Table1[[#This Row],[Qty]]*Table1[[#This Row],[CostPrice]]</f>
        <v>18000</v>
      </c>
      <c r="J885">
        <v>14895</v>
      </c>
      <c r="K885">
        <v>104.99999999999999</v>
      </c>
      <c r="L885" t="s">
        <v>13</v>
      </c>
      <c r="M885" t="s">
        <v>30</v>
      </c>
      <c r="N885">
        <f>MONTH(Table1[[#This Row],[SaleDate]])</f>
        <v>4</v>
      </c>
      <c r="O885" t="str">
        <f>TEXT(Table1[[#This Row],[SaleDate]],"MMM")</f>
        <v>Apr</v>
      </c>
    </row>
    <row r="886" spans="1:15">
      <c r="A886" s="1">
        <v>45035</v>
      </c>
      <c r="B886" t="s">
        <v>25</v>
      </c>
      <c r="C886" t="s">
        <v>21</v>
      </c>
      <c r="D886">
        <v>1</v>
      </c>
      <c r="E886" t="s">
        <v>9</v>
      </c>
      <c r="F886">
        <v>60000</v>
      </c>
      <c r="G886">
        <v>31000</v>
      </c>
      <c r="H886">
        <f>Table1[[#This Row],[Qty]]*Table1[[#This Row],[SellingPrice]]</f>
        <v>60000</v>
      </c>
      <c r="I886">
        <f>Table1[[#This Row],[Qty]]*Table1[[#This Row],[CostPrice]]</f>
        <v>31000</v>
      </c>
      <c r="J886">
        <v>28797</v>
      </c>
      <c r="K886">
        <v>202.99999999999997</v>
      </c>
      <c r="L886" t="s">
        <v>13</v>
      </c>
      <c r="M886" t="s">
        <v>30</v>
      </c>
      <c r="N886">
        <f>MONTH(Table1[[#This Row],[SaleDate]])</f>
        <v>4</v>
      </c>
      <c r="O886" t="str">
        <f>TEXT(Table1[[#This Row],[SaleDate]],"MMM")</f>
        <v>Apr</v>
      </c>
    </row>
    <row r="887" spans="1:15">
      <c r="A887" s="1">
        <v>45035</v>
      </c>
      <c r="B887" t="s">
        <v>25</v>
      </c>
      <c r="C887" t="s">
        <v>21</v>
      </c>
      <c r="D887">
        <v>1</v>
      </c>
      <c r="E887" t="s">
        <v>10</v>
      </c>
      <c r="F887">
        <v>89000</v>
      </c>
      <c r="G887">
        <v>65000</v>
      </c>
      <c r="H887">
        <f>Table1[[#This Row],[Qty]]*Table1[[#This Row],[SellingPrice]]</f>
        <v>89000</v>
      </c>
      <c r="I887">
        <f>Table1[[#This Row],[Qty]]*Table1[[#This Row],[CostPrice]]</f>
        <v>65000</v>
      </c>
      <c r="J887">
        <v>23832</v>
      </c>
      <c r="K887">
        <v>167.99999999999997</v>
      </c>
      <c r="L887" t="s">
        <v>13</v>
      </c>
      <c r="M887" t="s">
        <v>27</v>
      </c>
      <c r="N887">
        <f>MONTH(Table1[[#This Row],[SaleDate]])</f>
        <v>4</v>
      </c>
      <c r="O887" t="str">
        <f>TEXT(Table1[[#This Row],[SaleDate]],"MMM")</f>
        <v>Apr</v>
      </c>
    </row>
    <row r="888" spans="1:15">
      <c r="A888" s="1">
        <v>45036</v>
      </c>
      <c r="B888" t="s">
        <v>23</v>
      </c>
      <c r="C888" t="s">
        <v>19</v>
      </c>
      <c r="D888">
        <v>1</v>
      </c>
      <c r="E888" t="s">
        <v>7</v>
      </c>
      <c r="F888">
        <v>33000</v>
      </c>
      <c r="G888">
        <v>18000</v>
      </c>
      <c r="H888">
        <f>Table1[[#This Row],[Qty]]*Table1[[#This Row],[SellingPrice]]</f>
        <v>33000</v>
      </c>
      <c r="I888">
        <f>Table1[[#This Row],[Qty]]*Table1[[#This Row],[CostPrice]]</f>
        <v>18000</v>
      </c>
      <c r="J888">
        <v>14895</v>
      </c>
      <c r="K888">
        <v>104.99999999999999</v>
      </c>
      <c r="L888" t="s">
        <v>8</v>
      </c>
      <c r="M888" t="s">
        <v>30</v>
      </c>
      <c r="N888">
        <f>MONTH(Table1[[#This Row],[SaleDate]])</f>
        <v>4</v>
      </c>
      <c r="O888" t="str">
        <f>TEXT(Table1[[#This Row],[SaleDate]],"MMM")</f>
        <v>Apr</v>
      </c>
    </row>
    <row r="889" spans="1:15">
      <c r="A889" s="1">
        <v>45036</v>
      </c>
      <c r="B889" t="s">
        <v>23</v>
      </c>
      <c r="C889" t="s">
        <v>19</v>
      </c>
      <c r="D889">
        <v>1</v>
      </c>
      <c r="E889" t="s">
        <v>9</v>
      </c>
      <c r="F889">
        <v>60000</v>
      </c>
      <c r="G889">
        <v>31000</v>
      </c>
      <c r="H889">
        <f>Table1[[#This Row],[Qty]]*Table1[[#This Row],[SellingPrice]]</f>
        <v>60000</v>
      </c>
      <c r="I889">
        <f>Table1[[#This Row],[Qty]]*Table1[[#This Row],[CostPrice]]</f>
        <v>31000</v>
      </c>
      <c r="J889">
        <v>28797</v>
      </c>
      <c r="K889">
        <v>202.99999999999997</v>
      </c>
      <c r="L889" t="s">
        <v>8</v>
      </c>
      <c r="M889" t="s">
        <v>29</v>
      </c>
      <c r="N889">
        <f>MONTH(Table1[[#This Row],[SaleDate]])</f>
        <v>4</v>
      </c>
      <c r="O889" t="str">
        <f>TEXT(Table1[[#This Row],[SaleDate]],"MMM")</f>
        <v>Apr</v>
      </c>
    </row>
    <row r="890" spans="1:15">
      <c r="A890" s="1">
        <v>45036</v>
      </c>
      <c r="B890" t="s">
        <v>23</v>
      </c>
      <c r="C890" t="s">
        <v>19</v>
      </c>
      <c r="D890">
        <v>1</v>
      </c>
      <c r="E890" t="s">
        <v>10</v>
      </c>
      <c r="F890">
        <v>89000</v>
      </c>
      <c r="G890">
        <v>65000</v>
      </c>
      <c r="H890">
        <f>Table1[[#This Row],[Qty]]*Table1[[#This Row],[SellingPrice]]</f>
        <v>89000</v>
      </c>
      <c r="I890">
        <f>Table1[[#This Row],[Qty]]*Table1[[#This Row],[CostPrice]]</f>
        <v>65000</v>
      </c>
      <c r="J890">
        <v>23832</v>
      </c>
      <c r="K890">
        <v>167.99999999999997</v>
      </c>
      <c r="L890" t="s">
        <v>8</v>
      </c>
      <c r="M890" t="s">
        <v>27</v>
      </c>
      <c r="N890">
        <f>MONTH(Table1[[#This Row],[SaleDate]])</f>
        <v>4</v>
      </c>
      <c r="O890" t="str">
        <f>TEXT(Table1[[#This Row],[SaleDate]],"MMM")</f>
        <v>Apr</v>
      </c>
    </row>
    <row r="891" spans="1:15">
      <c r="A891" s="1">
        <v>45036</v>
      </c>
      <c r="B891" t="s">
        <v>26</v>
      </c>
      <c r="C891" t="s">
        <v>20</v>
      </c>
      <c r="D891">
        <v>1</v>
      </c>
      <c r="E891" t="s">
        <v>7</v>
      </c>
      <c r="F891">
        <v>33000</v>
      </c>
      <c r="G891">
        <v>18000</v>
      </c>
      <c r="H891">
        <f>Table1[[#This Row],[Qty]]*Table1[[#This Row],[SellingPrice]]</f>
        <v>33000</v>
      </c>
      <c r="I891">
        <f>Table1[[#This Row],[Qty]]*Table1[[#This Row],[CostPrice]]</f>
        <v>18000</v>
      </c>
      <c r="J891">
        <v>14895</v>
      </c>
      <c r="K891">
        <v>104.99999999999999</v>
      </c>
      <c r="L891" t="s">
        <v>11</v>
      </c>
      <c r="M891" t="s">
        <v>30</v>
      </c>
      <c r="N891">
        <f>MONTH(Table1[[#This Row],[SaleDate]])</f>
        <v>4</v>
      </c>
      <c r="O891" t="str">
        <f>TEXT(Table1[[#This Row],[SaleDate]],"MMM")</f>
        <v>Apr</v>
      </c>
    </row>
    <row r="892" spans="1:15">
      <c r="A892" s="1">
        <v>45036</v>
      </c>
      <c r="B892" t="s">
        <v>24</v>
      </c>
      <c r="C892" t="s">
        <v>22</v>
      </c>
      <c r="D892">
        <v>1</v>
      </c>
      <c r="E892" t="s">
        <v>7</v>
      </c>
      <c r="F892">
        <v>33000</v>
      </c>
      <c r="G892">
        <v>18000</v>
      </c>
      <c r="H892">
        <f>Table1[[#This Row],[Qty]]*Table1[[#This Row],[SellingPrice]]</f>
        <v>33000</v>
      </c>
      <c r="I892">
        <f>Table1[[#This Row],[Qty]]*Table1[[#This Row],[CostPrice]]</f>
        <v>18000</v>
      </c>
      <c r="J892">
        <v>14895</v>
      </c>
      <c r="K892">
        <v>104.99999999999999</v>
      </c>
      <c r="L892" t="s">
        <v>12</v>
      </c>
      <c r="M892" t="s">
        <v>30</v>
      </c>
      <c r="N892">
        <f>MONTH(Table1[[#This Row],[SaleDate]])</f>
        <v>4</v>
      </c>
      <c r="O892" t="str">
        <f>TEXT(Table1[[#This Row],[SaleDate]],"MMM")</f>
        <v>Apr</v>
      </c>
    </row>
    <row r="893" spans="1:15">
      <c r="A893" s="1">
        <v>45036</v>
      </c>
      <c r="B893" t="s">
        <v>25</v>
      </c>
      <c r="C893" t="s">
        <v>21</v>
      </c>
      <c r="D893">
        <v>1</v>
      </c>
      <c r="E893" t="s">
        <v>7</v>
      </c>
      <c r="F893">
        <v>33000</v>
      </c>
      <c r="G893">
        <v>18000</v>
      </c>
      <c r="H893">
        <f>Table1[[#This Row],[Qty]]*Table1[[#This Row],[SellingPrice]]</f>
        <v>33000</v>
      </c>
      <c r="I893">
        <f>Table1[[#This Row],[Qty]]*Table1[[#This Row],[CostPrice]]</f>
        <v>18000</v>
      </c>
      <c r="J893">
        <v>14895</v>
      </c>
      <c r="K893">
        <v>104.99999999999999</v>
      </c>
      <c r="L893" t="s">
        <v>13</v>
      </c>
      <c r="M893" t="s">
        <v>29</v>
      </c>
      <c r="N893">
        <f>MONTH(Table1[[#This Row],[SaleDate]])</f>
        <v>4</v>
      </c>
      <c r="O893" t="str">
        <f>TEXT(Table1[[#This Row],[SaleDate]],"MMM")</f>
        <v>Apr</v>
      </c>
    </row>
    <row r="894" spans="1:15">
      <c r="A894" s="1">
        <v>45036</v>
      </c>
      <c r="B894" t="s">
        <v>25</v>
      </c>
      <c r="C894" t="s">
        <v>21</v>
      </c>
      <c r="D894">
        <v>1</v>
      </c>
      <c r="E894" t="s">
        <v>9</v>
      </c>
      <c r="F894">
        <v>60000</v>
      </c>
      <c r="G894">
        <v>31000</v>
      </c>
      <c r="H894">
        <f>Table1[[#This Row],[Qty]]*Table1[[#This Row],[SellingPrice]]</f>
        <v>60000</v>
      </c>
      <c r="I894">
        <f>Table1[[#This Row],[Qty]]*Table1[[#This Row],[CostPrice]]</f>
        <v>31000</v>
      </c>
      <c r="J894">
        <v>28797</v>
      </c>
      <c r="K894">
        <v>202.99999999999997</v>
      </c>
      <c r="L894" t="s">
        <v>13</v>
      </c>
      <c r="M894" t="s">
        <v>27</v>
      </c>
      <c r="N894">
        <f>MONTH(Table1[[#This Row],[SaleDate]])</f>
        <v>4</v>
      </c>
      <c r="O894" t="str">
        <f>TEXT(Table1[[#This Row],[SaleDate]],"MMM")</f>
        <v>Apr</v>
      </c>
    </row>
    <row r="895" spans="1:15">
      <c r="A895" s="1">
        <v>45036</v>
      </c>
      <c r="B895" t="s">
        <v>25</v>
      </c>
      <c r="C895" t="s">
        <v>21</v>
      </c>
      <c r="D895">
        <v>1</v>
      </c>
      <c r="E895" t="s">
        <v>10</v>
      </c>
      <c r="F895">
        <v>89000</v>
      </c>
      <c r="G895">
        <v>65000</v>
      </c>
      <c r="H895">
        <f>Table1[[#This Row],[Qty]]*Table1[[#This Row],[SellingPrice]]</f>
        <v>89000</v>
      </c>
      <c r="I895">
        <f>Table1[[#This Row],[Qty]]*Table1[[#This Row],[CostPrice]]</f>
        <v>65000</v>
      </c>
      <c r="J895">
        <v>23832</v>
      </c>
      <c r="K895">
        <v>167.99999999999997</v>
      </c>
      <c r="L895" t="s">
        <v>13</v>
      </c>
      <c r="M895" t="s">
        <v>29</v>
      </c>
      <c r="N895">
        <f>MONTH(Table1[[#This Row],[SaleDate]])</f>
        <v>4</v>
      </c>
      <c r="O895" t="str">
        <f>TEXT(Table1[[#This Row],[SaleDate]],"MMM")</f>
        <v>Apr</v>
      </c>
    </row>
    <row r="896" spans="1:15">
      <c r="A896" s="1">
        <v>45037</v>
      </c>
      <c r="B896" t="s">
        <v>23</v>
      </c>
      <c r="C896" t="s">
        <v>19</v>
      </c>
      <c r="D896">
        <v>1</v>
      </c>
      <c r="E896" t="s">
        <v>7</v>
      </c>
      <c r="F896">
        <v>33000</v>
      </c>
      <c r="G896">
        <v>18000</v>
      </c>
      <c r="H896">
        <f>Table1[[#This Row],[Qty]]*Table1[[#This Row],[SellingPrice]]</f>
        <v>33000</v>
      </c>
      <c r="I896">
        <f>Table1[[#This Row],[Qty]]*Table1[[#This Row],[CostPrice]]</f>
        <v>18000</v>
      </c>
      <c r="J896">
        <v>14895</v>
      </c>
      <c r="K896">
        <v>104.99999999999999</v>
      </c>
      <c r="L896" t="s">
        <v>8</v>
      </c>
      <c r="M896" t="s">
        <v>28</v>
      </c>
      <c r="N896">
        <f>MONTH(Table1[[#This Row],[SaleDate]])</f>
        <v>4</v>
      </c>
      <c r="O896" t="str">
        <f>TEXT(Table1[[#This Row],[SaleDate]],"MMM")</f>
        <v>Apr</v>
      </c>
    </row>
    <row r="897" spans="1:15">
      <c r="A897" s="1">
        <v>45037</v>
      </c>
      <c r="B897" t="s">
        <v>23</v>
      </c>
      <c r="C897" t="s">
        <v>19</v>
      </c>
      <c r="D897">
        <v>1</v>
      </c>
      <c r="E897" t="s">
        <v>9</v>
      </c>
      <c r="F897">
        <v>60000</v>
      </c>
      <c r="G897">
        <v>31000</v>
      </c>
      <c r="H897">
        <f>Table1[[#This Row],[Qty]]*Table1[[#This Row],[SellingPrice]]</f>
        <v>60000</v>
      </c>
      <c r="I897">
        <f>Table1[[#This Row],[Qty]]*Table1[[#This Row],[CostPrice]]</f>
        <v>31000</v>
      </c>
      <c r="J897">
        <v>28797</v>
      </c>
      <c r="K897">
        <v>202.99999999999997</v>
      </c>
      <c r="L897" t="s">
        <v>8</v>
      </c>
      <c r="M897" t="s">
        <v>29</v>
      </c>
      <c r="N897">
        <f>MONTH(Table1[[#This Row],[SaleDate]])</f>
        <v>4</v>
      </c>
      <c r="O897" t="str">
        <f>TEXT(Table1[[#This Row],[SaleDate]],"MMM")</f>
        <v>Apr</v>
      </c>
    </row>
    <row r="898" spans="1:15">
      <c r="A898" s="1">
        <v>45037</v>
      </c>
      <c r="B898" t="s">
        <v>23</v>
      </c>
      <c r="C898" t="s">
        <v>19</v>
      </c>
      <c r="D898">
        <v>1</v>
      </c>
      <c r="E898" t="s">
        <v>10</v>
      </c>
      <c r="F898">
        <v>89000</v>
      </c>
      <c r="G898">
        <v>65000</v>
      </c>
      <c r="H898">
        <f>Table1[[#This Row],[Qty]]*Table1[[#This Row],[SellingPrice]]</f>
        <v>89000</v>
      </c>
      <c r="I898">
        <f>Table1[[#This Row],[Qty]]*Table1[[#This Row],[CostPrice]]</f>
        <v>65000</v>
      </c>
      <c r="J898">
        <v>23832</v>
      </c>
      <c r="K898">
        <v>167.99999999999997</v>
      </c>
      <c r="L898" t="s">
        <v>8</v>
      </c>
      <c r="M898" t="s">
        <v>30</v>
      </c>
      <c r="N898">
        <f>MONTH(Table1[[#This Row],[SaleDate]])</f>
        <v>4</v>
      </c>
      <c r="O898" t="str">
        <f>TEXT(Table1[[#This Row],[SaleDate]],"MMM")</f>
        <v>Apr</v>
      </c>
    </row>
    <row r="899" spans="1:15">
      <c r="A899" s="1">
        <v>45037</v>
      </c>
      <c r="B899" t="s">
        <v>26</v>
      </c>
      <c r="C899" t="s">
        <v>20</v>
      </c>
      <c r="D899">
        <v>1</v>
      </c>
      <c r="E899" t="s">
        <v>7</v>
      </c>
      <c r="F899">
        <v>33000</v>
      </c>
      <c r="G899">
        <v>18000</v>
      </c>
      <c r="H899">
        <f>Table1[[#This Row],[Qty]]*Table1[[#This Row],[SellingPrice]]</f>
        <v>33000</v>
      </c>
      <c r="I899">
        <f>Table1[[#This Row],[Qty]]*Table1[[#This Row],[CostPrice]]</f>
        <v>18000</v>
      </c>
      <c r="J899">
        <v>14895</v>
      </c>
      <c r="K899">
        <v>104.99999999999999</v>
      </c>
      <c r="L899" t="s">
        <v>11</v>
      </c>
      <c r="M899" t="s">
        <v>29</v>
      </c>
      <c r="N899">
        <f>MONTH(Table1[[#This Row],[SaleDate]])</f>
        <v>4</v>
      </c>
      <c r="O899" t="str">
        <f>TEXT(Table1[[#This Row],[SaleDate]],"MMM")</f>
        <v>Apr</v>
      </c>
    </row>
    <row r="900" spans="1:15">
      <c r="A900" s="1">
        <v>45037</v>
      </c>
      <c r="B900" t="s">
        <v>24</v>
      </c>
      <c r="C900" t="s">
        <v>22</v>
      </c>
      <c r="D900">
        <v>1</v>
      </c>
      <c r="E900" t="s">
        <v>7</v>
      </c>
      <c r="F900">
        <v>33000</v>
      </c>
      <c r="G900">
        <v>18000</v>
      </c>
      <c r="H900">
        <f>Table1[[#This Row],[Qty]]*Table1[[#This Row],[SellingPrice]]</f>
        <v>33000</v>
      </c>
      <c r="I900">
        <f>Table1[[#This Row],[Qty]]*Table1[[#This Row],[CostPrice]]</f>
        <v>18000</v>
      </c>
      <c r="J900">
        <v>14895</v>
      </c>
      <c r="K900">
        <v>104.99999999999999</v>
      </c>
      <c r="L900" t="s">
        <v>12</v>
      </c>
      <c r="M900" t="s">
        <v>29</v>
      </c>
      <c r="N900">
        <f>MONTH(Table1[[#This Row],[SaleDate]])</f>
        <v>4</v>
      </c>
      <c r="O900" t="str">
        <f>TEXT(Table1[[#This Row],[SaleDate]],"MMM")</f>
        <v>Apr</v>
      </c>
    </row>
    <row r="901" spans="1:15">
      <c r="A901" s="1">
        <v>45037</v>
      </c>
      <c r="B901" t="s">
        <v>25</v>
      </c>
      <c r="C901" t="s">
        <v>21</v>
      </c>
      <c r="D901">
        <v>1</v>
      </c>
      <c r="E901" t="s">
        <v>7</v>
      </c>
      <c r="F901">
        <v>33000</v>
      </c>
      <c r="G901">
        <v>18000</v>
      </c>
      <c r="H901">
        <f>Table1[[#This Row],[Qty]]*Table1[[#This Row],[SellingPrice]]</f>
        <v>33000</v>
      </c>
      <c r="I901">
        <f>Table1[[#This Row],[Qty]]*Table1[[#This Row],[CostPrice]]</f>
        <v>18000</v>
      </c>
      <c r="J901">
        <v>14895</v>
      </c>
      <c r="K901">
        <v>104.99999999999999</v>
      </c>
      <c r="L901" t="s">
        <v>13</v>
      </c>
      <c r="M901" t="s">
        <v>27</v>
      </c>
      <c r="N901">
        <f>MONTH(Table1[[#This Row],[SaleDate]])</f>
        <v>4</v>
      </c>
      <c r="O901" t="str">
        <f>TEXT(Table1[[#This Row],[SaleDate]],"MMM")</f>
        <v>Apr</v>
      </c>
    </row>
    <row r="902" spans="1:15">
      <c r="A902" s="1">
        <v>45037</v>
      </c>
      <c r="B902" t="s">
        <v>25</v>
      </c>
      <c r="C902" t="s">
        <v>21</v>
      </c>
      <c r="D902">
        <v>1</v>
      </c>
      <c r="E902" t="s">
        <v>9</v>
      </c>
      <c r="F902">
        <v>60000</v>
      </c>
      <c r="G902">
        <v>31000</v>
      </c>
      <c r="H902">
        <f>Table1[[#This Row],[Qty]]*Table1[[#This Row],[SellingPrice]]</f>
        <v>60000</v>
      </c>
      <c r="I902">
        <f>Table1[[#This Row],[Qty]]*Table1[[#This Row],[CostPrice]]</f>
        <v>31000</v>
      </c>
      <c r="J902">
        <v>28797</v>
      </c>
      <c r="K902">
        <v>202.99999999999997</v>
      </c>
      <c r="L902" t="s">
        <v>13</v>
      </c>
      <c r="M902" t="s">
        <v>28</v>
      </c>
      <c r="N902">
        <f>MONTH(Table1[[#This Row],[SaleDate]])</f>
        <v>4</v>
      </c>
      <c r="O902" t="str">
        <f>TEXT(Table1[[#This Row],[SaleDate]],"MMM")</f>
        <v>Apr</v>
      </c>
    </row>
    <row r="903" spans="1:15">
      <c r="A903" s="1">
        <v>45037</v>
      </c>
      <c r="B903" t="s">
        <v>25</v>
      </c>
      <c r="C903" t="s">
        <v>21</v>
      </c>
      <c r="D903">
        <v>1</v>
      </c>
      <c r="E903" t="s">
        <v>10</v>
      </c>
      <c r="F903">
        <v>89000</v>
      </c>
      <c r="G903">
        <v>65000</v>
      </c>
      <c r="H903">
        <f>Table1[[#This Row],[Qty]]*Table1[[#This Row],[SellingPrice]]</f>
        <v>89000</v>
      </c>
      <c r="I903">
        <f>Table1[[#This Row],[Qty]]*Table1[[#This Row],[CostPrice]]</f>
        <v>65000</v>
      </c>
      <c r="J903">
        <v>23832</v>
      </c>
      <c r="K903">
        <v>167.99999999999997</v>
      </c>
      <c r="L903" t="s">
        <v>13</v>
      </c>
      <c r="M903" t="s">
        <v>30</v>
      </c>
      <c r="N903">
        <f>MONTH(Table1[[#This Row],[SaleDate]])</f>
        <v>4</v>
      </c>
      <c r="O903" t="str">
        <f>TEXT(Table1[[#This Row],[SaleDate]],"MMM")</f>
        <v>Apr</v>
      </c>
    </row>
    <row r="904" spans="1:15">
      <c r="A904" s="1">
        <v>45038</v>
      </c>
      <c r="B904" t="s">
        <v>23</v>
      </c>
      <c r="C904" t="s">
        <v>19</v>
      </c>
      <c r="D904">
        <v>1</v>
      </c>
      <c r="E904" t="s">
        <v>7</v>
      </c>
      <c r="F904">
        <v>33000</v>
      </c>
      <c r="G904">
        <v>18000</v>
      </c>
      <c r="H904">
        <f>Table1[[#This Row],[Qty]]*Table1[[#This Row],[SellingPrice]]</f>
        <v>33000</v>
      </c>
      <c r="I904">
        <f>Table1[[#This Row],[Qty]]*Table1[[#This Row],[CostPrice]]</f>
        <v>18000</v>
      </c>
      <c r="J904">
        <v>14895</v>
      </c>
      <c r="K904">
        <v>104.99999999999999</v>
      </c>
      <c r="L904" t="s">
        <v>8</v>
      </c>
      <c r="M904" t="s">
        <v>30</v>
      </c>
      <c r="N904">
        <f>MONTH(Table1[[#This Row],[SaleDate]])</f>
        <v>4</v>
      </c>
      <c r="O904" t="str">
        <f>TEXT(Table1[[#This Row],[SaleDate]],"MMM")</f>
        <v>Apr</v>
      </c>
    </row>
    <row r="905" spans="1:15">
      <c r="A905" s="1">
        <v>45038</v>
      </c>
      <c r="B905" t="s">
        <v>23</v>
      </c>
      <c r="C905" t="s">
        <v>19</v>
      </c>
      <c r="D905">
        <v>1</v>
      </c>
      <c r="E905" t="s">
        <v>9</v>
      </c>
      <c r="F905">
        <v>60000</v>
      </c>
      <c r="G905">
        <v>31000</v>
      </c>
      <c r="H905">
        <f>Table1[[#This Row],[Qty]]*Table1[[#This Row],[SellingPrice]]</f>
        <v>60000</v>
      </c>
      <c r="I905">
        <f>Table1[[#This Row],[Qty]]*Table1[[#This Row],[CostPrice]]</f>
        <v>31000</v>
      </c>
      <c r="J905">
        <v>28797</v>
      </c>
      <c r="K905">
        <v>202.99999999999997</v>
      </c>
      <c r="L905" t="s">
        <v>8</v>
      </c>
      <c r="M905" t="s">
        <v>30</v>
      </c>
      <c r="N905">
        <f>MONTH(Table1[[#This Row],[SaleDate]])</f>
        <v>4</v>
      </c>
      <c r="O905" t="str">
        <f>TEXT(Table1[[#This Row],[SaleDate]],"MMM")</f>
        <v>Apr</v>
      </c>
    </row>
    <row r="906" spans="1:15">
      <c r="A906" s="1">
        <v>45038</v>
      </c>
      <c r="B906" t="s">
        <v>23</v>
      </c>
      <c r="C906" t="s">
        <v>19</v>
      </c>
      <c r="D906">
        <v>1</v>
      </c>
      <c r="E906" t="s">
        <v>10</v>
      </c>
      <c r="F906">
        <v>89000</v>
      </c>
      <c r="G906">
        <v>65000</v>
      </c>
      <c r="H906">
        <f>Table1[[#This Row],[Qty]]*Table1[[#This Row],[SellingPrice]]</f>
        <v>89000</v>
      </c>
      <c r="I906">
        <f>Table1[[#This Row],[Qty]]*Table1[[#This Row],[CostPrice]]</f>
        <v>65000</v>
      </c>
      <c r="J906">
        <v>23832</v>
      </c>
      <c r="K906">
        <v>167.99999999999997</v>
      </c>
      <c r="L906" t="s">
        <v>8</v>
      </c>
      <c r="M906" t="s">
        <v>29</v>
      </c>
      <c r="N906">
        <f>MONTH(Table1[[#This Row],[SaleDate]])</f>
        <v>4</v>
      </c>
      <c r="O906" t="str">
        <f>TEXT(Table1[[#This Row],[SaleDate]],"MMM")</f>
        <v>Apr</v>
      </c>
    </row>
    <row r="907" spans="1:15">
      <c r="A907" s="1">
        <v>45038</v>
      </c>
      <c r="B907" t="s">
        <v>26</v>
      </c>
      <c r="C907" t="s">
        <v>20</v>
      </c>
      <c r="D907">
        <v>1</v>
      </c>
      <c r="E907" t="s">
        <v>7</v>
      </c>
      <c r="F907">
        <v>33000</v>
      </c>
      <c r="G907">
        <v>18000</v>
      </c>
      <c r="H907">
        <f>Table1[[#This Row],[Qty]]*Table1[[#This Row],[SellingPrice]]</f>
        <v>33000</v>
      </c>
      <c r="I907">
        <f>Table1[[#This Row],[Qty]]*Table1[[#This Row],[CostPrice]]</f>
        <v>18000</v>
      </c>
      <c r="J907">
        <v>14895</v>
      </c>
      <c r="K907">
        <v>104.99999999999999</v>
      </c>
      <c r="L907" t="s">
        <v>11</v>
      </c>
      <c r="M907" t="s">
        <v>27</v>
      </c>
      <c r="N907">
        <f>MONTH(Table1[[#This Row],[SaleDate]])</f>
        <v>4</v>
      </c>
      <c r="O907" t="str">
        <f>TEXT(Table1[[#This Row],[SaleDate]],"MMM")</f>
        <v>Apr</v>
      </c>
    </row>
    <row r="908" spans="1:15">
      <c r="A908" s="1">
        <v>45038</v>
      </c>
      <c r="B908" t="s">
        <v>24</v>
      </c>
      <c r="C908" t="s">
        <v>22</v>
      </c>
      <c r="D908">
        <v>1</v>
      </c>
      <c r="E908" t="s">
        <v>7</v>
      </c>
      <c r="F908">
        <v>33000</v>
      </c>
      <c r="G908">
        <v>18000</v>
      </c>
      <c r="H908">
        <f>Table1[[#This Row],[Qty]]*Table1[[#This Row],[SellingPrice]]</f>
        <v>33000</v>
      </c>
      <c r="I908">
        <f>Table1[[#This Row],[Qty]]*Table1[[#This Row],[CostPrice]]</f>
        <v>18000</v>
      </c>
      <c r="J908">
        <v>14895</v>
      </c>
      <c r="K908">
        <v>104.99999999999999</v>
      </c>
      <c r="L908" t="s">
        <v>12</v>
      </c>
      <c r="M908" t="s">
        <v>27</v>
      </c>
      <c r="N908">
        <f>MONTH(Table1[[#This Row],[SaleDate]])</f>
        <v>4</v>
      </c>
      <c r="O908" t="str">
        <f>TEXT(Table1[[#This Row],[SaleDate]],"MMM")</f>
        <v>Apr</v>
      </c>
    </row>
    <row r="909" spans="1:15">
      <c r="A909" s="1">
        <v>45038</v>
      </c>
      <c r="B909" t="s">
        <v>24</v>
      </c>
      <c r="C909" t="s">
        <v>22</v>
      </c>
      <c r="D909">
        <v>1</v>
      </c>
      <c r="E909" t="s">
        <v>9</v>
      </c>
      <c r="F909">
        <v>60000</v>
      </c>
      <c r="G909">
        <v>31000</v>
      </c>
      <c r="H909">
        <f>Table1[[#This Row],[Qty]]*Table1[[#This Row],[SellingPrice]]</f>
        <v>60000</v>
      </c>
      <c r="I909">
        <f>Table1[[#This Row],[Qty]]*Table1[[#This Row],[CostPrice]]</f>
        <v>31000</v>
      </c>
      <c r="J909">
        <v>28797</v>
      </c>
      <c r="K909">
        <v>202.99999999999997</v>
      </c>
      <c r="L909" t="s">
        <v>12</v>
      </c>
      <c r="M909" t="s">
        <v>30</v>
      </c>
      <c r="N909">
        <f>MONTH(Table1[[#This Row],[SaleDate]])</f>
        <v>4</v>
      </c>
      <c r="O909" t="str">
        <f>TEXT(Table1[[#This Row],[SaleDate]],"MMM")</f>
        <v>Apr</v>
      </c>
    </row>
    <row r="910" spans="1:15">
      <c r="A910" s="1">
        <v>45038</v>
      </c>
      <c r="B910" t="s">
        <v>25</v>
      </c>
      <c r="C910" t="s">
        <v>21</v>
      </c>
      <c r="D910">
        <v>1</v>
      </c>
      <c r="E910" t="s">
        <v>7</v>
      </c>
      <c r="F910">
        <v>33000</v>
      </c>
      <c r="G910">
        <v>18000</v>
      </c>
      <c r="H910">
        <f>Table1[[#This Row],[Qty]]*Table1[[#This Row],[SellingPrice]]</f>
        <v>33000</v>
      </c>
      <c r="I910">
        <f>Table1[[#This Row],[Qty]]*Table1[[#This Row],[CostPrice]]</f>
        <v>18000</v>
      </c>
      <c r="J910">
        <v>14895</v>
      </c>
      <c r="K910">
        <v>104.99999999999999</v>
      </c>
      <c r="L910" t="s">
        <v>13</v>
      </c>
      <c r="M910" t="s">
        <v>29</v>
      </c>
      <c r="N910">
        <f>MONTH(Table1[[#This Row],[SaleDate]])</f>
        <v>4</v>
      </c>
      <c r="O910" t="str">
        <f>TEXT(Table1[[#This Row],[SaleDate]],"MMM")</f>
        <v>Apr</v>
      </c>
    </row>
    <row r="911" spans="1:15">
      <c r="A911" s="1">
        <v>45038</v>
      </c>
      <c r="B911" t="s">
        <v>25</v>
      </c>
      <c r="C911" t="s">
        <v>21</v>
      </c>
      <c r="D911">
        <v>1</v>
      </c>
      <c r="E911" t="s">
        <v>9</v>
      </c>
      <c r="F911">
        <v>60000</v>
      </c>
      <c r="G911">
        <v>31000</v>
      </c>
      <c r="H911">
        <f>Table1[[#This Row],[Qty]]*Table1[[#This Row],[SellingPrice]]</f>
        <v>60000</v>
      </c>
      <c r="I911">
        <f>Table1[[#This Row],[Qty]]*Table1[[#This Row],[CostPrice]]</f>
        <v>31000</v>
      </c>
      <c r="J911">
        <v>28797</v>
      </c>
      <c r="K911">
        <v>202.99999999999997</v>
      </c>
      <c r="L911" t="s">
        <v>13</v>
      </c>
      <c r="M911" t="s">
        <v>29</v>
      </c>
      <c r="N911">
        <f>MONTH(Table1[[#This Row],[SaleDate]])</f>
        <v>4</v>
      </c>
      <c r="O911" t="str">
        <f>TEXT(Table1[[#This Row],[SaleDate]],"MMM")</f>
        <v>Apr</v>
      </c>
    </row>
    <row r="912" spans="1:15">
      <c r="A912" s="1">
        <v>45038</v>
      </c>
      <c r="B912" t="s">
        <v>25</v>
      </c>
      <c r="C912" t="s">
        <v>21</v>
      </c>
      <c r="D912">
        <v>1</v>
      </c>
      <c r="E912" t="s">
        <v>10</v>
      </c>
      <c r="F912">
        <v>89000</v>
      </c>
      <c r="G912">
        <v>65000</v>
      </c>
      <c r="H912">
        <f>Table1[[#This Row],[Qty]]*Table1[[#This Row],[SellingPrice]]</f>
        <v>89000</v>
      </c>
      <c r="I912">
        <f>Table1[[#This Row],[Qty]]*Table1[[#This Row],[CostPrice]]</f>
        <v>65000</v>
      </c>
      <c r="J912">
        <v>23832</v>
      </c>
      <c r="K912">
        <v>167.99999999999997</v>
      </c>
      <c r="L912" t="s">
        <v>13</v>
      </c>
      <c r="M912" t="s">
        <v>29</v>
      </c>
      <c r="N912">
        <f>MONTH(Table1[[#This Row],[SaleDate]])</f>
        <v>4</v>
      </c>
      <c r="O912" t="str">
        <f>TEXT(Table1[[#This Row],[SaleDate]],"MMM")</f>
        <v>Apr</v>
      </c>
    </row>
    <row r="913" spans="1:15">
      <c r="A913" s="1">
        <v>45039</v>
      </c>
      <c r="B913" t="s">
        <v>23</v>
      </c>
      <c r="C913" t="s">
        <v>19</v>
      </c>
      <c r="D913">
        <v>1</v>
      </c>
      <c r="E913" t="s">
        <v>7</v>
      </c>
      <c r="F913">
        <v>33000</v>
      </c>
      <c r="G913">
        <v>18000</v>
      </c>
      <c r="H913">
        <f>Table1[[#This Row],[Qty]]*Table1[[#This Row],[SellingPrice]]</f>
        <v>33000</v>
      </c>
      <c r="I913">
        <f>Table1[[#This Row],[Qty]]*Table1[[#This Row],[CostPrice]]</f>
        <v>18000</v>
      </c>
      <c r="J913">
        <v>14895</v>
      </c>
      <c r="K913">
        <v>104.99999999999999</v>
      </c>
      <c r="L913" t="s">
        <v>8</v>
      </c>
      <c r="M913" t="s">
        <v>30</v>
      </c>
      <c r="N913">
        <f>MONTH(Table1[[#This Row],[SaleDate]])</f>
        <v>4</v>
      </c>
      <c r="O913" t="str">
        <f>TEXT(Table1[[#This Row],[SaleDate]],"MMM")</f>
        <v>Apr</v>
      </c>
    </row>
    <row r="914" spans="1:15">
      <c r="A914" s="1">
        <v>45039</v>
      </c>
      <c r="B914" t="s">
        <v>23</v>
      </c>
      <c r="C914" t="s">
        <v>19</v>
      </c>
      <c r="D914">
        <v>1</v>
      </c>
      <c r="E914" t="s">
        <v>9</v>
      </c>
      <c r="F914">
        <v>60000</v>
      </c>
      <c r="G914">
        <v>31000</v>
      </c>
      <c r="H914">
        <f>Table1[[#This Row],[Qty]]*Table1[[#This Row],[SellingPrice]]</f>
        <v>60000</v>
      </c>
      <c r="I914">
        <f>Table1[[#This Row],[Qty]]*Table1[[#This Row],[CostPrice]]</f>
        <v>31000</v>
      </c>
      <c r="J914">
        <v>28797</v>
      </c>
      <c r="K914">
        <v>202.99999999999997</v>
      </c>
      <c r="L914" t="s">
        <v>8</v>
      </c>
      <c r="M914" t="s">
        <v>29</v>
      </c>
      <c r="N914">
        <f>MONTH(Table1[[#This Row],[SaleDate]])</f>
        <v>4</v>
      </c>
      <c r="O914" t="str">
        <f>TEXT(Table1[[#This Row],[SaleDate]],"MMM")</f>
        <v>Apr</v>
      </c>
    </row>
    <row r="915" spans="1:15">
      <c r="A915" s="1">
        <v>45039</v>
      </c>
      <c r="B915" t="s">
        <v>23</v>
      </c>
      <c r="C915" t="s">
        <v>19</v>
      </c>
      <c r="D915">
        <v>1</v>
      </c>
      <c r="E915" t="s">
        <v>10</v>
      </c>
      <c r="F915">
        <v>89000</v>
      </c>
      <c r="G915">
        <v>65000</v>
      </c>
      <c r="H915">
        <f>Table1[[#This Row],[Qty]]*Table1[[#This Row],[SellingPrice]]</f>
        <v>89000</v>
      </c>
      <c r="I915">
        <f>Table1[[#This Row],[Qty]]*Table1[[#This Row],[CostPrice]]</f>
        <v>65000</v>
      </c>
      <c r="J915">
        <v>23832</v>
      </c>
      <c r="K915">
        <v>167.99999999999997</v>
      </c>
      <c r="L915" t="s">
        <v>8</v>
      </c>
      <c r="M915" t="s">
        <v>27</v>
      </c>
      <c r="N915">
        <f>MONTH(Table1[[#This Row],[SaleDate]])</f>
        <v>4</v>
      </c>
      <c r="O915" t="str">
        <f>TEXT(Table1[[#This Row],[SaleDate]],"MMM")</f>
        <v>Apr</v>
      </c>
    </row>
    <row r="916" spans="1:15">
      <c r="A916" s="1">
        <v>45039</v>
      </c>
      <c r="B916" t="s">
        <v>26</v>
      </c>
      <c r="C916" t="s">
        <v>20</v>
      </c>
      <c r="D916">
        <v>1</v>
      </c>
      <c r="E916" t="s">
        <v>7</v>
      </c>
      <c r="F916">
        <v>33000</v>
      </c>
      <c r="G916">
        <v>18000</v>
      </c>
      <c r="H916">
        <f>Table1[[#This Row],[Qty]]*Table1[[#This Row],[SellingPrice]]</f>
        <v>33000</v>
      </c>
      <c r="I916">
        <f>Table1[[#This Row],[Qty]]*Table1[[#This Row],[CostPrice]]</f>
        <v>18000</v>
      </c>
      <c r="J916">
        <v>14895</v>
      </c>
      <c r="K916">
        <v>104.99999999999999</v>
      </c>
      <c r="L916" t="s">
        <v>11</v>
      </c>
      <c r="M916" t="s">
        <v>30</v>
      </c>
      <c r="N916">
        <f>MONTH(Table1[[#This Row],[SaleDate]])</f>
        <v>4</v>
      </c>
      <c r="O916" t="str">
        <f>TEXT(Table1[[#This Row],[SaleDate]],"MMM")</f>
        <v>Apr</v>
      </c>
    </row>
    <row r="917" spans="1:15">
      <c r="A917" s="1">
        <v>45039</v>
      </c>
      <c r="B917" t="s">
        <v>24</v>
      </c>
      <c r="C917" t="s">
        <v>22</v>
      </c>
      <c r="D917">
        <v>1</v>
      </c>
      <c r="E917" t="s">
        <v>7</v>
      </c>
      <c r="F917">
        <v>33000</v>
      </c>
      <c r="G917">
        <v>18000</v>
      </c>
      <c r="H917">
        <f>Table1[[#This Row],[Qty]]*Table1[[#This Row],[SellingPrice]]</f>
        <v>33000</v>
      </c>
      <c r="I917">
        <f>Table1[[#This Row],[Qty]]*Table1[[#This Row],[CostPrice]]</f>
        <v>18000</v>
      </c>
      <c r="J917">
        <v>14895</v>
      </c>
      <c r="K917">
        <v>104.99999999999999</v>
      </c>
      <c r="L917" t="s">
        <v>12</v>
      </c>
      <c r="M917" t="s">
        <v>27</v>
      </c>
      <c r="N917">
        <f>MONTH(Table1[[#This Row],[SaleDate]])</f>
        <v>4</v>
      </c>
      <c r="O917" t="str">
        <f>TEXT(Table1[[#This Row],[SaleDate]],"MMM")</f>
        <v>Apr</v>
      </c>
    </row>
    <row r="918" spans="1:15">
      <c r="A918" s="1">
        <v>45039</v>
      </c>
      <c r="B918" t="s">
        <v>25</v>
      </c>
      <c r="C918" t="s">
        <v>21</v>
      </c>
      <c r="D918">
        <v>1</v>
      </c>
      <c r="E918" t="s">
        <v>7</v>
      </c>
      <c r="F918">
        <v>33000</v>
      </c>
      <c r="G918">
        <v>18000</v>
      </c>
      <c r="H918">
        <f>Table1[[#This Row],[Qty]]*Table1[[#This Row],[SellingPrice]]</f>
        <v>33000</v>
      </c>
      <c r="I918">
        <f>Table1[[#This Row],[Qty]]*Table1[[#This Row],[CostPrice]]</f>
        <v>18000</v>
      </c>
      <c r="J918">
        <v>14895</v>
      </c>
      <c r="K918">
        <v>104.99999999999999</v>
      </c>
      <c r="L918" t="s">
        <v>13</v>
      </c>
      <c r="M918" t="s">
        <v>29</v>
      </c>
      <c r="N918">
        <f>MONTH(Table1[[#This Row],[SaleDate]])</f>
        <v>4</v>
      </c>
      <c r="O918" t="str">
        <f>TEXT(Table1[[#This Row],[SaleDate]],"MMM")</f>
        <v>Apr</v>
      </c>
    </row>
    <row r="919" spans="1:15">
      <c r="A919" s="1">
        <v>45039</v>
      </c>
      <c r="B919" t="s">
        <v>25</v>
      </c>
      <c r="C919" t="s">
        <v>21</v>
      </c>
      <c r="D919">
        <v>1</v>
      </c>
      <c r="E919" t="s">
        <v>9</v>
      </c>
      <c r="F919">
        <v>60000</v>
      </c>
      <c r="G919">
        <v>31000</v>
      </c>
      <c r="H919">
        <f>Table1[[#This Row],[Qty]]*Table1[[#This Row],[SellingPrice]]</f>
        <v>60000</v>
      </c>
      <c r="I919">
        <f>Table1[[#This Row],[Qty]]*Table1[[#This Row],[CostPrice]]</f>
        <v>31000</v>
      </c>
      <c r="J919">
        <v>28797</v>
      </c>
      <c r="K919">
        <v>202.99999999999997</v>
      </c>
      <c r="L919" t="s">
        <v>13</v>
      </c>
      <c r="M919" t="s">
        <v>29</v>
      </c>
      <c r="N919">
        <f>MONTH(Table1[[#This Row],[SaleDate]])</f>
        <v>4</v>
      </c>
      <c r="O919" t="str">
        <f>TEXT(Table1[[#This Row],[SaleDate]],"MMM")</f>
        <v>Apr</v>
      </c>
    </row>
    <row r="920" spans="1:15">
      <c r="A920" s="1">
        <v>45039</v>
      </c>
      <c r="B920" t="s">
        <v>25</v>
      </c>
      <c r="C920" t="s">
        <v>21</v>
      </c>
      <c r="D920">
        <v>1</v>
      </c>
      <c r="E920" t="s">
        <v>10</v>
      </c>
      <c r="F920">
        <v>89000</v>
      </c>
      <c r="G920">
        <v>65000</v>
      </c>
      <c r="H920">
        <f>Table1[[#This Row],[Qty]]*Table1[[#This Row],[SellingPrice]]</f>
        <v>89000</v>
      </c>
      <c r="I920">
        <f>Table1[[#This Row],[Qty]]*Table1[[#This Row],[CostPrice]]</f>
        <v>65000</v>
      </c>
      <c r="J920">
        <v>23832</v>
      </c>
      <c r="K920">
        <v>167.99999999999997</v>
      </c>
      <c r="L920" t="s">
        <v>13</v>
      </c>
      <c r="M920" t="s">
        <v>29</v>
      </c>
      <c r="N920">
        <f>MONTH(Table1[[#This Row],[SaleDate]])</f>
        <v>4</v>
      </c>
      <c r="O920" t="str">
        <f>TEXT(Table1[[#This Row],[SaleDate]],"MMM")</f>
        <v>Apr</v>
      </c>
    </row>
    <row r="921" spans="1:15">
      <c r="A921" s="1">
        <v>45040</v>
      </c>
      <c r="B921" t="s">
        <v>23</v>
      </c>
      <c r="C921" t="s">
        <v>19</v>
      </c>
      <c r="D921">
        <v>1</v>
      </c>
      <c r="E921" t="s">
        <v>7</v>
      </c>
      <c r="F921">
        <v>33000</v>
      </c>
      <c r="G921">
        <v>18000</v>
      </c>
      <c r="H921">
        <f>Table1[[#This Row],[Qty]]*Table1[[#This Row],[SellingPrice]]</f>
        <v>33000</v>
      </c>
      <c r="I921">
        <f>Table1[[#This Row],[Qty]]*Table1[[#This Row],[CostPrice]]</f>
        <v>18000</v>
      </c>
      <c r="J921">
        <v>14895</v>
      </c>
      <c r="K921">
        <v>104.99999999999999</v>
      </c>
      <c r="L921" t="s">
        <v>8</v>
      </c>
      <c r="M921" t="s">
        <v>30</v>
      </c>
      <c r="N921">
        <f>MONTH(Table1[[#This Row],[SaleDate]])</f>
        <v>4</v>
      </c>
      <c r="O921" t="str">
        <f>TEXT(Table1[[#This Row],[SaleDate]],"MMM")</f>
        <v>Apr</v>
      </c>
    </row>
    <row r="922" spans="1:15">
      <c r="A922" s="1">
        <v>45040</v>
      </c>
      <c r="B922" t="s">
        <v>23</v>
      </c>
      <c r="C922" t="s">
        <v>19</v>
      </c>
      <c r="D922">
        <v>1</v>
      </c>
      <c r="E922" t="s">
        <v>9</v>
      </c>
      <c r="F922">
        <v>60000</v>
      </c>
      <c r="G922">
        <v>31000</v>
      </c>
      <c r="H922">
        <f>Table1[[#This Row],[Qty]]*Table1[[#This Row],[SellingPrice]]</f>
        <v>60000</v>
      </c>
      <c r="I922">
        <f>Table1[[#This Row],[Qty]]*Table1[[#This Row],[CostPrice]]</f>
        <v>31000</v>
      </c>
      <c r="J922">
        <v>28797</v>
      </c>
      <c r="K922">
        <v>202.99999999999997</v>
      </c>
      <c r="L922" t="s">
        <v>8</v>
      </c>
      <c r="M922" t="s">
        <v>30</v>
      </c>
      <c r="N922">
        <f>MONTH(Table1[[#This Row],[SaleDate]])</f>
        <v>4</v>
      </c>
      <c r="O922" t="str">
        <f>TEXT(Table1[[#This Row],[SaleDate]],"MMM")</f>
        <v>Apr</v>
      </c>
    </row>
    <row r="923" spans="1:15">
      <c r="A923" s="1">
        <v>45040</v>
      </c>
      <c r="B923" t="s">
        <v>23</v>
      </c>
      <c r="C923" t="s">
        <v>19</v>
      </c>
      <c r="D923">
        <v>1</v>
      </c>
      <c r="E923" t="s">
        <v>10</v>
      </c>
      <c r="F923">
        <v>89000</v>
      </c>
      <c r="G923">
        <v>65000</v>
      </c>
      <c r="H923">
        <f>Table1[[#This Row],[Qty]]*Table1[[#This Row],[SellingPrice]]</f>
        <v>89000</v>
      </c>
      <c r="I923">
        <f>Table1[[#This Row],[Qty]]*Table1[[#This Row],[CostPrice]]</f>
        <v>65000</v>
      </c>
      <c r="J923">
        <v>23832</v>
      </c>
      <c r="K923">
        <v>167.99999999999997</v>
      </c>
      <c r="L923" t="s">
        <v>8</v>
      </c>
      <c r="M923" t="s">
        <v>29</v>
      </c>
      <c r="N923">
        <f>MONTH(Table1[[#This Row],[SaleDate]])</f>
        <v>4</v>
      </c>
      <c r="O923" t="str">
        <f>TEXT(Table1[[#This Row],[SaleDate]],"MMM")</f>
        <v>Apr</v>
      </c>
    </row>
    <row r="924" spans="1:15">
      <c r="A924" s="1">
        <v>45040</v>
      </c>
      <c r="B924" t="s">
        <v>26</v>
      </c>
      <c r="C924" t="s">
        <v>20</v>
      </c>
      <c r="D924">
        <v>1</v>
      </c>
      <c r="E924" t="s">
        <v>7</v>
      </c>
      <c r="F924">
        <v>33000</v>
      </c>
      <c r="G924">
        <v>18000</v>
      </c>
      <c r="H924">
        <f>Table1[[#This Row],[Qty]]*Table1[[#This Row],[SellingPrice]]</f>
        <v>33000</v>
      </c>
      <c r="I924">
        <f>Table1[[#This Row],[Qty]]*Table1[[#This Row],[CostPrice]]</f>
        <v>18000</v>
      </c>
      <c r="J924">
        <v>14895</v>
      </c>
      <c r="K924">
        <v>104.99999999999999</v>
      </c>
      <c r="L924" t="s">
        <v>11</v>
      </c>
      <c r="M924" t="s">
        <v>29</v>
      </c>
      <c r="N924">
        <f>MONTH(Table1[[#This Row],[SaleDate]])</f>
        <v>4</v>
      </c>
      <c r="O924" t="str">
        <f>TEXT(Table1[[#This Row],[SaleDate]],"MMM")</f>
        <v>Apr</v>
      </c>
    </row>
    <row r="925" spans="1:15">
      <c r="A925" s="1">
        <v>45040</v>
      </c>
      <c r="B925" t="s">
        <v>24</v>
      </c>
      <c r="C925" t="s">
        <v>22</v>
      </c>
      <c r="D925">
        <v>1</v>
      </c>
      <c r="E925" t="s">
        <v>9</v>
      </c>
      <c r="F925">
        <v>60000</v>
      </c>
      <c r="G925">
        <v>31000</v>
      </c>
      <c r="H925">
        <f>Table1[[#This Row],[Qty]]*Table1[[#This Row],[SellingPrice]]</f>
        <v>60000</v>
      </c>
      <c r="I925">
        <f>Table1[[#This Row],[Qty]]*Table1[[#This Row],[CostPrice]]</f>
        <v>31000</v>
      </c>
      <c r="J925">
        <v>28797</v>
      </c>
      <c r="K925">
        <v>202.99999999999997</v>
      </c>
      <c r="L925" t="s">
        <v>12</v>
      </c>
      <c r="M925" t="s">
        <v>29</v>
      </c>
      <c r="N925">
        <f>MONTH(Table1[[#This Row],[SaleDate]])</f>
        <v>4</v>
      </c>
      <c r="O925" t="str">
        <f>TEXT(Table1[[#This Row],[SaleDate]],"MMM")</f>
        <v>Apr</v>
      </c>
    </row>
    <row r="926" spans="1:15">
      <c r="A926" s="1">
        <v>45040</v>
      </c>
      <c r="B926" t="s">
        <v>24</v>
      </c>
      <c r="C926" t="s">
        <v>22</v>
      </c>
      <c r="D926">
        <v>1</v>
      </c>
      <c r="E926" t="s">
        <v>10</v>
      </c>
      <c r="F926">
        <v>89000</v>
      </c>
      <c r="G926">
        <v>65000</v>
      </c>
      <c r="H926">
        <f>Table1[[#This Row],[Qty]]*Table1[[#This Row],[SellingPrice]]</f>
        <v>89000</v>
      </c>
      <c r="I926">
        <f>Table1[[#This Row],[Qty]]*Table1[[#This Row],[CostPrice]]</f>
        <v>65000</v>
      </c>
      <c r="J926">
        <v>23832</v>
      </c>
      <c r="K926">
        <v>167.99999999999997</v>
      </c>
      <c r="L926" t="s">
        <v>12</v>
      </c>
      <c r="M926" t="s">
        <v>27</v>
      </c>
      <c r="N926">
        <f>MONTH(Table1[[#This Row],[SaleDate]])</f>
        <v>4</v>
      </c>
      <c r="O926" t="str">
        <f>TEXT(Table1[[#This Row],[SaleDate]],"MMM")</f>
        <v>Apr</v>
      </c>
    </row>
    <row r="927" spans="1:15">
      <c r="A927" s="1">
        <v>45040</v>
      </c>
      <c r="B927" t="s">
        <v>25</v>
      </c>
      <c r="C927" t="s">
        <v>21</v>
      </c>
      <c r="D927">
        <v>1</v>
      </c>
      <c r="E927" t="s">
        <v>7</v>
      </c>
      <c r="F927">
        <v>33000</v>
      </c>
      <c r="G927">
        <v>18000</v>
      </c>
      <c r="H927">
        <f>Table1[[#This Row],[Qty]]*Table1[[#This Row],[SellingPrice]]</f>
        <v>33000</v>
      </c>
      <c r="I927">
        <f>Table1[[#This Row],[Qty]]*Table1[[#This Row],[CostPrice]]</f>
        <v>18000</v>
      </c>
      <c r="J927">
        <v>14895</v>
      </c>
      <c r="K927">
        <v>104.99999999999999</v>
      </c>
      <c r="L927" t="s">
        <v>13</v>
      </c>
      <c r="M927" t="s">
        <v>30</v>
      </c>
      <c r="N927">
        <f>MONTH(Table1[[#This Row],[SaleDate]])</f>
        <v>4</v>
      </c>
      <c r="O927" t="str">
        <f>TEXT(Table1[[#This Row],[SaleDate]],"MMM")</f>
        <v>Apr</v>
      </c>
    </row>
    <row r="928" spans="1:15">
      <c r="A928" s="1">
        <v>45040</v>
      </c>
      <c r="B928" t="s">
        <v>25</v>
      </c>
      <c r="C928" t="s">
        <v>21</v>
      </c>
      <c r="D928">
        <v>1</v>
      </c>
      <c r="E928" t="s">
        <v>9</v>
      </c>
      <c r="F928">
        <v>60000</v>
      </c>
      <c r="G928">
        <v>31000</v>
      </c>
      <c r="H928">
        <f>Table1[[#This Row],[Qty]]*Table1[[#This Row],[SellingPrice]]</f>
        <v>60000</v>
      </c>
      <c r="I928">
        <f>Table1[[#This Row],[Qty]]*Table1[[#This Row],[CostPrice]]</f>
        <v>31000</v>
      </c>
      <c r="J928">
        <v>28797</v>
      </c>
      <c r="K928">
        <v>202.99999999999997</v>
      </c>
      <c r="L928" t="s">
        <v>13</v>
      </c>
      <c r="M928" t="s">
        <v>28</v>
      </c>
      <c r="N928">
        <f>MONTH(Table1[[#This Row],[SaleDate]])</f>
        <v>4</v>
      </c>
      <c r="O928" t="str">
        <f>TEXT(Table1[[#This Row],[SaleDate]],"MMM")</f>
        <v>Apr</v>
      </c>
    </row>
    <row r="929" spans="1:15">
      <c r="A929" s="1">
        <v>45040</v>
      </c>
      <c r="B929" t="s">
        <v>25</v>
      </c>
      <c r="C929" t="s">
        <v>21</v>
      </c>
      <c r="D929">
        <v>1</v>
      </c>
      <c r="E929" t="s">
        <v>10</v>
      </c>
      <c r="F929">
        <v>89000</v>
      </c>
      <c r="G929">
        <v>65000</v>
      </c>
      <c r="H929">
        <f>Table1[[#This Row],[Qty]]*Table1[[#This Row],[SellingPrice]]</f>
        <v>89000</v>
      </c>
      <c r="I929">
        <f>Table1[[#This Row],[Qty]]*Table1[[#This Row],[CostPrice]]</f>
        <v>65000</v>
      </c>
      <c r="J929">
        <v>23832</v>
      </c>
      <c r="K929">
        <v>167.99999999999997</v>
      </c>
      <c r="L929" t="s">
        <v>13</v>
      </c>
      <c r="M929" t="s">
        <v>29</v>
      </c>
      <c r="N929">
        <f>MONTH(Table1[[#This Row],[SaleDate]])</f>
        <v>4</v>
      </c>
      <c r="O929" t="str">
        <f>TEXT(Table1[[#This Row],[SaleDate]],"MMM")</f>
        <v>Apr</v>
      </c>
    </row>
    <row r="930" spans="1:15">
      <c r="A930" s="1">
        <v>45041</v>
      </c>
      <c r="B930" t="s">
        <v>23</v>
      </c>
      <c r="C930" t="s">
        <v>19</v>
      </c>
      <c r="D930">
        <v>1</v>
      </c>
      <c r="E930" t="s">
        <v>7</v>
      </c>
      <c r="F930">
        <v>33000</v>
      </c>
      <c r="G930">
        <v>18000</v>
      </c>
      <c r="H930">
        <f>Table1[[#This Row],[Qty]]*Table1[[#This Row],[SellingPrice]]</f>
        <v>33000</v>
      </c>
      <c r="I930">
        <f>Table1[[#This Row],[Qty]]*Table1[[#This Row],[CostPrice]]</f>
        <v>18000</v>
      </c>
      <c r="J930">
        <v>14895</v>
      </c>
      <c r="K930">
        <v>104.99999999999999</v>
      </c>
      <c r="L930" t="s">
        <v>8</v>
      </c>
      <c r="M930" t="s">
        <v>29</v>
      </c>
      <c r="N930">
        <f>MONTH(Table1[[#This Row],[SaleDate]])</f>
        <v>4</v>
      </c>
      <c r="O930" t="str">
        <f>TEXT(Table1[[#This Row],[SaleDate]],"MMM")</f>
        <v>Apr</v>
      </c>
    </row>
    <row r="931" spans="1:15">
      <c r="A931" s="1">
        <v>45041</v>
      </c>
      <c r="B931" t="s">
        <v>23</v>
      </c>
      <c r="C931" t="s">
        <v>19</v>
      </c>
      <c r="D931">
        <v>1</v>
      </c>
      <c r="E931" t="s">
        <v>9</v>
      </c>
      <c r="F931">
        <v>60000</v>
      </c>
      <c r="G931">
        <v>31000</v>
      </c>
      <c r="H931">
        <f>Table1[[#This Row],[Qty]]*Table1[[#This Row],[SellingPrice]]</f>
        <v>60000</v>
      </c>
      <c r="I931">
        <f>Table1[[#This Row],[Qty]]*Table1[[#This Row],[CostPrice]]</f>
        <v>31000</v>
      </c>
      <c r="J931">
        <v>28797</v>
      </c>
      <c r="K931">
        <v>202.99999999999997</v>
      </c>
      <c r="L931" t="s">
        <v>8</v>
      </c>
      <c r="M931" t="s">
        <v>30</v>
      </c>
      <c r="N931">
        <f>MONTH(Table1[[#This Row],[SaleDate]])</f>
        <v>4</v>
      </c>
      <c r="O931" t="str">
        <f>TEXT(Table1[[#This Row],[SaleDate]],"MMM")</f>
        <v>Apr</v>
      </c>
    </row>
    <row r="932" spans="1:15">
      <c r="A932" s="1">
        <v>45041</v>
      </c>
      <c r="B932" t="s">
        <v>23</v>
      </c>
      <c r="C932" t="s">
        <v>19</v>
      </c>
      <c r="D932">
        <v>1</v>
      </c>
      <c r="E932" t="s">
        <v>10</v>
      </c>
      <c r="F932">
        <v>89000</v>
      </c>
      <c r="G932">
        <v>65000</v>
      </c>
      <c r="H932">
        <f>Table1[[#This Row],[Qty]]*Table1[[#This Row],[SellingPrice]]</f>
        <v>89000</v>
      </c>
      <c r="I932">
        <f>Table1[[#This Row],[Qty]]*Table1[[#This Row],[CostPrice]]</f>
        <v>65000</v>
      </c>
      <c r="J932">
        <v>23832</v>
      </c>
      <c r="K932">
        <v>167.99999999999997</v>
      </c>
      <c r="L932" t="s">
        <v>8</v>
      </c>
      <c r="M932" t="s">
        <v>30</v>
      </c>
      <c r="N932">
        <f>MONTH(Table1[[#This Row],[SaleDate]])</f>
        <v>4</v>
      </c>
      <c r="O932" t="str">
        <f>TEXT(Table1[[#This Row],[SaleDate]],"MMM")</f>
        <v>Apr</v>
      </c>
    </row>
    <row r="933" spans="1:15">
      <c r="A933" s="1">
        <v>45041</v>
      </c>
      <c r="B933" t="s">
        <v>26</v>
      </c>
      <c r="C933" t="s">
        <v>20</v>
      </c>
      <c r="D933">
        <v>1</v>
      </c>
      <c r="E933" t="s">
        <v>7</v>
      </c>
      <c r="F933">
        <v>33000</v>
      </c>
      <c r="G933">
        <v>18000</v>
      </c>
      <c r="H933">
        <f>Table1[[#This Row],[Qty]]*Table1[[#This Row],[SellingPrice]]</f>
        <v>33000</v>
      </c>
      <c r="I933">
        <f>Table1[[#This Row],[Qty]]*Table1[[#This Row],[CostPrice]]</f>
        <v>18000</v>
      </c>
      <c r="J933">
        <v>14895</v>
      </c>
      <c r="K933">
        <v>104.99999999999999</v>
      </c>
      <c r="L933" t="s">
        <v>11</v>
      </c>
      <c r="M933" t="s">
        <v>29</v>
      </c>
      <c r="N933">
        <f>MONTH(Table1[[#This Row],[SaleDate]])</f>
        <v>4</v>
      </c>
      <c r="O933" t="str">
        <f>TEXT(Table1[[#This Row],[SaleDate]],"MMM")</f>
        <v>Apr</v>
      </c>
    </row>
    <row r="934" spans="1:15">
      <c r="A934" s="1">
        <v>45041</v>
      </c>
      <c r="B934" t="s">
        <v>24</v>
      </c>
      <c r="C934" t="s">
        <v>22</v>
      </c>
      <c r="D934">
        <v>1</v>
      </c>
      <c r="E934" t="s">
        <v>7</v>
      </c>
      <c r="F934">
        <v>33000</v>
      </c>
      <c r="G934">
        <v>18000</v>
      </c>
      <c r="H934">
        <f>Table1[[#This Row],[Qty]]*Table1[[#This Row],[SellingPrice]]</f>
        <v>33000</v>
      </c>
      <c r="I934">
        <f>Table1[[#This Row],[Qty]]*Table1[[#This Row],[CostPrice]]</f>
        <v>18000</v>
      </c>
      <c r="J934">
        <v>14895</v>
      </c>
      <c r="K934">
        <v>104.99999999999999</v>
      </c>
      <c r="L934" t="s">
        <v>12</v>
      </c>
      <c r="M934" t="s">
        <v>30</v>
      </c>
      <c r="N934">
        <f>MONTH(Table1[[#This Row],[SaleDate]])</f>
        <v>4</v>
      </c>
      <c r="O934" t="str">
        <f>TEXT(Table1[[#This Row],[SaleDate]],"MMM")</f>
        <v>Apr</v>
      </c>
    </row>
    <row r="935" spans="1:15">
      <c r="A935" s="1">
        <v>45041</v>
      </c>
      <c r="B935" t="s">
        <v>24</v>
      </c>
      <c r="C935" t="s">
        <v>22</v>
      </c>
      <c r="D935">
        <v>1</v>
      </c>
      <c r="E935" t="s">
        <v>9</v>
      </c>
      <c r="F935">
        <v>60000</v>
      </c>
      <c r="G935">
        <v>31000</v>
      </c>
      <c r="H935">
        <f>Table1[[#This Row],[Qty]]*Table1[[#This Row],[SellingPrice]]</f>
        <v>60000</v>
      </c>
      <c r="I935">
        <f>Table1[[#This Row],[Qty]]*Table1[[#This Row],[CostPrice]]</f>
        <v>31000</v>
      </c>
      <c r="J935">
        <v>28797</v>
      </c>
      <c r="K935">
        <v>202.99999999999997</v>
      </c>
      <c r="L935" t="s">
        <v>12</v>
      </c>
      <c r="M935" t="s">
        <v>30</v>
      </c>
      <c r="N935">
        <f>MONTH(Table1[[#This Row],[SaleDate]])</f>
        <v>4</v>
      </c>
      <c r="O935" t="str">
        <f>TEXT(Table1[[#This Row],[SaleDate]],"MMM")</f>
        <v>Apr</v>
      </c>
    </row>
    <row r="936" spans="1:15">
      <c r="A936" s="1">
        <v>45041</v>
      </c>
      <c r="B936" t="s">
        <v>24</v>
      </c>
      <c r="C936" t="s">
        <v>22</v>
      </c>
      <c r="D936">
        <v>1</v>
      </c>
      <c r="E936" t="s">
        <v>10</v>
      </c>
      <c r="F936">
        <v>89000</v>
      </c>
      <c r="G936">
        <v>65000</v>
      </c>
      <c r="H936">
        <f>Table1[[#This Row],[Qty]]*Table1[[#This Row],[SellingPrice]]</f>
        <v>89000</v>
      </c>
      <c r="I936">
        <f>Table1[[#This Row],[Qty]]*Table1[[#This Row],[CostPrice]]</f>
        <v>65000</v>
      </c>
      <c r="J936">
        <v>23832</v>
      </c>
      <c r="K936">
        <v>167.99999999999997</v>
      </c>
      <c r="L936" t="s">
        <v>12</v>
      </c>
      <c r="M936" t="s">
        <v>29</v>
      </c>
      <c r="N936">
        <f>MONTH(Table1[[#This Row],[SaleDate]])</f>
        <v>4</v>
      </c>
      <c r="O936" t="str">
        <f>TEXT(Table1[[#This Row],[SaleDate]],"MMM")</f>
        <v>Apr</v>
      </c>
    </row>
    <row r="937" spans="1:15">
      <c r="A937" s="1">
        <v>45041</v>
      </c>
      <c r="B937" t="s">
        <v>25</v>
      </c>
      <c r="C937" t="s">
        <v>21</v>
      </c>
      <c r="D937">
        <v>1</v>
      </c>
      <c r="E937" t="s">
        <v>7</v>
      </c>
      <c r="F937">
        <v>33000</v>
      </c>
      <c r="G937">
        <v>18000</v>
      </c>
      <c r="H937">
        <f>Table1[[#This Row],[Qty]]*Table1[[#This Row],[SellingPrice]]</f>
        <v>33000</v>
      </c>
      <c r="I937">
        <f>Table1[[#This Row],[Qty]]*Table1[[#This Row],[CostPrice]]</f>
        <v>18000</v>
      </c>
      <c r="J937">
        <v>14895</v>
      </c>
      <c r="K937">
        <v>104.99999999999999</v>
      </c>
      <c r="L937" t="s">
        <v>13</v>
      </c>
      <c r="M937" t="s">
        <v>30</v>
      </c>
      <c r="N937">
        <f>MONTH(Table1[[#This Row],[SaleDate]])</f>
        <v>4</v>
      </c>
      <c r="O937" t="str">
        <f>TEXT(Table1[[#This Row],[SaleDate]],"MMM")</f>
        <v>Apr</v>
      </c>
    </row>
    <row r="938" spans="1:15">
      <c r="A938" s="1">
        <v>45041</v>
      </c>
      <c r="B938" t="s">
        <v>25</v>
      </c>
      <c r="C938" t="s">
        <v>21</v>
      </c>
      <c r="D938">
        <v>1</v>
      </c>
      <c r="E938" t="s">
        <v>9</v>
      </c>
      <c r="F938">
        <v>60000</v>
      </c>
      <c r="G938">
        <v>31000</v>
      </c>
      <c r="H938">
        <f>Table1[[#This Row],[Qty]]*Table1[[#This Row],[SellingPrice]]</f>
        <v>60000</v>
      </c>
      <c r="I938">
        <f>Table1[[#This Row],[Qty]]*Table1[[#This Row],[CostPrice]]</f>
        <v>31000</v>
      </c>
      <c r="J938">
        <v>28797</v>
      </c>
      <c r="K938">
        <v>202.99999999999997</v>
      </c>
      <c r="L938" t="s">
        <v>13</v>
      </c>
      <c r="M938" t="s">
        <v>30</v>
      </c>
      <c r="N938">
        <f>MONTH(Table1[[#This Row],[SaleDate]])</f>
        <v>4</v>
      </c>
      <c r="O938" t="str">
        <f>TEXT(Table1[[#This Row],[SaleDate]],"MMM")</f>
        <v>Apr</v>
      </c>
    </row>
    <row r="939" spans="1:15">
      <c r="A939" s="1">
        <v>45041</v>
      </c>
      <c r="B939" t="s">
        <v>25</v>
      </c>
      <c r="C939" t="s">
        <v>21</v>
      </c>
      <c r="D939">
        <v>1</v>
      </c>
      <c r="E939" t="s">
        <v>10</v>
      </c>
      <c r="F939">
        <v>89000</v>
      </c>
      <c r="G939">
        <v>65000</v>
      </c>
      <c r="H939">
        <f>Table1[[#This Row],[Qty]]*Table1[[#This Row],[SellingPrice]]</f>
        <v>89000</v>
      </c>
      <c r="I939">
        <f>Table1[[#This Row],[Qty]]*Table1[[#This Row],[CostPrice]]</f>
        <v>65000</v>
      </c>
      <c r="J939">
        <v>23832</v>
      </c>
      <c r="K939">
        <v>167.99999999999997</v>
      </c>
      <c r="L939" t="s">
        <v>13</v>
      </c>
      <c r="M939" t="s">
        <v>29</v>
      </c>
      <c r="N939">
        <f>MONTH(Table1[[#This Row],[SaleDate]])</f>
        <v>4</v>
      </c>
      <c r="O939" t="str">
        <f>TEXT(Table1[[#This Row],[SaleDate]],"MMM")</f>
        <v>Apr</v>
      </c>
    </row>
    <row r="940" spans="1:15">
      <c r="A940" s="1">
        <v>45042</v>
      </c>
      <c r="B940" t="s">
        <v>23</v>
      </c>
      <c r="C940" t="s">
        <v>19</v>
      </c>
      <c r="D940">
        <v>1</v>
      </c>
      <c r="E940" t="s">
        <v>7</v>
      </c>
      <c r="F940">
        <v>33000</v>
      </c>
      <c r="G940">
        <v>18000</v>
      </c>
      <c r="H940">
        <f>Table1[[#This Row],[Qty]]*Table1[[#This Row],[SellingPrice]]</f>
        <v>33000</v>
      </c>
      <c r="I940">
        <f>Table1[[#This Row],[Qty]]*Table1[[#This Row],[CostPrice]]</f>
        <v>18000</v>
      </c>
      <c r="J940">
        <v>14895</v>
      </c>
      <c r="K940">
        <v>104.99999999999999</v>
      </c>
      <c r="L940" t="s">
        <v>8</v>
      </c>
      <c r="M940" t="s">
        <v>27</v>
      </c>
      <c r="N940">
        <f>MONTH(Table1[[#This Row],[SaleDate]])</f>
        <v>4</v>
      </c>
      <c r="O940" t="str">
        <f>TEXT(Table1[[#This Row],[SaleDate]],"MMM")</f>
        <v>Apr</v>
      </c>
    </row>
    <row r="941" spans="1:15">
      <c r="A941" s="1">
        <v>45042</v>
      </c>
      <c r="B941" t="s">
        <v>23</v>
      </c>
      <c r="C941" t="s">
        <v>19</v>
      </c>
      <c r="D941">
        <v>1</v>
      </c>
      <c r="E941" t="s">
        <v>9</v>
      </c>
      <c r="F941">
        <v>60000</v>
      </c>
      <c r="G941">
        <v>31000</v>
      </c>
      <c r="H941">
        <f>Table1[[#This Row],[Qty]]*Table1[[#This Row],[SellingPrice]]</f>
        <v>60000</v>
      </c>
      <c r="I941">
        <f>Table1[[#This Row],[Qty]]*Table1[[#This Row],[CostPrice]]</f>
        <v>31000</v>
      </c>
      <c r="J941">
        <v>28797</v>
      </c>
      <c r="K941">
        <v>202.99999999999997</v>
      </c>
      <c r="L941" t="s">
        <v>8</v>
      </c>
      <c r="M941" t="s">
        <v>29</v>
      </c>
      <c r="N941">
        <f>MONTH(Table1[[#This Row],[SaleDate]])</f>
        <v>4</v>
      </c>
      <c r="O941" t="str">
        <f>TEXT(Table1[[#This Row],[SaleDate]],"MMM")</f>
        <v>Apr</v>
      </c>
    </row>
    <row r="942" spans="1:15">
      <c r="A942" s="1">
        <v>45042</v>
      </c>
      <c r="B942" t="s">
        <v>23</v>
      </c>
      <c r="C942" t="s">
        <v>19</v>
      </c>
      <c r="D942">
        <v>1</v>
      </c>
      <c r="E942" t="s">
        <v>10</v>
      </c>
      <c r="F942">
        <v>89000</v>
      </c>
      <c r="G942">
        <v>65000</v>
      </c>
      <c r="H942">
        <f>Table1[[#This Row],[Qty]]*Table1[[#This Row],[SellingPrice]]</f>
        <v>89000</v>
      </c>
      <c r="I942">
        <f>Table1[[#This Row],[Qty]]*Table1[[#This Row],[CostPrice]]</f>
        <v>65000</v>
      </c>
      <c r="J942">
        <v>23832</v>
      </c>
      <c r="K942">
        <v>167.99999999999997</v>
      </c>
      <c r="L942" t="s">
        <v>8</v>
      </c>
      <c r="M942" t="s">
        <v>30</v>
      </c>
      <c r="N942">
        <f>MONTH(Table1[[#This Row],[SaleDate]])</f>
        <v>4</v>
      </c>
      <c r="O942" t="str">
        <f>TEXT(Table1[[#This Row],[SaleDate]],"MMM")</f>
        <v>Apr</v>
      </c>
    </row>
    <row r="943" spans="1:15">
      <c r="A943" s="1">
        <v>45042</v>
      </c>
      <c r="B943" t="s">
        <v>26</v>
      </c>
      <c r="C943" t="s">
        <v>20</v>
      </c>
      <c r="D943">
        <v>1</v>
      </c>
      <c r="E943" t="s">
        <v>7</v>
      </c>
      <c r="F943">
        <v>33000</v>
      </c>
      <c r="G943">
        <v>18000</v>
      </c>
      <c r="H943">
        <f>Table1[[#This Row],[Qty]]*Table1[[#This Row],[SellingPrice]]</f>
        <v>33000</v>
      </c>
      <c r="I943">
        <f>Table1[[#This Row],[Qty]]*Table1[[#This Row],[CostPrice]]</f>
        <v>18000</v>
      </c>
      <c r="J943">
        <v>14895</v>
      </c>
      <c r="K943">
        <v>104.99999999999999</v>
      </c>
      <c r="L943" t="s">
        <v>11</v>
      </c>
      <c r="M943" t="s">
        <v>29</v>
      </c>
      <c r="N943">
        <f>MONTH(Table1[[#This Row],[SaleDate]])</f>
        <v>4</v>
      </c>
      <c r="O943" t="str">
        <f>TEXT(Table1[[#This Row],[SaleDate]],"MMM")</f>
        <v>Apr</v>
      </c>
    </row>
    <row r="944" spans="1:15">
      <c r="A944" s="1">
        <v>45042</v>
      </c>
      <c r="B944" t="s">
        <v>24</v>
      </c>
      <c r="C944" t="s">
        <v>22</v>
      </c>
      <c r="D944">
        <v>1</v>
      </c>
      <c r="E944" t="s">
        <v>9</v>
      </c>
      <c r="F944">
        <v>60000</v>
      </c>
      <c r="G944">
        <v>31000</v>
      </c>
      <c r="H944">
        <f>Table1[[#This Row],[Qty]]*Table1[[#This Row],[SellingPrice]]</f>
        <v>60000</v>
      </c>
      <c r="I944">
        <f>Table1[[#This Row],[Qty]]*Table1[[#This Row],[CostPrice]]</f>
        <v>31000</v>
      </c>
      <c r="J944">
        <v>28797</v>
      </c>
      <c r="K944">
        <v>202.99999999999997</v>
      </c>
      <c r="L944" t="s">
        <v>12</v>
      </c>
      <c r="M944" t="s">
        <v>29</v>
      </c>
      <c r="N944">
        <f>MONTH(Table1[[#This Row],[SaleDate]])</f>
        <v>4</v>
      </c>
      <c r="O944" t="str">
        <f>TEXT(Table1[[#This Row],[SaleDate]],"MMM")</f>
        <v>Apr</v>
      </c>
    </row>
    <row r="945" spans="1:15">
      <c r="A945" s="1">
        <v>45042</v>
      </c>
      <c r="B945" t="s">
        <v>24</v>
      </c>
      <c r="C945" t="s">
        <v>22</v>
      </c>
      <c r="D945">
        <v>1</v>
      </c>
      <c r="E945" t="s">
        <v>10</v>
      </c>
      <c r="F945">
        <v>89000</v>
      </c>
      <c r="G945">
        <v>65000</v>
      </c>
      <c r="H945">
        <f>Table1[[#This Row],[Qty]]*Table1[[#This Row],[SellingPrice]]</f>
        <v>89000</v>
      </c>
      <c r="I945">
        <f>Table1[[#This Row],[Qty]]*Table1[[#This Row],[CostPrice]]</f>
        <v>65000</v>
      </c>
      <c r="J945">
        <v>23832</v>
      </c>
      <c r="K945">
        <v>167.99999999999997</v>
      </c>
      <c r="L945" t="s">
        <v>12</v>
      </c>
      <c r="M945" t="s">
        <v>29</v>
      </c>
      <c r="N945">
        <f>MONTH(Table1[[#This Row],[SaleDate]])</f>
        <v>4</v>
      </c>
      <c r="O945" t="str">
        <f>TEXT(Table1[[#This Row],[SaleDate]],"MMM")</f>
        <v>Apr</v>
      </c>
    </row>
    <row r="946" spans="1:15">
      <c r="A946" s="1">
        <v>45042</v>
      </c>
      <c r="B946" t="s">
        <v>25</v>
      </c>
      <c r="C946" t="s">
        <v>21</v>
      </c>
      <c r="D946">
        <v>1</v>
      </c>
      <c r="E946" t="s">
        <v>7</v>
      </c>
      <c r="F946">
        <v>33000</v>
      </c>
      <c r="G946">
        <v>18000</v>
      </c>
      <c r="H946">
        <f>Table1[[#This Row],[Qty]]*Table1[[#This Row],[SellingPrice]]</f>
        <v>33000</v>
      </c>
      <c r="I946">
        <f>Table1[[#This Row],[Qty]]*Table1[[#This Row],[CostPrice]]</f>
        <v>18000</v>
      </c>
      <c r="J946">
        <v>14895</v>
      </c>
      <c r="K946">
        <v>104.99999999999999</v>
      </c>
      <c r="L946" t="s">
        <v>13</v>
      </c>
      <c r="M946" t="s">
        <v>29</v>
      </c>
      <c r="N946">
        <f>MONTH(Table1[[#This Row],[SaleDate]])</f>
        <v>4</v>
      </c>
      <c r="O946" t="str">
        <f>TEXT(Table1[[#This Row],[SaleDate]],"MMM")</f>
        <v>Apr</v>
      </c>
    </row>
    <row r="947" spans="1:15">
      <c r="A947" s="1">
        <v>45042</v>
      </c>
      <c r="B947" t="s">
        <v>25</v>
      </c>
      <c r="C947" t="s">
        <v>21</v>
      </c>
      <c r="D947">
        <v>1</v>
      </c>
      <c r="E947" t="s">
        <v>9</v>
      </c>
      <c r="F947">
        <v>60000</v>
      </c>
      <c r="G947">
        <v>31000</v>
      </c>
      <c r="H947">
        <f>Table1[[#This Row],[Qty]]*Table1[[#This Row],[SellingPrice]]</f>
        <v>60000</v>
      </c>
      <c r="I947">
        <f>Table1[[#This Row],[Qty]]*Table1[[#This Row],[CostPrice]]</f>
        <v>31000</v>
      </c>
      <c r="J947">
        <v>28797</v>
      </c>
      <c r="K947">
        <v>202.99999999999997</v>
      </c>
      <c r="L947" t="s">
        <v>13</v>
      </c>
      <c r="M947" t="s">
        <v>28</v>
      </c>
      <c r="N947">
        <f>MONTH(Table1[[#This Row],[SaleDate]])</f>
        <v>4</v>
      </c>
      <c r="O947" t="str">
        <f>TEXT(Table1[[#This Row],[SaleDate]],"MMM")</f>
        <v>Apr</v>
      </c>
    </row>
    <row r="948" spans="1:15">
      <c r="A948" s="1">
        <v>45042</v>
      </c>
      <c r="B948" t="s">
        <v>25</v>
      </c>
      <c r="C948" t="s">
        <v>21</v>
      </c>
      <c r="D948">
        <v>1</v>
      </c>
      <c r="E948" t="s">
        <v>10</v>
      </c>
      <c r="F948">
        <v>89000</v>
      </c>
      <c r="G948">
        <v>65000</v>
      </c>
      <c r="H948">
        <f>Table1[[#This Row],[Qty]]*Table1[[#This Row],[SellingPrice]]</f>
        <v>89000</v>
      </c>
      <c r="I948">
        <f>Table1[[#This Row],[Qty]]*Table1[[#This Row],[CostPrice]]</f>
        <v>65000</v>
      </c>
      <c r="J948">
        <v>23832</v>
      </c>
      <c r="K948">
        <v>167.99999999999997</v>
      </c>
      <c r="L948" t="s">
        <v>13</v>
      </c>
      <c r="M948" t="s">
        <v>29</v>
      </c>
      <c r="N948">
        <f>MONTH(Table1[[#This Row],[SaleDate]])</f>
        <v>4</v>
      </c>
      <c r="O948" t="str">
        <f>TEXT(Table1[[#This Row],[SaleDate]],"MMM")</f>
        <v>Apr</v>
      </c>
    </row>
    <row r="949" spans="1:15">
      <c r="A949" s="1">
        <v>45043</v>
      </c>
      <c r="B949" t="s">
        <v>23</v>
      </c>
      <c r="C949" t="s">
        <v>19</v>
      </c>
      <c r="D949">
        <v>1</v>
      </c>
      <c r="E949" t="s">
        <v>7</v>
      </c>
      <c r="F949">
        <v>33000</v>
      </c>
      <c r="G949">
        <v>18000</v>
      </c>
      <c r="H949">
        <f>Table1[[#This Row],[Qty]]*Table1[[#This Row],[SellingPrice]]</f>
        <v>33000</v>
      </c>
      <c r="I949">
        <f>Table1[[#This Row],[Qty]]*Table1[[#This Row],[CostPrice]]</f>
        <v>18000</v>
      </c>
      <c r="J949">
        <v>14895</v>
      </c>
      <c r="K949">
        <v>104.99999999999999</v>
      </c>
      <c r="L949" t="s">
        <v>8</v>
      </c>
      <c r="M949" t="s">
        <v>29</v>
      </c>
      <c r="N949">
        <f>MONTH(Table1[[#This Row],[SaleDate]])</f>
        <v>4</v>
      </c>
      <c r="O949" t="str">
        <f>TEXT(Table1[[#This Row],[SaleDate]],"MMM")</f>
        <v>Apr</v>
      </c>
    </row>
    <row r="950" spans="1:15">
      <c r="A950" s="1">
        <v>45043</v>
      </c>
      <c r="B950" t="s">
        <v>23</v>
      </c>
      <c r="C950" t="s">
        <v>19</v>
      </c>
      <c r="D950">
        <v>1</v>
      </c>
      <c r="E950" t="s">
        <v>9</v>
      </c>
      <c r="F950">
        <v>60000</v>
      </c>
      <c r="G950">
        <v>31000</v>
      </c>
      <c r="H950">
        <f>Table1[[#This Row],[Qty]]*Table1[[#This Row],[SellingPrice]]</f>
        <v>60000</v>
      </c>
      <c r="I950">
        <f>Table1[[#This Row],[Qty]]*Table1[[#This Row],[CostPrice]]</f>
        <v>31000</v>
      </c>
      <c r="J950">
        <v>28797</v>
      </c>
      <c r="K950">
        <v>202.99999999999997</v>
      </c>
      <c r="L950" t="s">
        <v>8</v>
      </c>
      <c r="M950" t="s">
        <v>29</v>
      </c>
      <c r="N950">
        <f>MONTH(Table1[[#This Row],[SaleDate]])</f>
        <v>4</v>
      </c>
      <c r="O950" t="str">
        <f>TEXT(Table1[[#This Row],[SaleDate]],"MMM")</f>
        <v>Apr</v>
      </c>
    </row>
    <row r="951" spans="1:15">
      <c r="A951" s="1">
        <v>45043</v>
      </c>
      <c r="B951" t="s">
        <v>23</v>
      </c>
      <c r="C951" t="s">
        <v>19</v>
      </c>
      <c r="D951">
        <v>1</v>
      </c>
      <c r="E951" t="s">
        <v>10</v>
      </c>
      <c r="F951">
        <v>89000</v>
      </c>
      <c r="G951">
        <v>65000</v>
      </c>
      <c r="H951">
        <f>Table1[[#This Row],[Qty]]*Table1[[#This Row],[SellingPrice]]</f>
        <v>89000</v>
      </c>
      <c r="I951">
        <f>Table1[[#This Row],[Qty]]*Table1[[#This Row],[CostPrice]]</f>
        <v>65000</v>
      </c>
      <c r="J951">
        <v>23832</v>
      </c>
      <c r="K951">
        <v>167.99999999999997</v>
      </c>
      <c r="L951" t="s">
        <v>8</v>
      </c>
      <c r="M951" t="s">
        <v>27</v>
      </c>
      <c r="N951">
        <f>MONTH(Table1[[#This Row],[SaleDate]])</f>
        <v>4</v>
      </c>
      <c r="O951" t="str">
        <f>TEXT(Table1[[#This Row],[SaleDate]],"MMM")</f>
        <v>Apr</v>
      </c>
    </row>
    <row r="952" spans="1:15">
      <c r="A952" s="1">
        <v>45043</v>
      </c>
      <c r="B952" t="s">
        <v>26</v>
      </c>
      <c r="C952" t="s">
        <v>20</v>
      </c>
      <c r="D952">
        <v>1</v>
      </c>
      <c r="E952" t="s">
        <v>7</v>
      </c>
      <c r="F952">
        <v>33000</v>
      </c>
      <c r="G952">
        <v>18000</v>
      </c>
      <c r="H952">
        <f>Table1[[#This Row],[Qty]]*Table1[[#This Row],[SellingPrice]]</f>
        <v>33000</v>
      </c>
      <c r="I952">
        <f>Table1[[#This Row],[Qty]]*Table1[[#This Row],[CostPrice]]</f>
        <v>18000</v>
      </c>
      <c r="J952">
        <v>14895</v>
      </c>
      <c r="K952">
        <v>104.99999999999999</v>
      </c>
      <c r="L952" t="s">
        <v>11</v>
      </c>
      <c r="M952" t="s">
        <v>30</v>
      </c>
      <c r="N952">
        <f>MONTH(Table1[[#This Row],[SaleDate]])</f>
        <v>4</v>
      </c>
      <c r="O952" t="str">
        <f>TEXT(Table1[[#This Row],[SaleDate]],"MMM")</f>
        <v>Apr</v>
      </c>
    </row>
    <row r="953" spans="1:15">
      <c r="A953" s="1">
        <v>45043</v>
      </c>
      <c r="B953" t="s">
        <v>24</v>
      </c>
      <c r="C953" t="s">
        <v>22</v>
      </c>
      <c r="D953">
        <v>1</v>
      </c>
      <c r="E953" t="s">
        <v>7</v>
      </c>
      <c r="F953">
        <v>33000</v>
      </c>
      <c r="G953">
        <v>18000</v>
      </c>
      <c r="H953">
        <f>Table1[[#This Row],[Qty]]*Table1[[#This Row],[SellingPrice]]</f>
        <v>33000</v>
      </c>
      <c r="I953">
        <f>Table1[[#This Row],[Qty]]*Table1[[#This Row],[CostPrice]]</f>
        <v>18000</v>
      </c>
      <c r="J953">
        <v>14895</v>
      </c>
      <c r="K953">
        <v>104.99999999999999</v>
      </c>
      <c r="L953" t="s">
        <v>12</v>
      </c>
      <c r="M953" t="s">
        <v>30</v>
      </c>
      <c r="N953">
        <f>MONTH(Table1[[#This Row],[SaleDate]])</f>
        <v>4</v>
      </c>
      <c r="O953" t="str">
        <f>TEXT(Table1[[#This Row],[SaleDate]],"MMM")</f>
        <v>Apr</v>
      </c>
    </row>
    <row r="954" spans="1:15">
      <c r="A954" s="1">
        <v>45043</v>
      </c>
      <c r="B954" t="s">
        <v>24</v>
      </c>
      <c r="C954" t="s">
        <v>22</v>
      </c>
      <c r="D954">
        <v>1</v>
      </c>
      <c r="E954" t="s">
        <v>9</v>
      </c>
      <c r="F954">
        <v>60000</v>
      </c>
      <c r="G954">
        <v>31000</v>
      </c>
      <c r="H954">
        <f>Table1[[#This Row],[Qty]]*Table1[[#This Row],[SellingPrice]]</f>
        <v>60000</v>
      </c>
      <c r="I954">
        <f>Table1[[#This Row],[Qty]]*Table1[[#This Row],[CostPrice]]</f>
        <v>31000</v>
      </c>
      <c r="J954">
        <v>28797</v>
      </c>
      <c r="K954">
        <v>202.99999999999997</v>
      </c>
      <c r="L954" t="s">
        <v>12</v>
      </c>
      <c r="M954" t="s">
        <v>30</v>
      </c>
      <c r="N954">
        <f>MONTH(Table1[[#This Row],[SaleDate]])</f>
        <v>4</v>
      </c>
      <c r="O954" t="str">
        <f>TEXT(Table1[[#This Row],[SaleDate]],"MMM")</f>
        <v>Apr</v>
      </c>
    </row>
    <row r="955" spans="1:15">
      <c r="A955" s="1">
        <v>45043</v>
      </c>
      <c r="B955" t="s">
        <v>24</v>
      </c>
      <c r="C955" t="s">
        <v>22</v>
      </c>
      <c r="D955">
        <v>1</v>
      </c>
      <c r="E955" t="s">
        <v>10</v>
      </c>
      <c r="F955">
        <v>89000</v>
      </c>
      <c r="G955">
        <v>65000</v>
      </c>
      <c r="H955">
        <f>Table1[[#This Row],[Qty]]*Table1[[#This Row],[SellingPrice]]</f>
        <v>89000</v>
      </c>
      <c r="I955">
        <f>Table1[[#This Row],[Qty]]*Table1[[#This Row],[CostPrice]]</f>
        <v>65000</v>
      </c>
      <c r="J955">
        <v>23832</v>
      </c>
      <c r="K955">
        <v>167.99999999999997</v>
      </c>
      <c r="L955" t="s">
        <v>12</v>
      </c>
      <c r="M955" t="s">
        <v>29</v>
      </c>
      <c r="N955">
        <f>MONTH(Table1[[#This Row],[SaleDate]])</f>
        <v>4</v>
      </c>
      <c r="O955" t="str">
        <f>TEXT(Table1[[#This Row],[SaleDate]],"MMM")</f>
        <v>Apr</v>
      </c>
    </row>
    <row r="956" spans="1:15">
      <c r="A956" s="1">
        <v>45043</v>
      </c>
      <c r="B956" t="s">
        <v>25</v>
      </c>
      <c r="C956" t="s">
        <v>21</v>
      </c>
      <c r="D956">
        <v>1</v>
      </c>
      <c r="E956" t="s">
        <v>7</v>
      </c>
      <c r="F956">
        <v>33000</v>
      </c>
      <c r="G956">
        <v>18000</v>
      </c>
      <c r="H956">
        <f>Table1[[#This Row],[Qty]]*Table1[[#This Row],[SellingPrice]]</f>
        <v>33000</v>
      </c>
      <c r="I956">
        <f>Table1[[#This Row],[Qty]]*Table1[[#This Row],[CostPrice]]</f>
        <v>18000</v>
      </c>
      <c r="J956">
        <v>14895</v>
      </c>
      <c r="K956">
        <v>104.99999999999999</v>
      </c>
      <c r="L956" t="s">
        <v>13</v>
      </c>
      <c r="M956" t="s">
        <v>27</v>
      </c>
      <c r="N956">
        <f>MONTH(Table1[[#This Row],[SaleDate]])</f>
        <v>4</v>
      </c>
      <c r="O956" t="str">
        <f>TEXT(Table1[[#This Row],[SaleDate]],"MMM")</f>
        <v>Apr</v>
      </c>
    </row>
    <row r="957" spans="1:15">
      <c r="A957" s="1">
        <v>45043</v>
      </c>
      <c r="B957" t="s">
        <v>25</v>
      </c>
      <c r="C957" t="s">
        <v>21</v>
      </c>
      <c r="D957">
        <v>1</v>
      </c>
      <c r="E957" t="s">
        <v>9</v>
      </c>
      <c r="F957">
        <v>60000</v>
      </c>
      <c r="G957">
        <v>31000</v>
      </c>
      <c r="H957">
        <f>Table1[[#This Row],[Qty]]*Table1[[#This Row],[SellingPrice]]</f>
        <v>60000</v>
      </c>
      <c r="I957">
        <f>Table1[[#This Row],[Qty]]*Table1[[#This Row],[CostPrice]]</f>
        <v>31000</v>
      </c>
      <c r="J957">
        <v>28797</v>
      </c>
      <c r="K957">
        <v>202.99999999999997</v>
      </c>
      <c r="L957" t="s">
        <v>13</v>
      </c>
      <c r="M957" t="s">
        <v>29</v>
      </c>
      <c r="N957">
        <f>MONTH(Table1[[#This Row],[SaleDate]])</f>
        <v>4</v>
      </c>
      <c r="O957" t="str">
        <f>TEXT(Table1[[#This Row],[SaleDate]],"MMM")</f>
        <v>Apr</v>
      </c>
    </row>
    <row r="958" spans="1:15">
      <c r="A958" s="1">
        <v>45043</v>
      </c>
      <c r="B958" t="s">
        <v>25</v>
      </c>
      <c r="C958" t="s">
        <v>21</v>
      </c>
      <c r="D958">
        <v>1</v>
      </c>
      <c r="E958" t="s">
        <v>10</v>
      </c>
      <c r="F958">
        <v>89000</v>
      </c>
      <c r="G958">
        <v>65000</v>
      </c>
      <c r="H958">
        <f>Table1[[#This Row],[Qty]]*Table1[[#This Row],[SellingPrice]]</f>
        <v>89000</v>
      </c>
      <c r="I958">
        <f>Table1[[#This Row],[Qty]]*Table1[[#This Row],[CostPrice]]</f>
        <v>65000</v>
      </c>
      <c r="J958">
        <v>23832</v>
      </c>
      <c r="K958">
        <v>167.99999999999997</v>
      </c>
      <c r="L958" t="s">
        <v>13</v>
      </c>
      <c r="M958" t="s">
        <v>27</v>
      </c>
      <c r="N958">
        <f>MONTH(Table1[[#This Row],[SaleDate]])</f>
        <v>4</v>
      </c>
      <c r="O958" t="str">
        <f>TEXT(Table1[[#This Row],[SaleDate]],"MMM")</f>
        <v>Apr</v>
      </c>
    </row>
    <row r="959" spans="1:15">
      <c r="A959" s="1">
        <v>45044</v>
      </c>
      <c r="B959" t="s">
        <v>23</v>
      </c>
      <c r="C959" t="s">
        <v>19</v>
      </c>
      <c r="D959">
        <v>1</v>
      </c>
      <c r="E959" t="s">
        <v>7</v>
      </c>
      <c r="F959">
        <v>33000</v>
      </c>
      <c r="G959">
        <v>18000</v>
      </c>
      <c r="H959">
        <f>Table1[[#This Row],[Qty]]*Table1[[#This Row],[SellingPrice]]</f>
        <v>33000</v>
      </c>
      <c r="I959">
        <f>Table1[[#This Row],[Qty]]*Table1[[#This Row],[CostPrice]]</f>
        <v>18000</v>
      </c>
      <c r="J959">
        <v>14895</v>
      </c>
      <c r="K959">
        <v>104.99999999999999</v>
      </c>
      <c r="L959" t="s">
        <v>8</v>
      </c>
      <c r="M959" t="s">
        <v>29</v>
      </c>
      <c r="N959">
        <f>MONTH(Table1[[#This Row],[SaleDate]])</f>
        <v>4</v>
      </c>
      <c r="O959" t="str">
        <f>TEXT(Table1[[#This Row],[SaleDate]],"MMM")</f>
        <v>Apr</v>
      </c>
    </row>
    <row r="960" spans="1:15">
      <c r="A960" s="1">
        <v>45044</v>
      </c>
      <c r="B960" t="s">
        <v>23</v>
      </c>
      <c r="C960" t="s">
        <v>19</v>
      </c>
      <c r="D960">
        <v>1</v>
      </c>
      <c r="E960" t="s">
        <v>9</v>
      </c>
      <c r="F960">
        <v>60000</v>
      </c>
      <c r="G960">
        <v>31000</v>
      </c>
      <c r="H960">
        <f>Table1[[#This Row],[Qty]]*Table1[[#This Row],[SellingPrice]]</f>
        <v>60000</v>
      </c>
      <c r="I960">
        <f>Table1[[#This Row],[Qty]]*Table1[[#This Row],[CostPrice]]</f>
        <v>31000</v>
      </c>
      <c r="J960">
        <v>28797</v>
      </c>
      <c r="K960">
        <v>202.99999999999997</v>
      </c>
      <c r="L960" t="s">
        <v>8</v>
      </c>
      <c r="M960" t="s">
        <v>29</v>
      </c>
      <c r="N960">
        <f>MONTH(Table1[[#This Row],[SaleDate]])</f>
        <v>4</v>
      </c>
      <c r="O960" t="str">
        <f>TEXT(Table1[[#This Row],[SaleDate]],"MMM")</f>
        <v>Apr</v>
      </c>
    </row>
    <row r="961" spans="1:15">
      <c r="A961" s="1">
        <v>45044</v>
      </c>
      <c r="B961" t="s">
        <v>23</v>
      </c>
      <c r="C961" t="s">
        <v>19</v>
      </c>
      <c r="D961">
        <v>1</v>
      </c>
      <c r="E961" t="s">
        <v>10</v>
      </c>
      <c r="F961">
        <v>89000</v>
      </c>
      <c r="G961">
        <v>65000</v>
      </c>
      <c r="H961">
        <f>Table1[[#This Row],[Qty]]*Table1[[#This Row],[SellingPrice]]</f>
        <v>89000</v>
      </c>
      <c r="I961">
        <f>Table1[[#This Row],[Qty]]*Table1[[#This Row],[CostPrice]]</f>
        <v>65000</v>
      </c>
      <c r="J961">
        <v>23832</v>
      </c>
      <c r="K961">
        <v>167.99999999999997</v>
      </c>
      <c r="L961" t="s">
        <v>8</v>
      </c>
      <c r="M961" t="s">
        <v>28</v>
      </c>
      <c r="N961">
        <f>MONTH(Table1[[#This Row],[SaleDate]])</f>
        <v>4</v>
      </c>
      <c r="O961" t="str">
        <f>TEXT(Table1[[#This Row],[SaleDate]],"MMM")</f>
        <v>Apr</v>
      </c>
    </row>
    <row r="962" spans="1:15">
      <c r="A962" s="1">
        <v>45044</v>
      </c>
      <c r="B962" t="s">
        <v>26</v>
      </c>
      <c r="C962" t="s">
        <v>20</v>
      </c>
      <c r="D962">
        <v>1</v>
      </c>
      <c r="E962" t="s">
        <v>7</v>
      </c>
      <c r="F962">
        <v>33000</v>
      </c>
      <c r="G962">
        <v>18000</v>
      </c>
      <c r="H962">
        <f>Table1[[#This Row],[Qty]]*Table1[[#This Row],[SellingPrice]]</f>
        <v>33000</v>
      </c>
      <c r="I962">
        <f>Table1[[#This Row],[Qty]]*Table1[[#This Row],[CostPrice]]</f>
        <v>18000</v>
      </c>
      <c r="J962">
        <v>14895</v>
      </c>
      <c r="K962">
        <v>104.99999999999999</v>
      </c>
      <c r="L962" t="s">
        <v>11</v>
      </c>
      <c r="M962" t="s">
        <v>29</v>
      </c>
      <c r="N962">
        <f>MONTH(Table1[[#This Row],[SaleDate]])</f>
        <v>4</v>
      </c>
      <c r="O962" t="str">
        <f>TEXT(Table1[[#This Row],[SaleDate]],"MMM")</f>
        <v>Apr</v>
      </c>
    </row>
    <row r="963" spans="1:15">
      <c r="A963" s="1">
        <v>45044</v>
      </c>
      <c r="B963" t="s">
        <v>24</v>
      </c>
      <c r="C963" t="s">
        <v>22</v>
      </c>
      <c r="D963">
        <v>1</v>
      </c>
      <c r="E963" t="s">
        <v>7</v>
      </c>
      <c r="F963">
        <v>33000</v>
      </c>
      <c r="G963">
        <v>18000</v>
      </c>
      <c r="H963">
        <f>Table1[[#This Row],[Qty]]*Table1[[#This Row],[SellingPrice]]</f>
        <v>33000</v>
      </c>
      <c r="I963">
        <f>Table1[[#This Row],[Qty]]*Table1[[#This Row],[CostPrice]]</f>
        <v>18000</v>
      </c>
      <c r="J963">
        <v>14895</v>
      </c>
      <c r="K963">
        <v>104.99999999999999</v>
      </c>
      <c r="L963" t="s">
        <v>12</v>
      </c>
      <c r="M963" t="s">
        <v>29</v>
      </c>
      <c r="N963">
        <f>MONTH(Table1[[#This Row],[SaleDate]])</f>
        <v>4</v>
      </c>
      <c r="O963" t="str">
        <f>TEXT(Table1[[#This Row],[SaleDate]],"MMM")</f>
        <v>Apr</v>
      </c>
    </row>
    <row r="964" spans="1:15">
      <c r="A964" s="1">
        <v>45044</v>
      </c>
      <c r="B964" t="s">
        <v>24</v>
      </c>
      <c r="C964" t="s">
        <v>22</v>
      </c>
      <c r="D964">
        <v>1</v>
      </c>
      <c r="E964" t="s">
        <v>9</v>
      </c>
      <c r="F964">
        <v>60000</v>
      </c>
      <c r="G964">
        <v>31000</v>
      </c>
      <c r="H964">
        <f>Table1[[#This Row],[Qty]]*Table1[[#This Row],[SellingPrice]]</f>
        <v>60000</v>
      </c>
      <c r="I964">
        <f>Table1[[#This Row],[Qty]]*Table1[[#This Row],[CostPrice]]</f>
        <v>31000</v>
      </c>
      <c r="J964">
        <v>28797</v>
      </c>
      <c r="K964">
        <v>202.99999999999997</v>
      </c>
      <c r="L964" t="s">
        <v>12</v>
      </c>
      <c r="M964" t="s">
        <v>29</v>
      </c>
      <c r="N964">
        <f>MONTH(Table1[[#This Row],[SaleDate]])</f>
        <v>4</v>
      </c>
      <c r="O964" t="str">
        <f>TEXT(Table1[[#This Row],[SaleDate]],"MMM")</f>
        <v>Apr</v>
      </c>
    </row>
    <row r="965" spans="1:15">
      <c r="A965" s="1">
        <v>45044</v>
      </c>
      <c r="B965" t="s">
        <v>24</v>
      </c>
      <c r="C965" t="s">
        <v>22</v>
      </c>
      <c r="D965">
        <v>1</v>
      </c>
      <c r="E965" t="s">
        <v>10</v>
      </c>
      <c r="F965">
        <v>89000</v>
      </c>
      <c r="G965">
        <v>65000</v>
      </c>
      <c r="H965">
        <f>Table1[[#This Row],[Qty]]*Table1[[#This Row],[SellingPrice]]</f>
        <v>89000</v>
      </c>
      <c r="I965">
        <f>Table1[[#This Row],[Qty]]*Table1[[#This Row],[CostPrice]]</f>
        <v>65000</v>
      </c>
      <c r="J965">
        <v>23832</v>
      </c>
      <c r="K965">
        <v>167.99999999999997</v>
      </c>
      <c r="L965" t="s">
        <v>12</v>
      </c>
      <c r="M965" t="s">
        <v>29</v>
      </c>
      <c r="N965">
        <f>MONTH(Table1[[#This Row],[SaleDate]])</f>
        <v>4</v>
      </c>
      <c r="O965" t="str">
        <f>TEXT(Table1[[#This Row],[SaleDate]],"MMM")</f>
        <v>Apr</v>
      </c>
    </row>
    <row r="966" spans="1:15">
      <c r="A966" s="1">
        <v>45044</v>
      </c>
      <c r="B966" t="s">
        <v>25</v>
      </c>
      <c r="C966" t="s">
        <v>21</v>
      </c>
      <c r="D966">
        <v>1</v>
      </c>
      <c r="E966" t="s">
        <v>7</v>
      </c>
      <c r="F966">
        <v>33000</v>
      </c>
      <c r="G966">
        <v>18000</v>
      </c>
      <c r="H966">
        <f>Table1[[#This Row],[Qty]]*Table1[[#This Row],[SellingPrice]]</f>
        <v>33000</v>
      </c>
      <c r="I966">
        <f>Table1[[#This Row],[Qty]]*Table1[[#This Row],[CostPrice]]</f>
        <v>18000</v>
      </c>
      <c r="J966">
        <v>14895</v>
      </c>
      <c r="K966">
        <v>104.99999999999999</v>
      </c>
      <c r="L966" t="s">
        <v>13</v>
      </c>
      <c r="M966" t="s">
        <v>27</v>
      </c>
      <c r="N966">
        <f>MONTH(Table1[[#This Row],[SaleDate]])</f>
        <v>4</v>
      </c>
      <c r="O966" t="str">
        <f>TEXT(Table1[[#This Row],[SaleDate]],"MMM")</f>
        <v>Apr</v>
      </c>
    </row>
    <row r="967" spans="1:15">
      <c r="A967" s="1">
        <v>45044</v>
      </c>
      <c r="B967" t="s">
        <v>25</v>
      </c>
      <c r="C967" t="s">
        <v>21</v>
      </c>
      <c r="D967">
        <v>1</v>
      </c>
      <c r="E967" t="s">
        <v>9</v>
      </c>
      <c r="F967">
        <v>60000</v>
      </c>
      <c r="G967">
        <v>31000</v>
      </c>
      <c r="H967">
        <f>Table1[[#This Row],[Qty]]*Table1[[#This Row],[SellingPrice]]</f>
        <v>60000</v>
      </c>
      <c r="I967">
        <f>Table1[[#This Row],[Qty]]*Table1[[#This Row],[CostPrice]]</f>
        <v>31000</v>
      </c>
      <c r="J967">
        <v>28797</v>
      </c>
      <c r="K967">
        <v>202.99999999999997</v>
      </c>
      <c r="L967" t="s">
        <v>13</v>
      </c>
      <c r="M967" t="s">
        <v>30</v>
      </c>
      <c r="N967">
        <f>MONTH(Table1[[#This Row],[SaleDate]])</f>
        <v>4</v>
      </c>
      <c r="O967" t="str">
        <f>TEXT(Table1[[#This Row],[SaleDate]],"MMM")</f>
        <v>Apr</v>
      </c>
    </row>
    <row r="968" spans="1:15">
      <c r="A968" s="1">
        <v>45044</v>
      </c>
      <c r="B968" t="s">
        <v>25</v>
      </c>
      <c r="C968" t="s">
        <v>21</v>
      </c>
      <c r="D968">
        <v>1</v>
      </c>
      <c r="E968" t="s">
        <v>10</v>
      </c>
      <c r="F968">
        <v>89000</v>
      </c>
      <c r="G968">
        <v>65000</v>
      </c>
      <c r="H968">
        <f>Table1[[#This Row],[Qty]]*Table1[[#This Row],[SellingPrice]]</f>
        <v>89000</v>
      </c>
      <c r="I968">
        <f>Table1[[#This Row],[Qty]]*Table1[[#This Row],[CostPrice]]</f>
        <v>65000</v>
      </c>
      <c r="J968">
        <v>23832</v>
      </c>
      <c r="K968">
        <v>167.99999999999997</v>
      </c>
      <c r="L968" t="s">
        <v>13</v>
      </c>
      <c r="M968" t="s">
        <v>28</v>
      </c>
      <c r="N968">
        <f>MONTH(Table1[[#This Row],[SaleDate]])</f>
        <v>4</v>
      </c>
      <c r="O968" t="str">
        <f>TEXT(Table1[[#This Row],[SaleDate]],"MMM")</f>
        <v>Apr</v>
      </c>
    </row>
    <row r="969" spans="1:15">
      <c r="A969" s="1">
        <v>45045</v>
      </c>
      <c r="B969" t="s">
        <v>23</v>
      </c>
      <c r="C969" t="s">
        <v>19</v>
      </c>
      <c r="D969">
        <v>1</v>
      </c>
      <c r="E969" t="s">
        <v>7</v>
      </c>
      <c r="F969">
        <v>33000</v>
      </c>
      <c r="G969">
        <v>18000</v>
      </c>
      <c r="H969">
        <f>Table1[[#This Row],[Qty]]*Table1[[#This Row],[SellingPrice]]</f>
        <v>33000</v>
      </c>
      <c r="I969">
        <f>Table1[[#This Row],[Qty]]*Table1[[#This Row],[CostPrice]]</f>
        <v>18000</v>
      </c>
      <c r="J969">
        <v>14895</v>
      </c>
      <c r="K969">
        <v>104.99999999999999</v>
      </c>
      <c r="L969" t="s">
        <v>8</v>
      </c>
      <c r="M969" t="s">
        <v>29</v>
      </c>
      <c r="N969">
        <f>MONTH(Table1[[#This Row],[SaleDate]])</f>
        <v>4</v>
      </c>
      <c r="O969" t="str">
        <f>TEXT(Table1[[#This Row],[SaleDate]],"MMM")</f>
        <v>Apr</v>
      </c>
    </row>
    <row r="970" spans="1:15">
      <c r="A970" s="1">
        <v>45045</v>
      </c>
      <c r="B970" t="s">
        <v>23</v>
      </c>
      <c r="C970" t="s">
        <v>19</v>
      </c>
      <c r="D970">
        <v>1</v>
      </c>
      <c r="E970" t="s">
        <v>9</v>
      </c>
      <c r="F970">
        <v>60000</v>
      </c>
      <c r="G970">
        <v>31000</v>
      </c>
      <c r="H970">
        <f>Table1[[#This Row],[Qty]]*Table1[[#This Row],[SellingPrice]]</f>
        <v>60000</v>
      </c>
      <c r="I970">
        <f>Table1[[#This Row],[Qty]]*Table1[[#This Row],[CostPrice]]</f>
        <v>31000</v>
      </c>
      <c r="J970">
        <v>28797</v>
      </c>
      <c r="K970">
        <v>202.99999999999997</v>
      </c>
      <c r="L970" t="s">
        <v>8</v>
      </c>
      <c r="M970" t="s">
        <v>29</v>
      </c>
      <c r="N970">
        <f>MONTH(Table1[[#This Row],[SaleDate]])</f>
        <v>4</v>
      </c>
      <c r="O970" t="str">
        <f>TEXT(Table1[[#This Row],[SaleDate]],"MMM")</f>
        <v>Apr</v>
      </c>
    </row>
    <row r="971" spans="1:15">
      <c r="A971" s="1">
        <v>45045</v>
      </c>
      <c r="B971" t="s">
        <v>23</v>
      </c>
      <c r="C971" t="s">
        <v>19</v>
      </c>
      <c r="D971">
        <v>1</v>
      </c>
      <c r="E971" t="s">
        <v>10</v>
      </c>
      <c r="F971">
        <v>89000</v>
      </c>
      <c r="G971">
        <v>65000</v>
      </c>
      <c r="H971">
        <f>Table1[[#This Row],[Qty]]*Table1[[#This Row],[SellingPrice]]</f>
        <v>89000</v>
      </c>
      <c r="I971">
        <f>Table1[[#This Row],[Qty]]*Table1[[#This Row],[CostPrice]]</f>
        <v>65000</v>
      </c>
      <c r="J971">
        <v>23832</v>
      </c>
      <c r="K971">
        <v>167.99999999999997</v>
      </c>
      <c r="L971" t="s">
        <v>8</v>
      </c>
      <c r="M971" t="s">
        <v>30</v>
      </c>
      <c r="N971">
        <f>MONTH(Table1[[#This Row],[SaleDate]])</f>
        <v>4</v>
      </c>
      <c r="O971" t="str">
        <f>TEXT(Table1[[#This Row],[SaleDate]],"MMM")</f>
        <v>Apr</v>
      </c>
    </row>
    <row r="972" spans="1:15">
      <c r="A972" s="1">
        <v>45045</v>
      </c>
      <c r="B972" t="s">
        <v>26</v>
      </c>
      <c r="C972" t="s">
        <v>20</v>
      </c>
      <c r="D972">
        <v>1</v>
      </c>
      <c r="E972" t="s">
        <v>7</v>
      </c>
      <c r="F972">
        <v>33000</v>
      </c>
      <c r="G972">
        <v>18000</v>
      </c>
      <c r="H972">
        <f>Table1[[#This Row],[Qty]]*Table1[[#This Row],[SellingPrice]]</f>
        <v>33000</v>
      </c>
      <c r="I972">
        <f>Table1[[#This Row],[Qty]]*Table1[[#This Row],[CostPrice]]</f>
        <v>18000</v>
      </c>
      <c r="J972">
        <v>14895</v>
      </c>
      <c r="K972">
        <v>104.99999999999999</v>
      </c>
      <c r="L972" t="s">
        <v>11</v>
      </c>
      <c r="M972" t="s">
        <v>27</v>
      </c>
      <c r="N972">
        <f>MONTH(Table1[[#This Row],[SaleDate]])</f>
        <v>4</v>
      </c>
      <c r="O972" t="str">
        <f>TEXT(Table1[[#This Row],[SaleDate]],"MMM")</f>
        <v>Apr</v>
      </c>
    </row>
    <row r="973" spans="1:15">
      <c r="A973" s="1">
        <v>45045</v>
      </c>
      <c r="B973" t="s">
        <v>24</v>
      </c>
      <c r="C973" t="s">
        <v>22</v>
      </c>
      <c r="D973">
        <v>1</v>
      </c>
      <c r="E973" t="s">
        <v>7</v>
      </c>
      <c r="F973">
        <v>33000</v>
      </c>
      <c r="G973">
        <v>18000</v>
      </c>
      <c r="H973">
        <f>Table1[[#This Row],[Qty]]*Table1[[#This Row],[SellingPrice]]</f>
        <v>33000</v>
      </c>
      <c r="I973">
        <f>Table1[[#This Row],[Qty]]*Table1[[#This Row],[CostPrice]]</f>
        <v>18000</v>
      </c>
      <c r="J973">
        <v>14895</v>
      </c>
      <c r="K973">
        <v>104.99999999999999</v>
      </c>
      <c r="L973" t="s">
        <v>12</v>
      </c>
      <c r="M973" t="s">
        <v>27</v>
      </c>
      <c r="N973">
        <f>MONTH(Table1[[#This Row],[SaleDate]])</f>
        <v>4</v>
      </c>
      <c r="O973" t="str">
        <f>TEXT(Table1[[#This Row],[SaleDate]],"MMM")</f>
        <v>Apr</v>
      </c>
    </row>
    <row r="974" spans="1:15">
      <c r="A974" s="1">
        <v>45045</v>
      </c>
      <c r="B974" t="s">
        <v>24</v>
      </c>
      <c r="C974" t="s">
        <v>22</v>
      </c>
      <c r="D974">
        <v>1</v>
      </c>
      <c r="E974" t="s">
        <v>9</v>
      </c>
      <c r="F974">
        <v>60000</v>
      </c>
      <c r="G974">
        <v>31000</v>
      </c>
      <c r="H974">
        <f>Table1[[#This Row],[Qty]]*Table1[[#This Row],[SellingPrice]]</f>
        <v>60000</v>
      </c>
      <c r="I974">
        <f>Table1[[#This Row],[Qty]]*Table1[[#This Row],[CostPrice]]</f>
        <v>31000</v>
      </c>
      <c r="J974">
        <v>28797</v>
      </c>
      <c r="K974">
        <v>202.99999999999997</v>
      </c>
      <c r="L974" t="s">
        <v>12</v>
      </c>
      <c r="M974" t="s">
        <v>27</v>
      </c>
      <c r="N974">
        <f>MONTH(Table1[[#This Row],[SaleDate]])</f>
        <v>4</v>
      </c>
      <c r="O974" t="str">
        <f>TEXT(Table1[[#This Row],[SaleDate]],"MMM")</f>
        <v>Apr</v>
      </c>
    </row>
    <row r="975" spans="1:15">
      <c r="A975" s="1">
        <v>45045</v>
      </c>
      <c r="B975" t="s">
        <v>24</v>
      </c>
      <c r="C975" t="s">
        <v>22</v>
      </c>
      <c r="D975">
        <v>1</v>
      </c>
      <c r="E975" t="s">
        <v>10</v>
      </c>
      <c r="F975">
        <v>89000</v>
      </c>
      <c r="G975">
        <v>65000</v>
      </c>
      <c r="H975">
        <f>Table1[[#This Row],[Qty]]*Table1[[#This Row],[SellingPrice]]</f>
        <v>89000</v>
      </c>
      <c r="I975">
        <f>Table1[[#This Row],[Qty]]*Table1[[#This Row],[CostPrice]]</f>
        <v>65000</v>
      </c>
      <c r="J975">
        <v>23832</v>
      </c>
      <c r="K975">
        <v>167.99999999999997</v>
      </c>
      <c r="L975" t="s">
        <v>12</v>
      </c>
      <c r="M975" t="s">
        <v>30</v>
      </c>
      <c r="N975">
        <f>MONTH(Table1[[#This Row],[SaleDate]])</f>
        <v>4</v>
      </c>
      <c r="O975" t="str">
        <f>TEXT(Table1[[#This Row],[SaleDate]],"MMM")</f>
        <v>Apr</v>
      </c>
    </row>
    <row r="976" spans="1:15">
      <c r="A976" s="1">
        <v>45045</v>
      </c>
      <c r="B976" t="s">
        <v>25</v>
      </c>
      <c r="C976" t="s">
        <v>21</v>
      </c>
      <c r="D976">
        <v>1</v>
      </c>
      <c r="E976" t="s">
        <v>7</v>
      </c>
      <c r="F976">
        <v>33000</v>
      </c>
      <c r="G976">
        <v>18000</v>
      </c>
      <c r="H976">
        <f>Table1[[#This Row],[Qty]]*Table1[[#This Row],[SellingPrice]]</f>
        <v>33000</v>
      </c>
      <c r="I976">
        <f>Table1[[#This Row],[Qty]]*Table1[[#This Row],[CostPrice]]</f>
        <v>18000</v>
      </c>
      <c r="J976">
        <v>14895</v>
      </c>
      <c r="K976">
        <v>104.99999999999999</v>
      </c>
      <c r="L976" t="s">
        <v>13</v>
      </c>
      <c r="M976" t="s">
        <v>27</v>
      </c>
      <c r="N976">
        <f>MONTH(Table1[[#This Row],[SaleDate]])</f>
        <v>4</v>
      </c>
      <c r="O976" t="str">
        <f>TEXT(Table1[[#This Row],[SaleDate]],"MMM")</f>
        <v>Apr</v>
      </c>
    </row>
    <row r="977" spans="1:15">
      <c r="A977" s="1">
        <v>45045</v>
      </c>
      <c r="B977" t="s">
        <v>25</v>
      </c>
      <c r="C977" t="s">
        <v>21</v>
      </c>
      <c r="D977">
        <v>1</v>
      </c>
      <c r="E977" t="s">
        <v>9</v>
      </c>
      <c r="F977">
        <v>60000</v>
      </c>
      <c r="G977">
        <v>31000</v>
      </c>
      <c r="H977">
        <f>Table1[[#This Row],[Qty]]*Table1[[#This Row],[SellingPrice]]</f>
        <v>60000</v>
      </c>
      <c r="I977">
        <f>Table1[[#This Row],[Qty]]*Table1[[#This Row],[CostPrice]]</f>
        <v>31000</v>
      </c>
      <c r="J977">
        <v>28797</v>
      </c>
      <c r="K977">
        <v>202.99999999999997</v>
      </c>
      <c r="L977" t="s">
        <v>13</v>
      </c>
      <c r="M977" t="s">
        <v>30</v>
      </c>
      <c r="N977">
        <f>MONTH(Table1[[#This Row],[SaleDate]])</f>
        <v>4</v>
      </c>
      <c r="O977" t="str">
        <f>TEXT(Table1[[#This Row],[SaleDate]],"MMM")</f>
        <v>Apr</v>
      </c>
    </row>
    <row r="978" spans="1:15">
      <c r="A978" s="1">
        <v>45045</v>
      </c>
      <c r="B978" t="s">
        <v>25</v>
      </c>
      <c r="C978" t="s">
        <v>21</v>
      </c>
      <c r="D978">
        <v>1</v>
      </c>
      <c r="E978" t="s">
        <v>10</v>
      </c>
      <c r="F978">
        <v>89000</v>
      </c>
      <c r="G978">
        <v>65000</v>
      </c>
      <c r="H978">
        <f>Table1[[#This Row],[Qty]]*Table1[[#This Row],[SellingPrice]]</f>
        <v>89000</v>
      </c>
      <c r="I978">
        <f>Table1[[#This Row],[Qty]]*Table1[[#This Row],[CostPrice]]</f>
        <v>65000</v>
      </c>
      <c r="J978">
        <v>23832</v>
      </c>
      <c r="K978">
        <v>167.99999999999997</v>
      </c>
      <c r="L978" t="s">
        <v>13</v>
      </c>
      <c r="M978" t="s">
        <v>27</v>
      </c>
      <c r="N978">
        <f>MONTH(Table1[[#This Row],[SaleDate]])</f>
        <v>4</v>
      </c>
      <c r="O978" t="str">
        <f>TEXT(Table1[[#This Row],[SaleDate]],"MMM")</f>
        <v>Apr</v>
      </c>
    </row>
    <row r="979" spans="1:15">
      <c r="A979" s="1">
        <v>45046</v>
      </c>
      <c r="B979" t="s">
        <v>23</v>
      </c>
      <c r="C979" t="s">
        <v>19</v>
      </c>
      <c r="D979">
        <v>1</v>
      </c>
      <c r="E979" t="s">
        <v>7</v>
      </c>
      <c r="F979">
        <v>33000</v>
      </c>
      <c r="G979">
        <v>18000</v>
      </c>
      <c r="H979">
        <f>Table1[[#This Row],[Qty]]*Table1[[#This Row],[SellingPrice]]</f>
        <v>33000</v>
      </c>
      <c r="I979">
        <f>Table1[[#This Row],[Qty]]*Table1[[#This Row],[CostPrice]]</f>
        <v>18000</v>
      </c>
      <c r="J979">
        <v>14895</v>
      </c>
      <c r="K979">
        <v>104.99999999999999</v>
      </c>
      <c r="L979" t="s">
        <v>8</v>
      </c>
      <c r="M979" t="s">
        <v>27</v>
      </c>
      <c r="N979">
        <f>MONTH(Table1[[#This Row],[SaleDate]])</f>
        <v>4</v>
      </c>
      <c r="O979" t="str">
        <f>TEXT(Table1[[#This Row],[SaleDate]],"MMM")</f>
        <v>Apr</v>
      </c>
    </row>
    <row r="980" spans="1:15">
      <c r="A980" s="1">
        <v>45046</v>
      </c>
      <c r="B980" t="s">
        <v>23</v>
      </c>
      <c r="C980" t="s">
        <v>19</v>
      </c>
      <c r="D980">
        <v>1</v>
      </c>
      <c r="E980" t="s">
        <v>9</v>
      </c>
      <c r="F980">
        <v>60000</v>
      </c>
      <c r="G980">
        <v>31000</v>
      </c>
      <c r="H980">
        <f>Table1[[#This Row],[Qty]]*Table1[[#This Row],[SellingPrice]]</f>
        <v>60000</v>
      </c>
      <c r="I980">
        <f>Table1[[#This Row],[Qty]]*Table1[[#This Row],[CostPrice]]</f>
        <v>31000</v>
      </c>
      <c r="J980">
        <v>28797</v>
      </c>
      <c r="K980">
        <v>202.99999999999997</v>
      </c>
      <c r="L980" t="s">
        <v>8</v>
      </c>
      <c r="M980" t="s">
        <v>27</v>
      </c>
      <c r="N980">
        <f>MONTH(Table1[[#This Row],[SaleDate]])</f>
        <v>4</v>
      </c>
      <c r="O980" t="str">
        <f>TEXT(Table1[[#This Row],[SaleDate]],"MMM")</f>
        <v>Apr</v>
      </c>
    </row>
    <row r="981" spans="1:15">
      <c r="A981" s="1">
        <v>45046</v>
      </c>
      <c r="B981" t="s">
        <v>23</v>
      </c>
      <c r="C981" t="s">
        <v>19</v>
      </c>
      <c r="D981">
        <v>1</v>
      </c>
      <c r="E981" t="s">
        <v>10</v>
      </c>
      <c r="F981">
        <v>89000</v>
      </c>
      <c r="G981">
        <v>65000</v>
      </c>
      <c r="H981">
        <f>Table1[[#This Row],[Qty]]*Table1[[#This Row],[SellingPrice]]</f>
        <v>89000</v>
      </c>
      <c r="I981">
        <f>Table1[[#This Row],[Qty]]*Table1[[#This Row],[CostPrice]]</f>
        <v>65000</v>
      </c>
      <c r="J981">
        <v>23832</v>
      </c>
      <c r="K981">
        <v>167.99999999999997</v>
      </c>
      <c r="L981" t="s">
        <v>8</v>
      </c>
      <c r="M981" t="s">
        <v>29</v>
      </c>
      <c r="N981">
        <f>MONTH(Table1[[#This Row],[SaleDate]])</f>
        <v>4</v>
      </c>
      <c r="O981" t="str">
        <f>TEXT(Table1[[#This Row],[SaleDate]],"MMM")</f>
        <v>Apr</v>
      </c>
    </row>
    <row r="982" spans="1:15">
      <c r="A982" s="1">
        <v>45046</v>
      </c>
      <c r="B982" t="s">
        <v>26</v>
      </c>
      <c r="C982" t="s">
        <v>20</v>
      </c>
      <c r="D982">
        <v>1</v>
      </c>
      <c r="E982" t="s">
        <v>7</v>
      </c>
      <c r="F982">
        <v>33000</v>
      </c>
      <c r="G982">
        <v>18000</v>
      </c>
      <c r="H982">
        <f>Table1[[#This Row],[Qty]]*Table1[[#This Row],[SellingPrice]]</f>
        <v>33000</v>
      </c>
      <c r="I982">
        <f>Table1[[#This Row],[Qty]]*Table1[[#This Row],[CostPrice]]</f>
        <v>18000</v>
      </c>
      <c r="J982">
        <v>14895</v>
      </c>
      <c r="K982">
        <v>104.99999999999999</v>
      </c>
      <c r="L982" t="s">
        <v>11</v>
      </c>
      <c r="M982" t="s">
        <v>29</v>
      </c>
      <c r="N982">
        <f>MONTH(Table1[[#This Row],[SaleDate]])</f>
        <v>4</v>
      </c>
      <c r="O982" t="str">
        <f>TEXT(Table1[[#This Row],[SaleDate]],"MMM")</f>
        <v>Apr</v>
      </c>
    </row>
    <row r="983" spans="1:15">
      <c r="A983" s="1">
        <v>45046</v>
      </c>
      <c r="B983" t="s">
        <v>24</v>
      </c>
      <c r="C983" t="s">
        <v>22</v>
      </c>
      <c r="D983">
        <v>1</v>
      </c>
      <c r="E983" t="s">
        <v>7</v>
      </c>
      <c r="F983">
        <v>33000</v>
      </c>
      <c r="G983">
        <v>18000</v>
      </c>
      <c r="H983">
        <f>Table1[[#This Row],[Qty]]*Table1[[#This Row],[SellingPrice]]</f>
        <v>33000</v>
      </c>
      <c r="I983">
        <f>Table1[[#This Row],[Qty]]*Table1[[#This Row],[CostPrice]]</f>
        <v>18000</v>
      </c>
      <c r="J983">
        <v>14895</v>
      </c>
      <c r="K983">
        <v>104.99999999999999</v>
      </c>
      <c r="L983" t="s">
        <v>12</v>
      </c>
      <c r="M983" t="s">
        <v>29</v>
      </c>
      <c r="N983">
        <f>MONTH(Table1[[#This Row],[SaleDate]])</f>
        <v>4</v>
      </c>
      <c r="O983" t="str">
        <f>TEXT(Table1[[#This Row],[SaleDate]],"MMM")</f>
        <v>Apr</v>
      </c>
    </row>
    <row r="984" spans="1:15">
      <c r="A984" s="1">
        <v>45046</v>
      </c>
      <c r="B984" t="s">
        <v>24</v>
      </c>
      <c r="C984" t="s">
        <v>22</v>
      </c>
      <c r="D984">
        <v>1</v>
      </c>
      <c r="E984" t="s">
        <v>9</v>
      </c>
      <c r="F984">
        <v>60000</v>
      </c>
      <c r="G984">
        <v>31000</v>
      </c>
      <c r="H984">
        <f>Table1[[#This Row],[Qty]]*Table1[[#This Row],[SellingPrice]]</f>
        <v>60000</v>
      </c>
      <c r="I984">
        <f>Table1[[#This Row],[Qty]]*Table1[[#This Row],[CostPrice]]</f>
        <v>31000</v>
      </c>
      <c r="J984">
        <v>28797</v>
      </c>
      <c r="K984">
        <v>202.99999999999997</v>
      </c>
      <c r="L984" t="s">
        <v>12</v>
      </c>
      <c r="M984" t="s">
        <v>27</v>
      </c>
      <c r="N984">
        <f>MONTH(Table1[[#This Row],[SaleDate]])</f>
        <v>4</v>
      </c>
      <c r="O984" t="str">
        <f>TEXT(Table1[[#This Row],[SaleDate]],"MMM")</f>
        <v>Apr</v>
      </c>
    </row>
    <row r="985" spans="1:15">
      <c r="A985" s="1">
        <v>45046</v>
      </c>
      <c r="B985" t="s">
        <v>24</v>
      </c>
      <c r="C985" t="s">
        <v>22</v>
      </c>
      <c r="D985">
        <v>1</v>
      </c>
      <c r="E985" t="s">
        <v>10</v>
      </c>
      <c r="F985">
        <v>89000</v>
      </c>
      <c r="G985">
        <v>65000</v>
      </c>
      <c r="H985">
        <f>Table1[[#This Row],[Qty]]*Table1[[#This Row],[SellingPrice]]</f>
        <v>89000</v>
      </c>
      <c r="I985">
        <f>Table1[[#This Row],[Qty]]*Table1[[#This Row],[CostPrice]]</f>
        <v>65000</v>
      </c>
      <c r="J985">
        <v>23832</v>
      </c>
      <c r="K985">
        <v>167.99999999999997</v>
      </c>
      <c r="L985" t="s">
        <v>12</v>
      </c>
      <c r="M985" t="s">
        <v>27</v>
      </c>
      <c r="N985">
        <f>MONTH(Table1[[#This Row],[SaleDate]])</f>
        <v>4</v>
      </c>
      <c r="O985" t="str">
        <f>TEXT(Table1[[#This Row],[SaleDate]],"MMM")</f>
        <v>Apr</v>
      </c>
    </row>
    <row r="986" spans="1:15">
      <c r="A986" s="1">
        <v>45046</v>
      </c>
      <c r="B986" t="s">
        <v>25</v>
      </c>
      <c r="C986" t="s">
        <v>21</v>
      </c>
      <c r="D986">
        <v>1</v>
      </c>
      <c r="E986" t="s">
        <v>7</v>
      </c>
      <c r="F986">
        <v>33000</v>
      </c>
      <c r="G986">
        <v>18000</v>
      </c>
      <c r="H986">
        <f>Table1[[#This Row],[Qty]]*Table1[[#This Row],[SellingPrice]]</f>
        <v>33000</v>
      </c>
      <c r="I986">
        <f>Table1[[#This Row],[Qty]]*Table1[[#This Row],[CostPrice]]</f>
        <v>18000</v>
      </c>
      <c r="J986">
        <v>14895</v>
      </c>
      <c r="K986">
        <v>104.99999999999999</v>
      </c>
      <c r="L986" t="s">
        <v>13</v>
      </c>
      <c r="M986" t="s">
        <v>29</v>
      </c>
      <c r="N986">
        <f>MONTH(Table1[[#This Row],[SaleDate]])</f>
        <v>4</v>
      </c>
      <c r="O986" t="str">
        <f>TEXT(Table1[[#This Row],[SaleDate]],"MMM")</f>
        <v>Apr</v>
      </c>
    </row>
    <row r="987" spans="1:15">
      <c r="A987" s="1">
        <v>45046</v>
      </c>
      <c r="B987" t="s">
        <v>25</v>
      </c>
      <c r="C987" t="s">
        <v>21</v>
      </c>
      <c r="D987">
        <v>1</v>
      </c>
      <c r="E987" t="s">
        <v>9</v>
      </c>
      <c r="F987">
        <v>60000</v>
      </c>
      <c r="G987">
        <v>31000</v>
      </c>
      <c r="H987">
        <f>Table1[[#This Row],[Qty]]*Table1[[#This Row],[SellingPrice]]</f>
        <v>60000</v>
      </c>
      <c r="I987">
        <f>Table1[[#This Row],[Qty]]*Table1[[#This Row],[CostPrice]]</f>
        <v>31000</v>
      </c>
      <c r="J987">
        <v>28797</v>
      </c>
      <c r="K987">
        <v>202.99999999999997</v>
      </c>
      <c r="L987" t="s">
        <v>13</v>
      </c>
      <c r="M987" t="s">
        <v>29</v>
      </c>
      <c r="N987">
        <f>MONTH(Table1[[#This Row],[SaleDate]])</f>
        <v>4</v>
      </c>
      <c r="O987" t="str">
        <f>TEXT(Table1[[#This Row],[SaleDate]],"MMM")</f>
        <v>Apr</v>
      </c>
    </row>
    <row r="988" spans="1:15">
      <c r="A988" s="1">
        <v>45046</v>
      </c>
      <c r="B988" t="s">
        <v>25</v>
      </c>
      <c r="C988" t="s">
        <v>21</v>
      </c>
      <c r="D988">
        <v>1</v>
      </c>
      <c r="E988" t="s">
        <v>10</v>
      </c>
      <c r="F988">
        <v>89000</v>
      </c>
      <c r="G988">
        <v>65000</v>
      </c>
      <c r="H988">
        <f>Table1[[#This Row],[Qty]]*Table1[[#This Row],[SellingPrice]]</f>
        <v>89000</v>
      </c>
      <c r="I988">
        <f>Table1[[#This Row],[Qty]]*Table1[[#This Row],[CostPrice]]</f>
        <v>65000</v>
      </c>
      <c r="J988">
        <v>23832</v>
      </c>
      <c r="K988">
        <v>167.99999999999997</v>
      </c>
      <c r="L988" t="s">
        <v>13</v>
      </c>
      <c r="M988" t="s">
        <v>29</v>
      </c>
      <c r="N988">
        <f>MONTH(Table1[[#This Row],[SaleDate]])</f>
        <v>4</v>
      </c>
      <c r="O988" t="str">
        <f>TEXT(Table1[[#This Row],[SaleDate]],"MMM")</f>
        <v>Apr</v>
      </c>
    </row>
    <row r="989" spans="1:15">
      <c r="A989" s="1">
        <v>45047</v>
      </c>
      <c r="B989" t="s">
        <v>23</v>
      </c>
      <c r="C989" t="s">
        <v>19</v>
      </c>
      <c r="D989">
        <v>2</v>
      </c>
      <c r="E989" t="s">
        <v>7</v>
      </c>
      <c r="F989">
        <v>33000</v>
      </c>
      <c r="G989">
        <v>18000</v>
      </c>
      <c r="H989">
        <f>Table1[[#This Row],[Qty]]*Table1[[#This Row],[SellingPrice]]</f>
        <v>66000</v>
      </c>
      <c r="I989">
        <f>Table1[[#This Row],[Qty]]*Table1[[#This Row],[CostPrice]]</f>
        <v>36000</v>
      </c>
      <c r="J989">
        <v>29790</v>
      </c>
      <c r="K989">
        <v>209.99999999999997</v>
      </c>
      <c r="L989" t="s">
        <v>8</v>
      </c>
      <c r="M989" t="s">
        <v>29</v>
      </c>
      <c r="N989">
        <f>MONTH(Table1[[#This Row],[SaleDate]])</f>
        <v>5</v>
      </c>
      <c r="O989" t="str">
        <f>TEXT(Table1[[#This Row],[SaleDate]],"MMM")</f>
        <v>May</v>
      </c>
    </row>
    <row r="990" spans="1:15">
      <c r="A990" s="1">
        <v>45047</v>
      </c>
      <c r="B990" t="s">
        <v>23</v>
      </c>
      <c r="C990" t="s">
        <v>19</v>
      </c>
      <c r="D990">
        <v>2</v>
      </c>
      <c r="E990" t="s">
        <v>9</v>
      </c>
      <c r="F990">
        <v>60000</v>
      </c>
      <c r="G990">
        <v>31000</v>
      </c>
      <c r="H990">
        <f>Table1[[#This Row],[Qty]]*Table1[[#This Row],[SellingPrice]]</f>
        <v>120000</v>
      </c>
      <c r="I990">
        <f>Table1[[#This Row],[Qty]]*Table1[[#This Row],[CostPrice]]</f>
        <v>62000</v>
      </c>
      <c r="J990">
        <v>57594</v>
      </c>
      <c r="K990">
        <v>405.99999999999994</v>
      </c>
      <c r="L990" t="s">
        <v>8</v>
      </c>
      <c r="M990" t="s">
        <v>27</v>
      </c>
      <c r="N990">
        <f>MONTH(Table1[[#This Row],[SaleDate]])</f>
        <v>5</v>
      </c>
      <c r="O990" t="str">
        <f>TEXT(Table1[[#This Row],[SaleDate]],"MMM")</f>
        <v>May</v>
      </c>
    </row>
    <row r="991" spans="1:15">
      <c r="A991" s="1">
        <v>45047</v>
      </c>
      <c r="B991" t="s">
        <v>23</v>
      </c>
      <c r="C991" t="s">
        <v>19</v>
      </c>
      <c r="D991">
        <v>2</v>
      </c>
      <c r="E991" t="s">
        <v>10</v>
      </c>
      <c r="F991">
        <v>89000</v>
      </c>
      <c r="G991">
        <v>65000</v>
      </c>
      <c r="H991">
        <f>Table1[[#This Row],[Qty]]*Table1[[#This Row],[SellingPrice]]</f>
        <v>178000</v>
      </c>
      <c r="I991">
        <f>Table1[[#This Row],[Qty]]*Table1[[#This Row],[CostPrice]]</f>
        <v>130000</v>
      </c>
      <c r="J991">
        <v>47664</v>
      </c>
      <c r="K991">
        <v>335.99999999999994</v>
      </c>
      <c r="L991" t="s">
        <v>8</v>
      </c>
      <c r="M991" t="s">
        <v>30</v>
      </c>
      <c r="N991">
        <f>MONTH(Table1[[#This Row],[SaleDate]])</f>
        <v>5</v>
      </c>
      <c r="O991" t="str">
        <f>TEXT(Table1[[#This Row],[SaleDate]],"MMM")</f>
        <v>May</v>
      </c>
    </row>
    <row r="992" spans="1:15">
      <c r="A992" s="1">
        <v>45047</v>
      </c>
      <c r="B992" t="s">
        <v>24</v>
      </c>
      <c r="C992" t="s">
        <v>22</v>
      </c>
      <c r="D992">
        <v>2</v>
      </c>
      <c r="E992" t="s">
        <v>7</v>
      </c>
      <c r="F992">
        <v>33000</v>
      </c>
      <c r="G992">
        <v>18000</v>
      </c>
      <c r="H992">
        <f>Table1[[#This Row],[Qty]]*Table1[[#This Row],[SellingPrice]]</f>
        <v>66000</v>
      </c>
      <c r="I992">
        <f>Table1[[#This Row],[Qty]]*Table1[[#This Row],[CostPrice]]</f>
        <v>36000</v>
      </c>
      <c r="J992">
        <v>29790</v>
      </c>
      <c r="K992">
        <v>209.99999999999997</v>
      </c>
      <c r="L992" t="s">
        <v>12</v>
      </c>
      <c r="M992" t="s">
        <v>27</v>
      </c>
      <c r="N992">
        <f>MONTH(Table1[[#This Row],[SaleDate]])</f>
        <v>5</v>
      </c>
      <c r="O992" t="str">
        <f>TEXT(Table1[[#This Row],[SaleDate]],"MMM")</f>
        <v>May</v>
      </c>
    </row>
    <row r="993" spans="1:15">
      <c r="A993" s="1">
        <v>45047</v>
      </c>
      <c r="B993" t="s">
        <v>24</v>
      </c>
      <c r="C993" t="s">
        <v>22</v>
      </c>
      <c r="D993">
        <v>2</v>
      </c>
      <c r="E993" t="s">
        <v>9</v>
      </c>
      <c r="F993">
        <v>60000</v>
      </c>
      <c r="G993">
        <v>31000</v>
      </c>
      <c r="H993">
        <f>Table1[[#This Row],[Qty]]*Table1[[#This Row],[SellingPrice]]</f>
        <v>120000</v>
      </c>
      <c r="I993">
        <f>Table1[[#This Row],[Qty]]*Table1[[#This Row],[CostPrice]]</f>
        <v>62000</v>
      </c>
      <c r="J993">
        <v>57594</v>
      </c>
      <c r="K993">
        <v>405.99999999999994</v>
      </c>
      <c r="L993" t="s">
        <v>12</v>
      </c>
      <c r="M993" t="s">
        <v>30</v>
      </c>
      <c r="N993">
        <f>MONTH(Table1[[#This Row],[SaleDate]])</f>
        <v>5</v>
      </c>
      <c r="O993" t="str">
        <f>TEXT(Table1[[#This Row],[SaleDate]],"MMM")</f>
        <v>May</v>
      </c>
    </row>
    <row r="994" spans="1:15">
      <c r="A994" s="1">
        <v>45047</v>
      </c>
      <c r="B994" t="s">
        <v>24</v>
      </c>
      <c r="C994" t="s">
        <v>22</v>
      </c>
      <c r="D994">
        <v>2</v>
      </c>
      <c r="E994" t="s">
        <v>10</v>
      </c>
      <c r="F994">
        <v>89000</v>
      </c>
      <c r="G994">
        <v>65000</v>
      </c>
      <c r="H994">
        <f>Table1[[#This Row],[Qty]]*Table1[[#This Row],[SellingPrice]]</f>
        <v>178000</v>
      </c>
      <c r="I994">
        <f>Table1[[#This Row],[Qty]]*Table1[[#This Row],[CostPrice]]</f>
        <v>130000</v>
      </c>
      <c r="J994">
        <v>47664</v>
      </c>
      <c r="K994">
        <v>335.99999999999994</v>
      </c>
      <c r="L994" t="s">
        <v>12</v>
      </c>
      <c r="M994" t="s">
        <v>30</v>
      </c>
      <c r="N994">
        <f>MONTH(Table1[[#This Row],[SaleDate]])</f>
        <v>5</v>
      </c>
      <c r="O994" t="str">
        <f>TEXT(Table1[[#This Row],[SaleDate]],"MMM")</f>
        <v>May</v>
      </c>
    </row>
    <row r="995" spans="1:15">
      <c r="A995" s="1">
        <v>45047</v>
      </c>
      <c r="B995" t="s">
        <v>25</v>
      </c>
      <c r="C995" t="s">
        <v>21</v>
      </c>
      <c r="D995">
        <v>2</v>
      </c>
      <c r="E995" t="s">
        <v>7</v>
      </c>
      <c r="F995">
        <v>33000</v>
      </c>
      <c r="G995">
        <v>18000</v>
      </c>
      <c r="H995">
        <f>Table1[[#This Row],[Qty]]*Table1[[#This Row],[SellingPrice]]</f>
        <v>66000</v>
      </c>
      <c r="I995">
        <f>Table1[[#This Row],[Qty]]*Table1[[#This Row],[CostPrice]]</f>
        <v>36000</v>
      </c>
      <c r="J995">
        <v>29790</v>
      </c>
      <c r="K995">
        <v>209.99999999999997</v>
      </c>
      <c r="L995" t="s">
        <v>13</v>
      </c>
      <c r="M995" t="s">
        <v>28</v>
      </c>
      <c r="N995">
        <f>MONTH(Table1[[#This Row],[SaleDate]])</f>
        <v>5</v>
      </c>
      <c r="O995" t="str">
        <f>TEXT(Table1[[#This Row],[SaleDate]],"MMM")</f>
        <v>May</v>
      </c>
    </row>
    <row r="996" spans="1:15">
      <c r="A996" s="1">
        <v>45047</v>
      </c>
      <c r="B996" t="s">
        <v>25</v>
      </c>
      <c r="C996" t="s">
        <v>21</v>
      </c>
      <c r="D996">
        <v>2</v>
      </c>
      <c r="E996" t="s">
        <v>9</v>
      </c>
      <c r="F996">
        <v>60000</v>
      </c>
      <c r="G996">
        <v>31000</v>
      </c>
      <c r="H996">
        <f>Table1[[#This Row],[Qty]]*Table1[[#This Row],[SellingPrice]]</f>
        <v>120000</v>
      </c>
      <c r="I996">
        <f>Table1[[#This Row],[Qty]]*Table1[[#This Row],[CostPrice]]</f>
        <v>62000</v>
      </c>
      <c r="J996">
        <v>57594</v>
      </c>
      <c r="K996">
        <v>405.99999999999994</v>
      </c>
      <c r="L996" t="s">
        <v>13</v>
      </c>
      <c r="M996" t="s">
        <v>27</v>
      </c>
      <c r="N996">
        <f>MONTH(Table1[[#This Row],[SaleDate]])</f>
        <v>5</v>
      </c>
      <c r="O996" t="str">
        <f>TEXT(Table1[[#This Row],[SaleDate]],"MMM")</f>
        <v>May</v>
      </c>
    </row>
    <row r="997" spans="1:15">
      <c r="A997" s="1">
        <v>45047</v>
      </c>
      <c r="B997" t="s">
        <v>25</v>
      </c>
      <c r="C997" t="s">
        <v>21</v>
      </c>
      <c r="D997">
        <v>2</v>
      </c>
      <c r="E997" t="s">
        <v>10</v>
      </c>
      <c r="F997">
        <v>89000</v>
      </c>
      <c r="G997">
        <v>65000</v>
      </c>
      <c r="H997">
        <f>Table1[[#This Row],[Qty]]*Table1[[#This Row],[SellingPrice]]</f>
        <v>178000</v>
      </c>
      <c r="I997">
        <f>Table1[[#This Row],[Qty]]*Table1[[#This Row],[CostPrice]]</f>
        <v>130000</v>
      </c>
      <c r="J997">
        <v>47664</v>
      </c>
      <c r="K997">
        <v>335.99999999999994</v>
      </c>
      <c r="L997" t="s">
        <v>13</v>
      </c>
      <c r="M997" t="s">
        <v>29</v>
      </c>
      <c r="N997">
        <f>MONTH(Table1[[#This Row],[SaleDate]])</f>
        <v>5</v>
      </c>
      <c r="O997" t="str">
        <f>TEXT(Table1[[#This Row],[SaleDate]],"MMM")</f>
        <v>May</v>
      </c>
    </row>
    <row r="998" spans="1:15">
      <c r="A998" s="1">
        <v>45048</v>
      </c>
      <c r="B998" t="s">
        <v>23</v>
      </c>
      <c r="C998" t="s">
        <v>19</v>
      </c>
      <c r="D998">
        <v>1</v>
      </c>
      <c r="E998" t="s">
        <v>7</v>
      </c>
      <c r="F998">
        <v>33000</v>
      </c>
      <c r="G998">
        <v>18000</v>
      </c>
      <c r="H998">
        <f>Table1[[#This Row],[Qty]]*Table1[[#This Row],[SellingPrice]]</f>
        <v>33000</v>
      </c>
      <c r="I998">
        <f>Table1[[#This Row],[Qty]]*Table1[[#This Row],[CostPrice]]</f>
        <v>18000</v>
      </c>
      <c r="J998">
        <v>14895</v>
      </c>
      <c r="K998">
        <v>104.99999999999999</v>
      </c>
      <c r="L998" t="s">
        <v>8</v>
      </c>
      <c r="M998" t="s">
        <v>30</v>
      </c>
      <c r="N998">
        <f>MONTH(Table1[[#This Row],[SaleDate]])</f>
        <v>5</v>
      </c>
      <c r="O998" t="str">
        <f>TEXT(Table1[[#This Row],[SaleDate]],"MMM")</f>
        <v>May</v>
      </c>
    </row>
    <row r="999" spans="1:15">
      <c r="A999" s="1">
        <v>45048</v>
      </c>
      <c r="B999" t="s">
        <v>23</v>
      </c>
      <c r="C999" t="s">
        <v>19</v>
      </c>
      <c r="D999">
        <v>1</v>
      </c>
      <c r="E999" t="s">
        <v>9</v>
      </c>
      <c r="F999">
        <v>60000</v>
      </c>
      <c r="G999">
        <v>31000</v>
      </c>
      <c r="H999">
        <f>Table1[[#This Row],[Qty]]*Table1[[#This Row],[SellingPrice]]</f>
        <v>60000</v>
      </c>
      <c r="I999">
        <f>Table1[[#This Row],[Qty]]*Table1[[#This Row],[CostPrice]]</f>
        <v>31000</v>
      </c>
      <c r="J999">
        <v>28797</v>
      </c>
      <c r="K999">
        <v>202.99999999999997</v>
      </c>
      <c r="L999" t="s">
        <v>8</v>
      </c>
      <c r="M999" t="s">
        <v>27</v>
      </c>
      <c r="N999">
        <f>MONTH(Table1[[#This Row],[SaleDate]])</f>
        <v>5</v>
      </c>
      <c r="O999" t="str">
        <f>TEXT(Table1[[#This Row],[SaleDate]],"MMM")</f>
        <v>May</v>
      </c>
    </row>
    <row r="1000" spans="1:15">
      <c r="A1000" s="1">
        <v>45048</v>
      </c>
      <c r="B1000" t="s">
        <v>23</v>
      </c>
      <c r="C1000" t="s">
        <v>19</v>
      </c>
      <c r="D1000">
        <v>1</v>
      </c>
      <c r="E1000" t="s">
        <v>10</v>
      </c>
      <c r="F1000">
        <v>89000</v>
      </c>
      <c r="G1000">
        <v>65000</v>
      </c>
      <c r="H1000">
        <f>Table1[[#This Row],[Qty]]*Table1[[#This Row],[SellingPrice]]</f>
        <v>89000</v>
      </c>
      <c r="I1000">
        <f>Table1[[#This Row],[Qty]]*Table1[[#This Row],[CostPrice]]</f>
        <v>65000</v>
      </c>
      <c r="J1000">
        <v>23832</v>
      </c>
      <c r="K1000">
        <v>167.99999999999997</v>
      </c>
      <c r="L1000" t="s">
        <v>8</v>
      </c>
      <c r="M1000" t="s">
        <v>29</v>
      </c>
      <c r="N1000">
        <f>MONTH(Table1[[#This Row],[SaleDate]])</f>
        <v>5</v>
      </c>
      <c r="O1000" t="str">
        <f>TEXT(Table1[[#This Row],[SaleDate]],"MMM")</f>
        <v>May</v>
      </c>
    </row>
    <row r="1001" spans="1:15">
      <c r="A1001" s="1">
        <v>45048</v>
      </c>
      <c r="B1001" t="s">
        <v>24</v>
      </c>
      <c r="C1001" t="s">
        <v>22</v>
      </c>
      <c r="D1001">
        <v>1</v>
      </c>
      <c r="E1001" t="s">
        <v>7</v>
      </c>
      <c r="F1001">
        <v>33000</v>
      </c>
      <c r="G1001">
        <v>18000</v>
      </c>
      <c r="H1001">
        <f>Table1[[#This Row],[Qty]]*Table1[[#This Row],[SellingPrice]]</f>
        <v>33000</v>
      </c>
      <c r="I1001">
        <f>Table1[[#This Row],[Qty]]*Table1[[#This Row],[CostPrice]]</f>
        <v>18000</v>
      </c>
      <c r="J1001">
        <v>14895</v>
      </c>
      <c r="K1001">
        <v>104.99999999999999</v>
      </c>
      <c r="L1001" t="s">
        <v>12</v>
      </c>
      <c r="M1001" t="s">
        <v>30</v>
      </c>
      <c r="N1001">
        <f>MONTH(Table1[[#This Row],[SaleDate]])</f>
        <v>5</v>
      </c>
      <c r="O1001" t="str">
        <f>TEXT(Table1[[#This Row],[SaleDate]],"MMM")</f>
        <v>May</v>
      </c>
    </row>
    <row r="1002" spans="1:15">
      <c r="A1002" s="1">
        <v>45048</v>
      </c>
      <c r="B1002" t="s">
        <v>24</v>
      </c>
      <c r="C1002" t="s">
        <v>22</v>
      </c>
      <c r="D1002">
        <v>1</v>
      </c>
      <c r="E1002" t="s">
        <v>9</v>
      </c>
      <c r="F1002">
        <v>60000</v>
      </c>
      <c r="G1002">
        <v>31000</v>
      </c>
      <c r="H1002">
        <f>Table1[[#This Row],[Qty]]*Table1[[#This Row],[SellingPrice]]</f>
        <v>60000</v>
      </c>
      <c r="I1002">
        <f>Table1[[#This Row],[Qty]]*Table1[[#This Row],[CostPrice]]</f>
        <v>31000</v>
      </c>
      <c r="J1002">
        <v>28797</v>
      </c>
      <c r="K1002">
        <v>202.99999999999997</v>
      </c>
      <c r="L1002" t="s">
        <v>12</v>
      </c>
      <c r="M1002" t="s">
        <v>29</v>
      </c>
      <c r="N1002">
        <f>MONTH(Table1[[#This Row],[SaleDate]])</f>
        <v>5</v>
      </c>
      <c r="O1002" t="str">
        <f>TEXT(Table1[[#This Row],[SaleDate]],"MMM")</f>
        <v>May</v>
      </c>
    </row>
    <row r="1003" spans="1:15">
      <c r="A1003" s="1">
        <v>45048</v>
      </c>
      <c r="B1003" t="s">
        <v>24</v>
      </c>
      <c r="C1003" t="s">
        <v>22</v>
      </c>
      <c r="D1003">
        <v>1</v>
      </c>
      <c r="E1003" t="s">
        <v>10</v>
      </c>
      <c r="F1003">
        <v>89000</v>
      </c>
      <c r="G1003">
        <v>65000</v>
      </c>
      <c r="H1003">
        <f>Table1[[#This Row],[Qty]]*Table1[[#This Row],[SellingPrice]]</f>
        <v>89000</v>
      </c>
      <c r="I1003">
        <f>Table1[[#This Row],[Qty]]*Table1[[#This Row],[CostPrice]]</f>
        <v>65000</v>
      </c>
      <c r="J1003">
        <v>23832</v>
      </c>
      <c r="K1003">
        <v>167.99999999999997</v>
      </c>
      <c r="L1003" t="s">
        <v>12</v>
      </c>
      <c r="M1003" t="s">
        <v>29</v>
      </c>
      <c r="N1003">
        <f>MONTH(Table1[[#This Row],[SaleDate]])</f>
        <v>5</v>
      </c>
      <c r="O1003" t="str">
        <f>TEXT(Table1[[#This Row],[SaleDate]],"MMM")</f>
        <v>May</v>
      </c>
    </row>
    <row r="1004" spans="1:15">
      <c r="A1004" s="1">
        <v>45048</v>
      </c>
      <c r="B1004" t="s">
        <v>25</v>
      </c>
      <c r="C1004" t="s">
        <v>21</v>
      </c>
      <c r="D1004">
        <v>1</v>
      </c>
      <c r="E1004" t="s">
        <v>7</v>
      </c>
      <c r="F1004">
        <v>33000</v>
      </c>
      <c r="G1004">
        <v>18000</v>
      </c>
      <c r="H1004">
        <f>Table1[[#This Row],[Qty]]*Table1[[#This Row],[SellingPrice]]</f>
        <v>33000</v>
      </c>
      <c r="I1004">
        <f>Table1[[#This Row],[Qty]]*Table1[[#This Row],[CostPrice]]</f>
        <v>18000</v>
      </c>
      <c r="J1004">
        <v>14895</v>
      </c>
      <c r="K1004">
        <v>104.99999999999999</v>
      </c>
      <c r="L1004" t="s">
        <v>13</v>
      </c>
      <c r="M1004" t="s">
        <v>29</v>
      </c>
      <c r="N1004">
        <f>MONTH(Table1[[#This Row],[SaleDate]])</f>
        <v>5</v>
      </c>
      <c r="O1004" t="str">
        <f>TEXT(Table1[[#This Row],[SaleDate]],"MMM")</f>
        <v>May</v>
      </c>
    </row>
    <row r="1005" spans="1:15">
      <c r="A1005" s="1">
        <v>45048</v>
      </c>
      <c r="B1005" t="s">
        <v>25</v>
      </c>
      <c r="C1005" t="s">
        <v>21</v>
      </c>
      <c r="D1005">
        <v>1</v>
      </c>
      <c r="E1005" t="s">
        <v>9</v>
      </c>
      <c r="F1005">
        <v>60000</v>
      </c>
      <c r="G1005">
        <v>31000</v>
      </c>
      <c r="H1005">
        <f>Table1[[#This Row],[Qty]]*Table1[[#This Row],[SellingPrice]]</f>
        <v>60000</v>
      </c>
      <c r="I1005">
        <f>Table1[[#This Row],[Qty]]*Table1[[#This Row],[CostPrice]]</f>
        <v>31000</v>
      </c>
      <c r="J1005">
        <v>28797</v>
      </c>
      <c r="K1005">
        <v>202.99999999999997</v>
      </c>
      <c r="L1005" t="s">
        <v>13</v>
      </c>
      <c r="M1005" t="s">
        <v>30</v>
      </c>
      <c r="N1005">
        <f>MONTH(Table1[[#This Row],[SaleDate]])</f>
        <v>5</v>
      </c>
      <c r="O1005" t="str">
        <f>TEXT(Table1[[#This Row],[SaleDate]],"MMM")</f>
        <v>May</v>
      </c>
    </row>
    <row r="1006" spans="1:15">
      <c r="A1006" s="1">
        <v>45048</v>
      </c>
      <c r="B1006" t="s">
        <v>25</v>
      </c>
      <c r="C1006" t="s">
        <v>21</v>
      </c>
      <c r="D1006">
        <v>1</v>
      </c>
      <c r="E1006" t="s">
        <v>10</v>
      </c>
      <c r="F1006">
        <v>89000</v>
      </c>
      <c r="G1006">
        <v>65000</v>
      </c>
      <c r="H1006">
        <f>Table1[[#This Row],[Qty]]*Table1[[#This Row],[SellingPrice]]</f>
        <v>89000</v>
      </c>
      <c r="I1006">
        <f>Table1[[#This Row],[Qty]]*Table1[[#This Row],[CostPrice]]</f>
        <v>65000</v>
      </c>
      <c r="J1006">
        <v>23832</v>
      </c>
      <c r="K1006">
        <v>167.99999999999997</v>
      </c>
      <c r="L1006" t="s">
        <v>13</v>
      </c>
      <c r="M1006" t="s">
        <v>29</v>
      </c>
      <c r="N1006">
        <f>MONTH(Table1[[#This Row],[SaleDate]])</f>
        <v>5</v>
      </c>
      <c r="O1006" t="str">
        <f>TEXT(Table1[[#This Row],[SaleDate]],"MMM")</f>
        <v>May</v>
      </c>
    </row>
    <row r="1007" spans="1:15">
      <c r="A1007" s="1">
        <v>45049</v>
      </c>
      <c r="B1007" t="s">
        <v>23</v>
      </c>
      <c r="C1007" t="s">
        <v>19</v>
      </c>
      <c r="D1007">
        <v>2</v>
      </c>
      <c r="E1007" t="s">
        <v>7</v>
      </c>
      <c r="F1007">
        <v>33000</v>
      </c>
      <c r="G1007">
        <v>18000</v>
      </c>
      <c r="H1007">
        <f>Table1[[#This Row],[Qty]]*Table1[[#This Row],[SellingPrice]]</f>
        <v>66000</v>
      </c>
      <c r="I1007">
        <f>Table1[[#This Row],[Qty]]*Table1[[#This Row],[CostPrice]]</f>
        <v>36000</v>
      </c>
      <c r="J1007">
        <v>29790</v>
      </c>
      <c r="K1007">
        <v>209.99999999999997</v>
      </c>
      <c r="L1007" t="s">
        <v>8</v>
      </c>
      <c r="M1007" t="s">
        <v>28</v>
      </c>
      <c r="N1007">
        <f>MONTH(Table1[[#This Row],[SaleDate]])</f>
        <v>5</v>
      </c>
      <c r="O1007" t="str">
        <f>TEXT(Table1[[#This Row],[SaleDate]],"MMM")</f>
        <v>May</v>
      </c>
    </row>
    <row r="1008" spans="1:15">
      <c r="A1008" s="1">
        <v>45049</v>
      </c>
      <c r="B1008" t="s">
        <v>23</v>
      </c>
      <c r="C1008" t="s">
        <v>19</v>
      </c>
      <c r="D1008">
        <v>2</v>
      </c>
      <c r="E1008" t="s">
        <v>9</v>
      </c>
      <c r="F1008">
        <v>60000</v>
      </c>
      <c r="G1008">
        <v>31000</v>
      </c>
      <c r="H1008">
        <f>Table1[[#This Row],[Qty]]*Table1[[#This Row],[SellingPrice]]</f>
        <v>120000</v>
      </c>
      <c r="I1008">
        <f>Table1[[#This Row],[Qty]]*Table1[[#This Row],[CostPrice]]</f>
        <v>62000</v>
      </c>
      <c r="J1008">
        <v>57594</v>
      </c>
      <c r="K1008">
        <v>405.99999999999994</v>
      </c>
      <c r="L1008" t="s">
        <v>8</v>
      </c>
      <c r="M1008" t="s">
        <v>30</v>
      </c>
      <c r="N1008">
        <f>MONTH(Table1[[#This Row],[SaleDate]])</f>
        <v>5</v>
      </c>
      <c r="O1008" t="str">
        <f>TEXT(Table1[[#This Row],[SaleDate]],"MMM")</f>
        <v>May</v>
      </c>
    </row>
    <row r="1009" spans="1:15">
      <c r="A1009" s="1">
        <v>45049</v>
      </c>
      <c r="B1009" t="s">
        <v>23</v>
      </c>
      <c r="C1009" t="s">
        <v>19</v>
      </c>
      <c r="D1009">
        <v>2</v>
      </c>
      <c r="E1009" t="s">
        <v>10</v>
      </c>
      <c r="F1009">
        <v>89000</v>
      </c>
      <c r="G1009">
        <v>65000</v>
      </c>
      <c r="H1009">
        <f>Table1[[#This Row],[Qty]]*Table1[[#This Row],[SellingPrice]]</f>
        <v>178000</v>
      </c>
      <c r="I1009">
        <f>Table1[[#This Row],[Qty]]*Table1[[#This Row],[CostPrice]]</f>
        <v>130000</v>
      </c>
      <c r="J1009">
        <v>47664</v>
      </c>
      <c r="K1009">
        <v>335.99999999999994</v>
      </c>
      <c r="L1009" t="s">
        <v>8</v>
      </c>
      <c r="M1009" t="s">
        <v>30</v>
      </c>
      <c r="N1009">
        <f>MONTH(Table1[[#This Row],[SaleDate]])</f>
        <v>5</v>
      </c>
      <c r="O1009" t="str">
        <f>TEXT(Table1[[#This Row],[SaleDate]],"MMM")</f>
        <v>May</v>
      </c>
    </row>
    <row r="1010" spans="1:15">
      <c r="A1010" s="1">
        <v>45049</v>
      </c>
      <c r="B1010" t="s">
        <v>24</v>
      </c>
      <c r="C1010" t="s">
        <v>22</v>
      </c>
      <c r="D1010">
        <v>2</v>
      </c>
      <c r="E1010" t="s">
        <v>7</v>
      </c>
      <c r="F1010">
        <v>33000</v>
      </c>
      <c r="G1010">
        <v>18000</v>
      </c>
      <c r="H1010">
        <f>Table1[[#This Row],[Qty]]*Table1[[#This Row],[SellingPrice]]</f>
        <v>66000</v>
      </c>
      <c r="I1010">
        <f>Table1[[#This Row],[Qty]]*Table1[[#This Row],[CostPrice]]</f>
        <v>36000</v>
      </c>
      <c r="J1010">
        <v>29790</v>
      </c>
      <c r="K1010">
        <v>209.99999999999997</v>
      </c>
      <c r="L1010" t="s">
        <v>12</v>
      </c>
      <c r="M1010" t="s">
        <v>30</v>
      </c>
      <c r="N1010">
        <f>MONTH(Table1[[#This Row],[SaleDate]])</f>
        <v>5</v>
      </c>
      <c r="O1010" t="str">
        <f>TEXT(Table1[[#This Row],[SaleDate]],"MMM")</f>
        <v>May</v>
      </c>
    </row>
    <row r="1011" spans="1:15">
      <c r="A1011" s="1">
        <v>45049</v>
      </c>
      <c r="B1011" t="s">
        <v>24</v>
      </c>
      <c r="C1011" t="s">
        <v>22</v>
      </c>
      <c r="D1011">
        <v>2</v>
      </c>
      <c r="E1011" t="s">
        <v>9</v>
      </c>
      <c r="F1011">
        <v>60000</v>
      </c>
      <c r="G1011">
        <v>31000</v>
      </c>
      <c r="H1011">
        <f>Table1[[#This Row],[Qty]]*Table1[[#This Row],[SellingPrice]]</f>
        <v>120000</v>
      </c>
      <c r="I1011">
        <f>Table1[[#This Row],[Qty]]*Table1[[#This Row],[CostPrice]]</f>
        <v>62000</v>
      </c>
      <c r="J1011">
        <v>57594</v>
      </c>
      <c r="K1011">
        <v>405.99999999999994</v>
      </c>
      <c r="L1011" t="s">
        <v>12</v>
      </c>
      <c r="M1011" t="s">
        <v>29</v>
      </c>
      <c r="N1011">
        <f>MONTH(Table1[[#This Row],[SaleDate]])</f>
        <v>5</v>
      </c>
      <c r="O1011" t="str">
        <f>TEXT(Table1[[#This Row],[SaleDate]],"MMM")</f>
        <v>May</v>
      </c>
    </row>
    <row r="1012" spans="1:15">
      <c r="A1012" s="1">
        <v>45049</v>
      </c>
      <c r="B1012" t="s">
        <v>24</v>
      </c>
      <c r="C1012" t="s">
        <v>22</v>
      </c>
      <c r="D1012">
        <v>2</v>
      </c>
      <c r="E1012" t="s">
        <v>10</v>
      </c>
      <c r="F1012">
        <v>89000</v>
      </c>
      <c r="G1012">
        <v>65000</v>
      </c>
      <c r="H1012">
        <f>Table1[[#This Row],[Qty]]*Table1[[#This Row],[SellingPrice]]</f>
        <v>178000</v>
      </c>
      <c r="I1012">
        <f>Table1[[#This Row],[Qty]]*Table1[[#This Row],[CostPrice]]</f>
        <v>130000</v>
      </c>
      <c r="J1012">
        <v>47664</v>
      </c>
      <c r="K1012">
        <v>335.99999999999994</v>
      </c>
      <c r="L1012" t="s">
        <v>12</v>
      </c>
      <c r="M1012" t="s">
        <v>30</v>
      </c>
      <c r="N1012">
        <f>MONTH(Table1[[#This Row],[SaleDate]])</f>
        <v>5</v>
      </c>
      <c r="O1012" t="str">
        <f>TEXT(Table1[[#This Row],[SaleDate]],"MMM")</f>
        <v>May</v>
      </c>
    </row>
    <row r="1013" spans="1:15">
      <c r="A1013" s="1">
        <v>45049</v>
      </c>
      <c r="B1013" t="s">
        <v>25</v>
      </c>
      <c r="C1013" t="s">
        <v>21</v>
      </c>
      <c r="D1013">
        <v>2</v>
      </c>
      <c r="E1013" t="s">
        <v>7</v>
      </c>
      <c r="F1013">
        <v>33000</v>
      </c>
      <c r="G1013">
        <v>18000</v>
      </c>
      <c r="H1013">
        <f>Table1[[#This Row],[Qty]]*Table1[[#This Row],[SellingPrice]]</f>
        <v>66000</v>
      </c>
      <c r="I1013">
        <f>Table1[[#This Row],[Qty]]*Table1[[#This Row],[CostPrice]]</f>
        <v>36000</v>
      </c>
      <c r="J1013">
        <v>29790</v>
      </c>
      <c r="K1013">
        <v>209.99999999999997</v>
      </c>
      <c r="L1013" t="s">
        <v>13</v>
      </c>
      <c r="M1013" t="s">
        <v>30</v>
      </c>
      <c r="N1013">
        <f>MONTH(Table1[[#This Row],[SaleDate]])</f>
        <v>5</v>
      </c>
      <c r="O1013" t="str">
        <f>TEXT(Table1[[#This Row],[SaleDate]],"MMM")</f>
        <v>May</v>
      </c>
    </row>
    <row r="1014" spans="1:15">
      <c r="A1014" s="1">
        <v>45049</v>
      </c>
      <c r="B1014" t="s">
        <v>25</v>
      </c>
      <c r="C1014" t="s">
        <v>21</v>
      </c>
      <c r="D1014">
        <v>2</v>
      </c>
      <c r="E1014" t="s">
        <v>9</v>
      </c>
      <c r="F1014">
        <v>60000</v>
      </c>
      <c r="G1014">
        <v>31000</v>
      </c>
      <c r="H1014">
        <f>Table1[[#This Row],[Qty]]*Table1[[#This Row],[SellingPrice]]</f>
        <v>120000</v>
      </c>
      <c r="I1014">
        <f>Table1[[#This Row],[Qty]]*Table1[[#This Row],[CostPrice]]</f>
        <v>62000</v>
      </c>
      <c r="J1014">
        <v>57594</v>
      </c>
      <c r="K1014">
        <v>405.99999999999994</v>
      </c>
      <c r="L1014" t="s">
        <v>13</v>
      </c>
      <c r="M1014" t="s">
        <v>29</v>
      </c>
      <c r="N1014">
        <f>MONTH(Table1[[#This Row],[SaleDate]])</f>
        <v>5</v>
      </c>
      <c r="O1014" t="str">
        <f>TEXT(Table1[[#This Row],[SaleDate]],"MMM")</f>
        <v>May</v>
      </c>
    </row>
    <row r="1015" spans="1:15">
      <c r="A1015" s="1">
        <v>45049</v>
      </c>
      <c r="B1015" t="s">
        <v>25</v>
      </c>
      <c r="C1015" t="s">
        <v>21</v>
      </c>
      <c r="D1015">
        <v>2</v>
      </c>
      <c r="E1015" t="s">
        <v>10</v>
      </c>
      <c r="F1015">
        <v>89000</v>
      </c>
      <c r="G1015">
        <v>65000</v>
      </c>
      <c r="H1015">
        <f>Table1[[#This Row],[Qty]]*Table1[[#This Row],[SellingPrice]]</f>
        <v>178000</v>
      </c>
      <c r="I1015">
        <f>Table1[[#This Row],[Qty]]*Table1[[#This Row],[CostPrice]]</f>
        <v>130000</v>
      </c>
      <c r="J1015">
        <v>47664</v>
      </c>
      <c r="K1015">
        <v>335.99999999999994</v>
      </c>
      <c r="L1015" t="s">
        <v>13</v>
      </c>
      <c r="M1015" t="s">
        <v>29</v>
      </c>
      <c r="N1015">
        <f>MONTH(Table1[[#This Row],[SaleDate]])</f>
        <v>5</v>
      </c>
      <c r="O1015" t="str">
        <f>TEXT(Table1[[#This Row],[SaleDate]],"MMM")</f>
        <v>May</v>
      </c>
    </row>
    <row r="1016" spans="1:15">
      <c r="A1016" s="1">
        <v>45050</v>
      </c>
      <c r="B1016" t="s">
        <v>23</v>
      </c>
      <c r="C1016" t="s">
        <v>19</v>
      </c>
      <c r="D1016">
        <v>1</v>
      </c>
      <c r="E1016" t="s">
        <v>7</v>
      </c>
      <c r="F1016">
        <v>33000</v>
      </c>
      <c r="G1016">
        <v>18000</v>
      </c>
      <c r="H1016">
        <f>Table1[[#This Row],[Qty]]*Table1[[#This Row],[SellingPrice]]</f>
        <v>33000</v>
      </c>
      <c r="I1016">
        <f>Table1[[#This Row],[Qty]]*Table1[[#This Row],[CostPrice]]</f>
        <v>18000</v>
      </c>
      <c r="J1016">
        <v>14895</v>
      </c>
      <c r="K1016">
        <v>104.99999999999999</v>
      </c>
      <c r="L1016" t="s">
        <v>8</v>
      </c>
      <c r="M1016" t="s">
        <v>29</v>
      </c>
      <c r="N1016">
        <f>MONTH(Table1[[#This Row],[SaleDate]])</f>
        <v>5</v>
      </c>
      <c r="O1016" t="str">
        <f>TEXT(Table1[[#This Row],[SaleDate]],"MMM")</f>
        <v>May</v>
      </c>
    </row>
    <row r="1017" spans="1:15">
      <c r="A1017" s="1">
        <v>45050</v>
      </c>
      <c r="B1017" t="s">
        <v>23</v>
      </c>
      <c r="C1017" t="s">
        <v>19</v>
      </c>
      <c r="D1017">
        <v>1</v>
      </c>
      <c r="E1017" t="s">
        <v>9</v>
      </c>
      <c r="F1017">
        <v>60000</v>
      </c>
      <c r="G1017">
        <v>31000</v>
      </c>
      <c r="H1017">
        <f>Table1[[#This Row],[Qty]]*Table1[[#This Row],[SellingPrice]]</f>
        <v>60000</v>
      </c>
      <c r="I1017">
        <f>Table1[[#This Row],[Qty]]*Table1[[#This Row],[CostPrice]]</f>
        <v>31000</v>
      </c>
      <c r="J1017">
        <v>28797</v>
      </c>
      <c r="K1017">
        <v>202.99999999999997</v>
      </c>
      <c r="L1017" t="s">
        <v>8</v>
      </c>
      <c r="M1017" t="s">
        <v>29</v>
      </c>
      <c r="N1017">
        <f>MONTH(Table1[[#This Row],[SaleDate]])</f>
        <v>5</v>
      </c>
      <c r="O1017" t="str">
        <f>TEXT(Table1[[#This Row],[SaleDate]],"MMM")</f>
        <v>May</v>
      </c>
    </row>
    <row r="1018" spans="1:15">
      <c r="A1018" s="1">
        <v>45050</v>
      </c>
      <c r="B1018" t="s">
        <v>23</v>
      </c>
      <c r="C1018" t="s">
        <v>19</v>
      </c>
      <c r="D1018">
        <v>1</v>
      </c>
      <c r="E1018" t="s">
        <v>10</v>
      </c>
      <c r="F1018">
        <v>89000</v>
      </c>
      <c r="G1018">
        <v>65000</v>
      </c>
      <c r="H1018">
        <f>Table1[[#This Row],[Qty]]*Table1[[#This Row],[SellingPrice]]</f>
        <v>89000</v>
      </c>
      <c r="I1018">
        <f>Table1[[#This Row],[Qty]]*Table1[[#This Row],[CostPrice]]</f>
        <v>65000</v>
      </c>
      <c r="J1018">
        <v>23832</v>
      </c>
      <c r="K1018">
        <v>167.99999999999997</v>
      </c>
      <c r="L1018" t="s">
        <v>8</v>
      </c>
      <c r="M1018" t="s">
        <v>30</v>
      </c>
      <c r="N1018">
        <f>MONTH(Table1[[#This Row],[SaleDate]])</f>
        <v>5</v>
      </c>
      <c r="O1018" t="str">
        <f>TEXT(Table1[[#This Row],[SaleDate]],"MMM")</f>
        <v>May</v>
      </c>
    </row>
    <row r="1019" spans="1:15">
      <c r="A1019" s="1">
        <v>45050</v>
      </c>
      <c r="B1019" t="s">
        <v>24</v>
      </c>
      <c r="C1019" t="s">
        <v>22</v>
      </c>
      <c r="D1019">
        <v>1</v>
      </c>
      <c r="E1019" t="s">
        <v>7</v>
      </c>
      <c r="F1019">
        <v>33000</v>
      </c>
      <c r="G1019">
        <v>18000</v>
      </c>
      <c r="H1019">
        <f>Table1[[#This Row],[Qty]]*Table1[[#This Row],[SellingPrice]]</f>
        <v>33000</v>
      </c>
      <c r="I1019">
        <f>Table1[[#This Row],[Qty]]*Table1[[#This Row],[CostPrice]]</f>
        <v>18000</v>
      </c>
      <c r="J1019">
        <v>14895</v>
      </c>
      <c r="K1019">
        <v>104.99999999999999</v>
      </c>
      <c r="L1019" t="s">
        <v>12</v>
      </c>
      <c r="M1019" t="s">
        <v>29</v>
      </c>
      <c r="N1019">
        <f>MONTH(Table1[[#This Row],[SaleDate]])</f>
        <v>5</v>
      </c>
      <c r="O1019" t="str">
        <f>TEXT(Table1[[#This Row],[SaleDate]],"MMM")</f>
        <v>May</v>
      </c>
    </row>
    <row r="1020" spans="1:15">
      <c r="A1020" s="1">
        <v>45050</v>
      </c>
      <c r="B1020" t="s">
        <v>24</v>
      </c>
      <c r="C1020" t="s">
        <v>22</v>
      </c>
      <c r="D1020">
        <v>1</v>
      </c>
      <c r="E1020" t="s">
        <v>9</v>
      </c>
      <c r="F1020">
        <v>60000</v>
      </c>
      <c r="G1020">
        <v>31000</v>
      </c>
      <c r="H1020">
        <f>Table1[[#This Row],[Qty]]*Table1[[#This Row],[SellingPrice]]</f>
        <v>60000</v>
      </c>
      <c r="I1020">
        <f>Table1[[#This Row],[Qty]]*Table1[[#This Row],[CostPrice]]</f>
        <v>31000</v>
      </c>
      <c r="J1020">
        <v>28797</v>
      </c>
      <c r="K1020">
        <v>202.99999999999997</v>
      </c>
      <c r="L1020" t="s">
        <v>12</v>
      </c>
      <c r="M1020" t="s">
        <v>30</v>
      </c>
      <c r="N1020">
        <f>MONTH(Table1[[#This Row],[SaleDate]])</f>
        <v>5</v>
      </c>
      <c r="O1020" t="str">
        <f>TEXT(Table1[[#This Row],[SaleDate]],"MMM")</f>
        <v>May</v>
      </c>
    </row>
    <row r="1021" spans="1:15">
      <c r="A1021" s="1">
        <v>45050</v>
      </c>
      <c r="B1021" t="s">
        <v>24</v>
      </c>
      <c r="C1021" t="s">
        <v>22</v>
      </c>
      <c r="D1021">
        <v>1</v>
      </c>
      <c r="E1021" t="s">
        <v>10</v>
      </c>
      <c r="F1021">
        <v>89000</v>
      </c>
      <c r="G1021">
        <v>65000</v>
      </c>
      <c r="H1021">
        <f>Table1[[#This Row],[Qty]]*Table1[[#This Row],[SellingPrice]]</f>
        <v>89000</v>
      </c>
      <c r="I1021">
        <f>Table1[[#This Row],[Qty]]*Table1[[#This Row],[CostPrice]]</f>
        <v>65000</v>
      </c>
      <c r="J1021">
        <v>23832</v>
      </c>
      <c r="K1021">
        <v>167.99999999999997</v>
      </c>
      <c r="L1021" t="s">
        <v>12</v>
      </c>
      <c r="M1021" t="s">
        <v>27</v>
      </c>
      <c r="N1021">
        <f>MONTH(Table1[[#This Row],[SaleDate]])</f>
        <v>5</v>
      </c>
      <c r="O1021" t="str">
        <f>TEXT(Table1[[#This Row],[SaleDate]],"MMM")</f>
        <v>May</v>
      </c>
    </row>
    <row r="1022" spans="1:15">
      <c r="A1022" s="1">
        <v>45050</v>
      </c>
      <c r="B1022" t="s">
        <v>25</v>
      </c>
      <c r="C1022" t="s">
        <v>21</v>
      </c>
      <c r="D1022">
        <v>1</v>
      </c>
      <c r="E1022" t="s">
        <v>7</v>
      </c>
      <c r="F1022">
        <v>33000</v>
      </c>
      <c r="G1022">
        <v>18000</v>
      </c>
      <c r="H1022">
        <f>Table1[[#This Row],[Qty]]*Table1[[#This Row],[SellingPrice]]</f>
        <v>33000</v>
      </c>
      <c r="I1022">
        <f>Table1[[#This Row],[Qty]]*Table1[[#This Row],[CostPrice]]</f>
        <v>18000</v>
      </c>
      <c r="J1022">
        <v>14895</v>
      </c>
      <c r="K1022">
        <v>104.99999999999999</v>
      </c>
      <c r="L1022" t="s">
        <v>13</v>
      </c>
      <c r="M1022" t="s">
        <v>30</v>
      </c>
      <c r="N1022">
        <f>MONTH(Table1[[#This Row],[SaleDate]])</f>
        <v>5</v>
      </c>
      <c r="O1022" t="str">
        <f>TEXT(Table1[[#This Row],[SaleDate]],"MMM")</f>
        <v>May</v>
      </c>
    </row>
    <row r="1023" spans="1:15">
      <c r="A1023" s="1">
        <v>45050</v>
      </c>
      <c r="B1023" t="s">
        <v>25</v>
      </c>
      <c r="C1023" t="s">
        <v>21</v>
      </c>
      <c r="D1023">
        <v>1</v>
      </c>
      <c r="E1023" t="s">
        <v>9</v>
      </c>
      <c r="F1023">
        <v>60000</v>
      </c>
      <c r="G1023">
        <v>31000</v>
      </c>
      <c r="H1023">
        <f>Table1[[#This Row],[Qty]]*Table1[[#This Row],[SellingPrice]]</f>
        <v>60000</v>
      </c>
      <c r="I1023">
        <f>Table1[[#This Row],[Qty]]*Table1[[#This Row],[CostPrice]]</f>
        <v>31000</v>
      </c>
      <c r="J1023">
        <v>28797</v>
      </c>
      <c r="K1023">
        <v>202.99999999999997</v>
      </c>
      <c r="L1023" t="s">
        <v>13</v>
      </c>
      <c r="M1023" t="s">
        <v>28</v>
      </c>
      <c r="N1023">
        <f>MONTH(Table1[[#This Row],[SaleDate]])</f>
        <v>5</v>
      </c>
      <c r="O1023" t="str">
        <f>TEXT(Table1[[#This Row],[SaleDate]],"MMM")</f>
        <v>May</v>
      </c>
    </row>
    <row r="1024" spans="1:15">
      <c r="A1024" s="1">
        <v>45050</v>
      </c>
      <c r="B1024" t="s">
        <v>25</v>
      </c>
      <c r="C1024" t="s">
        <v>21</v>
      </c>
      <c r="D1024">
        <v>1</v>
      </c>
      <c r="E1024" t="s">
        <v>10</v>
      </c>
      <c r="F1024">
        <v>89000</v>
      </c>
      <c r="G1024">
        <v>65000</v>
      </c>
      <c r="H1024">
        <f>Table1[[#This Row],[Qty]]*Table1[[#This Row],[SellingPrice]]</f>
        <v>89000</v>
      </c>
      <c r="I1024">
        <f>Table1[[#This Row],[Qty]]*Table1[[#This Row],[CostPrice]]</f>
        <v>65000</v>
      </c>
      <c r="J1024">
        <v>23832</v>
      </c>
      <c r="K1024">
        <v>167.99999999999997</v>
      </c>
      <c r="L1024" t="s">
        <v>13</v>
      </c>
      <c r="M1024" t="s">
        <v>29</v>
      </c>
      <c r="N1024">
        <f>MONTH(Table1[[#This Row],[SaleDate]])</f>
        <v>5</v>
      </c>
      <c r="O1024" t="str">
        <f>TEXT(Table1[[#This Row],[SaleDate]],"MMM")</f>
        <v>May</v>
      </c>
    </row>
    <row r="1025" spans="1:15">
      <c r="A1025" s="1">
        <v>45051</v>
      </c>
      <c r="B1025" t="s">
        <v>23</v>
      </c>
      <c r="C1025" t="s">
        <v>19</v>
      </c>
      <c r="D1025">
        <v>1</v>
      </c>
      <c r="E1025" t="s">
        <v>7</v>
      </c>
      <c r="F1025">
        <v>33000</v>
      </c>
      <c r="G1025">
        <v>18000</v>
      </c>
      <c r="H1025">
        <f>Table1[[#This Row],[Qty]]*Table1[[#This Row],[SellingPrice]]</f>
        <v>33000</v>
      </c>
      <c r="I1025">
        <f>Table1[[#This Row],[Qty]]*Table1[[#This Row],[CostPrice]]</f>
        <v>18000</v>
      </c>
      <c r="J1025">
        <v>14895</v>
      </c>
      <c r="K1025">
        <v>104.99999999999999</v>
      </c>
      <c r="L1025" t="s">
        <v>8</v>
      </c>
      <c r="M1025" t="s">
        <v>27</v>
      </c>
      <c r="N1025">
        <f>MONTH(Table1[[#This Row],[SaleDate]])</f>
        <v>5</v>
      </c>
      <c r="O1025" t="str">
        <f>TEXT(Table1[[#This Row],[SaleDate]],"MMM")</f>
        <v>May</v>
      </c>
    </row>
    <row r="1026" spans="1:15">
      <c r="A1026" s="1">
        <v>45051</v>
      </c>
      <c r="B1026" t="s">
        <v>23</v>
      </c>
      <c r="C1026" t="s">
        <v>19</v>
      </c>
      <c r="D1026">
        <v>1</v>
      </c>
      <c r="E1026" t="s">
        <v>9</v>
      </c>
      <c r="F1026">
        <v>60000</v>
      </c>
      <c r="G1026">
        <v>31000</v>
      </c>
      <c r="H1026">
        <f>Table1[[#This Row],[Qty]]*Table1[[#This Row],[SellingPrice]]</f>
        <v>60000</v>
      </c>
      <c r="I1026">
        <f>Table1[[#This Row],[Qty]]*Table1[[#This Row],[CostPrice]]</f>
        <v>31000</v>
      </c>
      <c r="J1026">
        <v>28797</v>
      </c>
      <c r="K1026">
        <v>202.99999999999997</v>
      </c>
      <c r="L1026" t="s">
        <v>8</v>
      </c>
      <c r="M1026" t="s">
        <v>29</v>
      </c>
      <c r="N1026">
        <f>MONTH(Table1[[#This Row],[SaleDate]])</f>
        <v>5</v>
      </c>
      <c r="O1026" t="str">
        <f>TEXT(Table1[[#This Row],[SaleDate]],"MMM")</f>
        <v>May</v>
      </c>
    </row>
    <row r="1027" spans="1:15">
      <c r="A1027" s="1">
        <v>45051</v>
      </c>
      <c r="B1027" t="s">
        <v>23</v>
      </c>
      <c r="C1027" t="s">
        <v>19</v>
      </c>
      <c r="D1027">
        <v>1</v>
      </c>
      <c r="E1027" t="s">
        <v>10</v>
      </c>
      <c r="F1027">
        <v>89000</v>
      </c>
      <c r="G1027">
        <v>65000</v>
      </c>
      <c r="H1027">
        <f>Table1[[#This Row],[Qty]]*Table1[[#This Row],[SellingPrice]]</f>
        <v>89000</v>
      </c>
      <c r="I1027">
        <f>Table1[[#This Row],[Qty]]*Table1[[#This Row],[CostPrice]]</f>
        <v>65000</v>
      </c>
      <c r="J1027">
        <v>23832</v>
      </c>
      <c r="K1027">
        <v>167.99999999999997</v>
      </c>
      <c r="L1027" t="s">
        <v>8</v>
      </c>
      <c r="M1027" t="s">
        <v>30</v>
      </c>
      <c r="N1027">
        <f>MONTH(Table1[[#This Row],[SaleDate]])</f>
        <v>5</v>
      </c>
      <c r="O1027" t="str">
        <f>TEXT(Table1[[#This Row],[SaleDate]],"MMM")</f>
        <v>May</v>
      </c>
    </row>
    <row r="1028" spans="1:15">
      <c r="A1028" s="1">
        <v>45051</v>
      </c>
      <c r="B1028" t="s">
        <v>24</v>
      </c>
      <c r="C1028" t="s">
        <v>22</v>
      </c>
      <c r="D1028">
        <v>1</v>
      </c>
      <c r="E1028" t="s">
        <v>7</v>
      </c>
      <c r="F1028">
        <v>33000</v>
      </c>
      <c r="G1028">
        <v>18000</v>
      </c>
      <c r="H1028">
        <f>Table1[[#This Row],[Qty]]*Table1[[#This Row],[SellingPrice]]</f>
        <v>33000</v>
      </c>
      <c r="I1028">
        <f>Table1[[#This Row],[Qty]]*Table1[[#This Row],[CostPrice]]</f>
        <v>18000</v>
      </c>
      <c r="J1028">
        <v>14895</v>
      </c>
      <c r="K1028">
        <v>104.99999999999999</v>
      </c>
      <c r="L1028" t="s">
        <v>12</v>
      </c>
      <c r="M1028" t="s">
        <v>28</v>
      </c>
      <c r="N1028">
        <f>MONTH(Table1[[#This Row],[SaleDate]])</f>
        <v>5</v>
      </c>
      <c r="O1028" t="str">
        <f>TEXT(Table1[[#This Row],[SaleDate]],"MMM")</f>
        <v>May</v>
      </c>
    </row>
    <row r="1029" spans="1:15">
      <c r="A1029" s="1">
        <v>45051</v>
      </c>
      <c r="B1029" t="s">
        <v>24</v>
      </c>
      <c r="C1029" t="s">
        <v>22</v>
      </c>
      <c r="D1029">
        <v>1</v>
      </c>
      <c r="E1029" t="s">
        <v>9</v>
      </c>
      <c r="F1029">
        <v>60000</v>
      </c>
      <c r="G1029">
        <v>31000</v>
      </c>
      <c r="H1029">
        <f>Table1[[#This Row],[Qty]]*Table1[[#This Row],[SellingPrice]]</f>
        <v>60000</v>
      </c>
      <c r="I1029">
        <f>Table1[[#This Row],[Qty]]*Table1[[#This Row],[CostPrice]]</f>
        <v>31000</v>
      </c>
      <c r="J1029">
        <v>28797</v>
      </c>
      <c r="K1029">
        <v>202.99999999999997</v>
      </c>
      <c r="L1029" t="s">
        <v>12</v>
      </c>
      <c r="M1029" t="s">
        <v>29</v>
      </c>
      <c r="N1029">
        <f>MONTH(Table1[[#This Row],[SaleDate]])</f>
        <v>5</v>
      </c>
      <c r="O1029" t="str">
        <f>TEXT(Table1[[#This Row],[SaleDate]],"MMM")</f>
        <v>May</v>
      </c>
    </row>
    <row r="1030" spans="1:15">
      <c r="A1030" s="1">
        <v>45051</v>
      </c>
      <c r="B1030" t="s">
        <v>24</v>
      </c>
      <c r="C1030" t="s">
        <v>22</v>
      </c>
      <c r="D1030">
        <v>1</v>
      </c>
      <c r="E1030" t="s">
        <v>10</v>
      </c>
      <c r="F1030">
        <v>89000</v>
      </c>
      <c r="G1030">
        <v>65000</v>
      </c>
      <c r="H1030">
        <f>Table1[[#This Row],[Qty]]*Table1[[#This Row],[SellingPrice]]</f>
        <v>89000</v>
      </c>
      <c r="I1030">
        <f>Table1[[#This Row],[Qty]]*Table1[[#This Row],[CostPrice]]</f>
        <v>65000</v>
      </c>
      <c r="J1030">
        <v>23832</v>
      </c>
      <c r="K1030">
        <v>167.99999999999997</v>
      </c>
      <c r="L1030" t="s">
        <v>12</v>
      </c>
      <c r="M1030" t="s">
        <v>27</v>
      </c>
      <c r="N1030">
        <f>MONTH(Table1[[#This Row],[SaleDate]])</f>
        <v>5</v>
      </c>
      <c r="O1030" t="str">
        <f>TEXT(Table1[[#This Row],[SaleDate]],"MMM")</f>
        <v>May</v>
      </c>
    </row>
    <row r="1031" spans="1:15">
      <c r="A1031" s="1">
        <v>45051</v>
      </c>
      <c r="B1031" t="s">
        <v>25</v>
      </c>
      <c r="C1031" t="s">
        <v>21</v>
      </c>
      <c r="D1031">
        <v>1</v>
      </c>
      <c r="E1031" t="s">
        <v>7</v>
      </c>
      <c r="F1031">
        <v>33000</v>
      </c>
      <c r="G1031">
        <v>18000</v>
      </c>
      <c r="H1031">
        <f>Table1[[#This Row],[Qty]]*Table1[[#This Row],[SellingPrice]]</f>
        <v>33000</v>
      </c>
      <c r="I1031">
        <f>Table1[[#This Row],[Qty]]*Table1[[#This Row],[CostPrice]]</f>
        <v>18000</v>
      </c>
      <c r="J1031">
        <v>14895</v>
      </c>
      <c r="K1031">
        <v>104.99999999999999</v>
      </c>
      <c r="L1031" t="s">
        <v>13</v>
      </c>
      <c r="M1031" t="s">
        <v>27</v>
      </c>
      <c r="N1031">
        <f>MONTH(Table1[[#This Row],[SaleDate]])</f>
        <v>5</v>
      </c>
      <c r="O1031" t="str">
        <f>TEXT(Table1[[#This Row],[SaleDate]],"MMM")</f>
        <v>May</v>
      </c>
    </row>
    <row r="1032" spans="1:15">
      <c r="A1032" s="1">
        <v>45051</v>
      </c>
      <c r="B1032" t="s">
        <v>25</v>
      </c>
      <c r="C1032" t="s">
        <v>21</v>
      </c>
      <c r="D1032">
        <v>1</v>
      </c>
      <c r="E1032" t="s">
        <v>9</v>
      </c>
      <c r="F1032">
        <v>60000</v>
      </c>
      <c r="G1032">
        <v>31000</v>
      </c>
      <c r="H1032">
        <f>Table1[[#This Row],[Qty]]*Table1[[#This Row],[SellingPrice]]</f>
        <v>60000</v>
      </c>
      <c r="I1032">
        <f>Table1[[#This Row],[Qty]]*Table1[[#This Row],[CostPrice]]</f>
        <v>31000</v>
      </c>
      <c r="J1032">
        <v>28797</v>
      </c>
      <c r="K1032">
        <v>202.99999999999997</v>
      </c>
      <c r="L1032" t="s">
        <v>13</v>
      </c>
      <c r="M1032" t="s">
        <v>30</v>
      </c>
      <c r="N1032">
        <f>MONTH(Table1[[#This Row],[SaleDate]])</f>
        <v>5</v>
      </c>
      <c r="O1032" t="str">
        <f>TEXT(Table1[[#This Row],[SaleDate]],"MMM")</f>
        <v>May</v>
      </c>
    </row>
    <row r="1033" spans="1:15">
      <c r="A1033" s="1">
        <v>45051</v>
      </c>
      <c r="B1033" t="s">
        <v>25</v>
      </c>
      <c r="C1033" t="s">
        <v>21</v>
      </c>
      <c r="D1033">
        <v>1</v>
      </c>
      <c r="E1033" t="s">
        <v>10</v>
      </c>
      <c r="F1033">
        <v>89000</v>
      </c>
      <c r="G1033">
        <v>65000</v>
      </c>
      <c r="H1033">
        <f>Table1[[#This Row],[Qty]]*Table1[[#This Row],[SellingPrice]]</f>
        <v>89000</v>
      </c>
      <c r="I1033">
        <f>Table1[[#This Row],[Qty]]*Table1[[#This Row],[CostPrice]]</f>
        <v>65000</v>
      </c>
      <c r="J1033">
        <v>23832</v>
      </c>
      <c r="K1033">
        <v>167.99999999999997</v>
      </c>
      <c r="L1033" t="s">
        <v>13</v>
      </c>
      <c r="M1033" t="s">
        <v>30</v>
      </c>
      <c r="N1033">
        <f>MONTH(Table1[[#This Row],[SaleDate]])</f>
        <v>5</v>
      </c>
      <c r="O1033" t="str">
        <f>TEXT(Table1[[#This Row],[SaleDate]],"MMM")</f>
        <v>May</v>
      </c>
    </row>
    <row r="1034" spans="1:15">
      <c r="A1034" s="1">
        <v>45052</v>
      </c>
      <c r="B1034" t="s">
        <v>23</v>
      </c>
      <c r="C1034" t="s">
        <v>19</v>
      </c>
      <c r="D1034">
        <v>2</v>
      </c>
      <c r="E1034" t="s">
        <v>7</v>
      </c>
      <c r="F1034">
        <v>33000</v>
      </c>
      <c r="G1034">
        <v>18000</v>
      </c>
      <c r="H1034">
        <f>Table1[[#This Row],[Qty]]*Table1[[#This Row],[SellingPrice]]</f>
        <v>66000</v>
      </c>
      <c r="I1034">
        <f>Table1[[#This Row],[Qty]]*Table1[[#This Row],[CostPrice]]</f>
        <v>36000</v>
      </c>
      <c r="J1034">
        <v>29790</v>
      </c>
      <c r="K1034">
        <v>209.99999999999997</v>
      </c>
      <c r="L1034" t="s">
        <v>8</v>
      </c>
      <c r="M1034" t="s">
        <v>30</v>
      </c>
      <c r="N1034">
        <f>MONTH(Table1[[#This Row],[SaleDate]])</f>
        <v>5</v>
      </c>
      <c r="O1034" t="str">
        <f>TEXT(Table1[[#This Row],[SaleDate]],"MMM")</f>
        <v>May</v>
      </c>
    </row>
    <row r="1035" spans="1:15">
      <c r="A1035" s="1">
        <v>45052</v>
      </c>
      <c r="B1035" t="s">
        <v>23</v>
      </c>
      <c r="C1035" t="s">
        <v>19</v>
      </c>
      <c r="D1035">
        <v>2</v>
      </c>
      <c r="E1035" t="s">
        <v>9</v>
      </c>
      <c r="F1035">
        <v>60000</v>
      </c>
      <c r="G1035">
        <v>31000</v>
      </c>
      <c r="H1035">
        <f>Table1[[#This Row],[Qty]]*Table1[[#This Row],[SellingPrice]]</f>
        <v>120000</v>
      </c>
      <c r="I1035">
        <f>Table1[[#This Row],[Qty]]*Table1[[#This Row],[CostPrice]]</f>
        <v>62000</v>
      </c>
      <c r="J1035">
        <v>57594</v>
      </c>
      <c r="K1035">
        <v>405.99999999999994</v>
      </c>
      <c r="L1035" t="s">
        <v>8</v>
      </c>
      <c r="M1035" t="s">
        <v>30</v>
      </c>
      <c r="N1035">
        <f>MONTH(Table1[[#This Row],[SaleDate]])</f>
        <v>5</v>
      </c>
      <c r="O1035" t="str">
        <f>TEXT(Table1[[#This Row],[SaleDate]],"MMM")</f>
        <v>May</v>
      </c>
    </row>
    <row r="1036" spans="1:15">
      <c r="A1036" s="1">
        <v>45052</v>
      </c>
      <c r="B1036" t="s">
        <v>23</v>
      </c>
      <c r="C1036" t="s">
        <v>19</v>
      </c>
      <c r="D1036">
        <v>2</v>
      </c>
      <c r="E1036" t="s">
        <v>10</v>
      </c>
      <c r="F1036">
        <v>89000</v>
      </c>
      <c r="G1036">
        <v>65000</v>
      </c>
      <c r="H1036">
        <f>Table1[[#This Row],[Qty]]*Table1[[#This Row],[SellingPrice]]</f>
        <v>178000</v>
      </c>
      <c r="I1036">
        <f>Table1[[#This Row],[Qty]]*Table1[[#This Row],[CostPrice]]</f>
        <v>130000</v>
      </c>
      <c r="J1036">
        <v>47664</v>
      </c>
      <c r="K1036">
        <v>335.99999999999994</v>
      </c>
      <c r="L1036" t="s">
        <v>8</v>
      </c>
      <c r="M1036" t="s">
        <v>30</v>
      </c>
      <c r="N1036">
        <f>MONTH(Table1[[#This Row],[SaleDate]])</f>
        <v>5</v>
      </c>
      <c r="O1036" t="str">
        <f>TEXT(Table1[[#This Row],[SaleDate]],"MMM")</f>
        <v>May</v>
      </c>
    </row>
    <row r="1037" spans="1:15">
      <c r="A1037" s="1">
        <v>45052</v>
      </c>
      <c r="B1037" t="s">
        <v>24</v>
      </c>
      <c r="C1037" t="s">
        <v>22</v>
      </c>
      <c r="D1037">
        <v>2</v>
      </c>
      <c r="E1037" t="s">
        <v>7</v>
      </c>
      <c r="F1037">
        <v>33000</v>
      </c>
      <c r="G1037">
        <v>18000</v>
      </c>
      <c r="H1037">
        <f>Table1[[#This Row],[Qty]]*Table1[[#This Row],[SellingPrice]]</f>
        <v>66000</v>
      </c>
      <c r="I1037">
        <f>Table1[[#This Row],[Qty]]*Table1[[#This Row],[CostPrice]]</f>
        <v>36000</v>
      </c>
      <c r="J1037">
        <v>29790</v>
      </c>
      <c r="K1037">
        <v>209.99999999999997</v>
      </c>
      <c r="L1037" t="s">
        <v>12</v>
      </c>
      <c r="M1037" t="s">
        <v>30</v>
      </c>
      <c r="N1037">
        <f>MONTH(Table1[[#This Row],[SaleDate]])</f>
        <v>5</v>
      </c>
      <c r="O1037" t="str">
        <f>TEXT(Table1[[#This Row],[SaleDate]],"MMM")</f>
        <v>May</v>
      </c>
    </row>
    <row r="1038" spans="1:15">
      <c r="A1038" s="1">
        <v>45052</v>
      </c>
      <c r="B1038" t="s">
        <v>24</v>
      </c>
      <c r="C1038" t="s">
        <v>22</v>
      </c>
      <c r="D1038">
        <v>2</v>
      </c>
      <c r="E1038" t="s">
        <v>9</v>
      </c>
      <c r="F1038">
        <v>60000</v>
      </c>
      <c r="G1038">
        <v>31000</v>
      </c>
      <c r="H1038">
        <f>Table1[[#This Row],[Qty]]*Table1[[#This Row],[SellingPrice]]</f>
        <v>120000</v>
      </c>
      <c r="I1038">
        <f>Table1[[#This Row],[Qty]]*Table1[[#This Row],[CostPrice]]</f>
        <v>62000</v>
      </c>
      <c r="J1038">
        <v>57594</v>
      </c>
      <c r="K1038">
        <v>405.99999999999994</v>
      </c>
      <c r="L1038" t="s">
        <v>12</v>
      </c>
      <c r="M1038" t="s">
        <v>30</v>
      </c>
      <c r="N1038">
        <f>MONTH(Table1[[#This Row],[SaleDate]])</f>
        <v>5</v>
      </c>
      <c r="O1038" t="str">
        <f>TEXT(Table1[[#This Row],[SaleDate]],"MMM")</f>
        <v>May</v>
      </c>
    </row>
    <row r="1039" spans="1:15">
      <c r="A1039" s="1">
        <v>45052</v>
      </c>
      <c r="B1039" t="s">
        <v>24</v>
      </c>
      <c r="C1039" t="s">
        <v>22</v>
      </c>
      <c r="D1039">
        <v>2</v>
      </c>
      <c r="E1039" t="s">
        <v>10</v>
      </c>
      <c r="F1039">
        <v>89000</v>
      </c>
      <c r="G1039">
        <v>65000</v>
      </c>
      <c r="H1039">
        <f>Table1[[#This Row],[Qty]]*Table1[[#This Row],[SellingPrice]]</f>
        <v>178000</v>
      </c>
      <c r="I1039">
        <f>Table1[[#This Row],[Qty]]*Table1[[#This Row],[CostPrice]]</f>
        <v>130000</v>
      </c>
      <c r="J1039">
        <v>47664</v>
      </c>
      <c r="K1039">
        <v>335.99999999999994</v>
      </c>
      <c r="L1039" t="s">
        <v>12</v>
      </c>
      <c r="M1039" t="s">
        <v>30</v>
      </c>
      <c r="N1039">
        <f>MONTH(Table1[[#This Row],[SaleDate]])</f>
        <v>5</v>
      </c>
      <c r="O1039" t="str">
        <f>TEXT(Table1[[#This Row],[SaleDate]],"MMM")</f>
        <v>May</v>
      </c>
    </row>
    <row r="1040" spans="1:15">
      <c r="A1040" s="1">
        <v>45052</v>
      </c>
      <c r="B1040" t="s">
        <v>25</v>
      </c>
      <c r="C1040" t="s">
        <v>21</v>
      </c>
      <c r="D1040">
        <v>2</v>
      </c>
      <c r="E1040" t="s">
        <v>7</v>
      </c>
      <c r="F1040">
        <v>33000</v>
      </c>
      <c r="G1040">
        <v>18000</v>
      </c>
      <c r="H1040">
        <f>Table1[[#This Row],[Qty]]*Table1[[#This Row],[SellingPrice]]</f>
        <v>66000</v>
      </c>
      <c r="I1040">
        <f>Table1[[#This Row],[Qty]]*Table1[[#This Row],[CostPrice]]</f>
        <v>36000</v>
      </c>
      <c r="J1040">
        <v>29790</v>
      </c>
      <c r="K1040">
        <v>209.99999999999997</v>
      </c>
      <c r="L1040" t="s">
        <v>13</v>
      </c>
      <c r="M1040" t="s">
        <v>27</v>
      </c>
      <c r="N1040">
        <f>MONTH(Table1[[#This Row],[SaleDate]])</f>
        <v>5</v>
      </c>
      <c r="O1040" t="str">
        <f>TEXT(Table1[[#This Row],[SaleDate]],"MMM")</f>
        <v>May</v>
      </c>
    </row>
    <row r="1041" spans="1:15">
      <c r="A1041" s="1">
        <v>45052</v>
      </c>
      <c r="B1041" t="s">
        <v>25</v>
      </c>
      <c r="C1041" t="s">
        <v>21</v>
      </c>
      <c r="D1041">
        <v>2</v>
      </c>
      <c r="E1041" t="s">
        <v>9</v>
      </c>
      <c r="F1041">
        <v>60000</v>
      </c>
      <c r="G1041">
        <v>31000</v>
      </c>
      <c r="H1041">
        <f>Table1[[#This Row],[Qty]]*Table1[[#This Row],[SellingPrice]]</f>
        <v>120000</v>
      </c>
      <c r="I1041">
        <f>Table1[[#This Row],[Qty]]*Table1[[#This Row],[CostPrice]]</f>
        <v>62000</v>
      </c>
      <c r="J1041">
        <v>57594</v>
      </c>
      <c r="K1041">
        <v>405.99999999999994</v>
      </c>
      <c r="L1041" t="s">
        <v>13</v>
      </c>
      <c r="M1041" t="s">
        <v>27</v>
      </c>
      <c r="N1041">
        <f>MONTH(Table1[[#This Row],[SaleDate]])</f>
        <v>5</v>
      </c>
      <c r="O1041" t="str">
        <f>TEXT(Table1[[#This Row],[SaleDate]],"MMM")</f>
        <v>May</v>
      </c>
    </row>
    <row r="1042" spans="1:15">
      <c r="A1042" s="1">
        <v>45052</v>
      </c>
      <c r="B1042" t="s">
        <v>25</v>
      </c>
      <c r="C1042" t="s">
        <v>21</v>
      </c>
      <c r="D1042">
        <v>2</v>
      </c>
      <c r="E1042" t="s">
        <v>10</v>
      </c>
      <c r="F1042">
        <v>89000</v>
      </c>
      <c r="G1042">
        <v>65000</v>
      </c>
      <c r="H1042">
        <f>Table1[[#This Row],[Qty]]*Table1[[#This Row],[SellingPrice]]</f>
        <v>178000</v>
      </c>
      <c r="I1042">
        <f>Table1[[#This Row],[Qty]]*Table1[[#This Row],[CostPrice]]</f>
        <v>130000</v>
      </c>
      <c r="J1042">
        <v>47664</v>
      </c>
      <c r="K1042">
        <v>335.99999999999994</v>
      </c>
      <c r="L1042" t="s">
        <v>13</v>
      </c>
      <c r="M1042" t="s">
        <v>30</v>
      </c>
      <c r="N1042">
        <f>MONTH(Table1[[#This Row],[SaleDate]])</f>
        <v>5</v>
      </c>
      <c r="O1042" t="str">
        <f>TEXT(Table1[[#This Row],[SaleDate]],"MMM")</f>
        <v>May</v>
      </c>
    </row>
    <row r="1043" spans="1:15">
      <c r="A1043" s="1">
        <v>45053</v>
      </c>
      <c r="B1043" t="s">
        <v>23</v>
      </c>
      <c r="C1043" t="s">
        <v>19</v>
      </c>
      <c r="D1043">
        <v>1</v>
      </c>
      <c r="E1043" t="s">
        <v>7</v>
      </c>
      <c r="F1043">
        <v>33000</v>
      </c>
      <c r="G1043">
        <v>18000</v>
      </c>
      <c r="H1043">
        <f>Table1[[#This Row],[Qty]]*Table1[[#This Row],[SellingPrice]]</f>
        <v>33000</v>
      </c>
      <c r="I1043">
        <f>Table1[[#This Row],[Qty]]*Table1[[#This Row],[CostPrice]]</f>
        <v>18000</v>
      </c>
      <c r="J1043">
        <v>14895</v>
      </c>
      <c r="K1043">
        <v>104.99999999999999</v>
      </c>
      <c r="L1043" t="s">
        <v>8</v>
      </c>
      <c r="M1043" t="s">
        <v>27</v>
      </c>
      <c r="N1043">
        <f>MONTH(Table1[[#This Row],[SaleDate]])</f>
        <v>5</v>
      </c>
      <c r="O1043" t="str">
        <f>TEXT(Table1[[#This Row],[SaleDate]],"MMM")</f>
        <v>May</v>
      </c>
    </row>
    <row r="1044" spans="1:15">
      <c r="A1044" s="1">
        <v>45053</v>
      </c>
      <c r="B1044" t="s">
        <v>23</v>
      </c>
      <c r="C1044" t="s">
        <v>19</v>
      </c>
      <c r="D1044">
        <v>1</v>
      </c>
      <c r="E1044" t="s">
        <v>9</v>
      </c>
      <c r="F1044">
        <v>60000</v>
      </c>
      <c r="G1044">
        <v>31000</v>
      </c>
      <c r="H1044">
        <f>Table1[[#This Row],[Qty]]*Table1[[#This Row],[SellingPrice]]</f>
        <v>60000</v>
      </c>
      <c r="I1044">
        <f>Table1[[#This Row],[Qty]]*Table1[[#This Row],[CostPrice]]</f>
        <v>31000</v>
      </c>
      <c r="J1044">
        <v>28797</v>
      </c>
      <c r="K1044">
        <v>202.99999999999997</v>
      </c>
      <c r="L1044" t="s">
        <v>8</v>
      </c>
      <c r="M1044" t="s">
        <v>27</v>
      </c>
      <c r="N1044">
        <f>MONTH(Table1[[#This Row],[SaleDate]])</f>
        <v>5</v>
      </c>
      <c r="O1044" t="str">
        <f>TEXT(Table1[[#This Row],[SaleDate]],"MMM")</f>
        <v>May</v>
      </c>
    </row>
    <row r="1045" spans="1:15">
      <c r="A1045" s="1">
        <v>45053</v>
      </c>
      <c r="B1045" t="s">
        <v>23</v>
      </c>
      <c r="C1045" t="s">
        <v>19</v>
      </c>
      <c r="D1045">
        <v>1</v>
      </c>
      <c r="E1045" t="s">
        <v>10</v>
      </c>
      <c r="F1045">
        <v>89000</v>
      </c>
      <c r="G1045">
        <v>65000</v>
      </c>
      <c r="H1045">
        <f>Table1[[#This Row],[Qty]]*Table1[[#This Row],[SellingPrice]]</f>
        <v>89000</v>
      </c>
      <c r="I1045">
        <f>Table1[[#This Row],[Qty]]*Table1[[#This Row],[CostPrice]]</f>
        <v>65000</v>
      </c>
      <c r="J1045">
        <v>23832</v>
      </c>
      <c r="K1045">
        <v>167.99999999999997</v>
      </c>
      <c r="L1045" t="s">
        <v>8</v>
      </c>
      <c r="M1045" t="s">
        <v>27</v>
      </c>
      <c r="N1045">
        <f>MONTH(Table1[[#This Row],[SaleDate]])</f>
        <v>5</v>
      </c>
      <c r="O1045" t="str">
        <f>TEXT(Table1[[#This Row],[SaleDate]],"MMM")</f>
        <v>May</v>
      </c>
    </row>
    <row r="1046" spans="1:15">
      <c r="A1046" s="1">
        <v>45053</v>
      </c>
      <c r="B1046" t="s">
        <v>24</v>
      </c>
      <c r="C1046" t="s">
        <v>22</v>
      </c>
      <c r="D1046">
        <v>1</v>
      </c>
      <c r="E1046" t="s">
        <v>7</v>
      </c>
      <c r="F1046">
        <v>33000</v>
      </c>
      <c r="G1046">
        <v>18000</v>
      </c>
      <c r="H1046">
        <f>Table1[[#This Row],[Qty]]*Table1[[#This Row],[SellingPrice]]</f>
        <v>33000</v>
      </c>
      <c r="I1046">
        <f>Table1[[#This Row],[Qty]]*Table1[[#This Row],[CostPrice]]</f>
        <v>18000</v>
      </c>
      <c r="J1046">
        <v>14895</v>
      </c>
      <c r="K1046">
        <v>104.99999999999999</v>
      </c>
      <c r="L1046" t="s">
        <v>12</v>
      </c>
      <c r="M1046" t="s">
        <v>30</v>
      </c>
      <c r="N1046">
        <f>MONTH(Table1[[#This Row],[SaleDate]])</f>
        <v>5</v>
      </c>
      <c r="O1046" t="str">
        <f>TEXT(Table1[[#This Row],[SaleDate]],"MMM")</f>
        <v>May</v>
      </c>
    </row>
    <row r="1047" spans="1:15">
      <c r="A1047" s="1">
        <v>45053</v>
      </c>
      <c r="B1047" t="s">
        <v>24</v>
      </c>
      <c r="C1047" t="s">
        <v>22</v>
      </c>
      <c r="D1047">
        <v>1</v>
      </c>
      <c r="E1047" t="s">
        <v>9</v>
      </c>
      <c r="F1047">
        <v>60000</v>
      </c>
      <c r="G1047">
        <v>31000</v>
      </c>
      <c r="H1047">
        <f>Table1[[#This Row],[Qty]]*Table1[[#This Row],[SellingPrice]]</f>
        <v>60000</v>
      </c>
      <c r="I1047">
        <f>Table1[[#This Row],[Qty]]*Table1[[#This Row],[CostPrice]]</f>
        <v>31000</v>
      </c>
      <c r="J1047">
        <v>28797</v>
      </c>
      <c r="K1047">
        <v>202.99999999999997</v>
      </c>
      <c r="L1047" t="s">
        <v>12</v>
      </c>
      <c r="M1047" t="s">
        <v>30</v>
      </c>
      <c r="N1047">
        <f>MONTH(Table1[[#This Row],[SaleDate]])</f>
        <v>5</v>
      </c>
      <c r="O1047" t="str">
        <f>TEXT(Table1[[#This Row],[SaleDate]],"MMM")</f>
        <v>May</v>
      </c>
    </row>
    <row r="1048" spans="1:15">
      <c r="A1048" s="1">
        <v>45053</v>
      </c>
      <c r="B1048" t="s">
        <v>24</v>
      </c>
      <c r="C1048" t="s">
        <v>22</v>
      </c>
      <c r="D1048">
        <v>1</v>
      </c>
      <c r="E1048" t="s">
        <v>10</v>
      </c>
      <c r="F1048">
        <v>89000</v>
      </c>
      <c r="G1048">
        <v>65000</v>
      </c>
      <c r="H1048">
        <f>Table1[[#This Row],[Qty]]*Table1[[#This Row],[SellingPrice]]</f>
        <v>89000</v>
      </c>
      <c r="I1048">
        <f>Table1[[#This Row],[Qty]]*Table1[[#This Row],[CostPrice]]</f>
        <v>65000</v>
      </c>
      <c r="J1048">
        <v>23832</v>
      </c>
      <c r="K1048">
        <v>167.99999999999997</v>
      </c>
      <c r="L1048" t="s">
        <v>12</v>
      </c>
      <c r="M1048" t="s">
        <v>29</v>
      </c>
      <c r="N1048">
        <f>MONTH(Table1[[#This Row],[SaleDate]])</f>
        <v>5</v>
      </c>
      <c r="O1048" t="str">
        <f>TEXT(Table1[[#This Row],[SaleDate]],"MMM")</f>
        <v>May</v>
      </c>
    </row>
    <row r="1049" spans="1:15">
      <c r="A1049" s="1">
        <v>45053</v>
      </c>
      <c r="B1049" t="s">
        <v>25</v>
      </c>
      <c r="C1049" t="s">
        <v>21</v>
      </c>
      <c r="D1049">
        <v>1</v>
      </c>
      <c r="E1049" t="s">
        <v>7</v>
      </c>
      <c r="F1049">
        <v>33000</v>
      </c>
      <c r="G1049">
        <v>18000</v>
      </c>
      <c r="H1049">
        <f>Table1[[#This Row],[Qty]]*Table1[[#This Row],[SellingPrice]]</f>
        <v>33000</v>
      </c>
      <c r="I1049">
        <f>Table1[[#This Row],[Qty]]*Table1[[#This Row],[CostPrice]]</f>
        <v>18000</v>
      </c>
      <c r="J1049">
        <v>14895</v>
      </c>
      <c r="K1049">
        <v>104.99999999999999</v>
      </c>
      <c r="L1049" t="s">
        <v>13</v>
      </c>
      <c r="M1049" t="s">
        <v>29</v>
      </c>
      <c r="N1049">
        <f>MONTH(Table1[[#This Row],[SaleDate]])</f>
        <v>5</v>
      </c>
      <c r="O1049" t="str">
        <f>TEXT(Table1[[#This Row],[SaleDate]],"MMM")</f>
        <v>May</v>
      </c>
    </row>
    <row r="1050" spans="1:15">
      <c r="A1050" s="1">
        <v>45053</v>
      </c>
      <c r="B1050" t="s">
        <v>25</v>
      </c>
      <c r="C1050" t="s">
        <v>21</v>
      </c>
      <c r="D1050">
        <v>1</v>
      </c>
      <c r="E1050" t="s">
        <v>9</v>
      </c>
      <c r="F1050">
        <v>60000</v>
      </c>
      <c r="G1050">
        <v>31000</v>
      </c>
      <c r="H1050">
        <f>Table1[[#This Row],[Qty]]*Table1[[#This Row],[SellingPrice]]</f>
        <v>60000</v>
      </c>
      <c r="I1050">
        <f>Table1[[#This Row],[Qty]]*Table1[[#This Row],[CostPrice]]</f>
        <v>31000</v>
      </c>
      <c r="J1050">
        <v>28797</v>
      </c>
      <c r="K1050">
        <v>202.99999999999997</v>
      </c>
      <c r="L1050" t="s">
        <v>13</v>
      </c>
      <c r="M1050" t="s">
        <v>30</v>
      </c>
      <c r="N1050">
        <f>MONTH(Table1[[#This Row],[SaleDate]])</f>
        <v>5</v>
      </c>
      <c r="O1050" t="str">
        <f>TEXT(Table1[[#This Row],[SaleDate]],"MMM")</f>
        <v>May</v>
      </c>
    </row>
    <row r="1051" spans="1:15">
      <c r="A1051" s="1">
        <v>45053</v>
      </c>
      <c r="B1051" t="s">
        <v>25</v>
      </c>
      <c r="C1051" t="s">
        <v>21</v>
      </c>
      <c r="D1051">
        <v>1</v>
      </c>
      <c r="E1051" t="s">
        <v>10</v>
      </c>
      <c r="F1051">
        <v>89000</v>
      </c>
      <c r="G1051">
        <v>65000</v>
      </c>
      <c r="H1051">
        <f>Table1[[#This Row],[Qty]]*Table1[[#This Row],[SellingPrice]]</f>
        <v>89000</v>
      </c>
      <c r="I1051">
        <f>Table1[[#This Row],[Qty]]*Table1[[#This Row],[CostPrice]]</f>
        <v>65000</v>
      </c>
      <c r="J1051">
        <v>23832</v>
      </c>
      <c r="K1051">
        <v>167.99999999999997</v>
      </c>
      <c r="L1051" t="s">
        <v>13</v>
      </c>
      <c r="M1051" t="s">
        <v>27</v>
      </c>
      <c r="N1051">
        <f>MONTH(Table1[[#This Row],[SaleDate]])</f>
        <v>5</v>
      </c>
      <c r="O1051" t="str">
        <f>TEXT(Table1[[#This Row],[SaleDate]],"MMM")</f>
        <v>May</v>
      </c>
    </row>
    <row r="1052" spans="1:15">
      <c r="A1052" s="1">
        <v>45054</v>
      </c>
      <c r="B1052" t="s">
        <v>23</v>
      </c>
      <c r="C1052" t="s">
        <v>19</v>
      </c>
      <c r="D1052">
        <v>2</v>
      </c>
      <c r="E1052" t="s">
        <v>7</v>
      </c>
      <c r="F1052">
        <v>33000</v>
      </c>
      <c r="G1052">
        <v>18000</v>
      </c>
      <c r="H1052">
        <f>Table1[[#This Row],[Qty]]*Table1[[#This Row],[SellingPrice]]</f>
        <v>66000</v>
      </c>
      <c r="I1052">
        <f>Table1[[#This Row],[Qty]]*Table1[[#This Row],[CostPrice]]</f>
        <v>36000</v>
      </c>
      <c r="J1052">
        <v>29790</v>
      </c>
      <c r="K1052">
        <v>209.99999999999997</v>
      </c>
      <c r="L1052" t="s">
        <v>8</v>
      </c>
      <c r="M1052" t="s">
        <v>30</v>
      </c>
      <c r="N1052">
        <f>MONTH(Table1[[#This Row],[SaleDate]])</f>
        <v>5</v>
      </c>
      <c r="O1052" t="str">
        <f>TEXT(Table1[[#This Row],[SaleDate]],"MMM")</f>
        <v>May</v>
      </c>
    </row>
    <row r="1053" spans="1:15">
      <c r="A1053" s="1">
        <v>45054</v>
      </c>
      <c r="B1053" t="s">
        <v>23</v>
      </c>
      <c r="C1053" t="s">
        <v>19</v>
      </c>
      <c r="D1053">
        <v>2</v>
      </c>
      <c r="E1053" t="s">
        <v>9</v>
      </c>
      <c r="F1053">
        <v>60000</v>
      </c>
      <c r="G1053">
        <v>31000</v>
      </c>
      <c r="H1053">
        <f>Table1[[#This Row],[Qty]]*Table1[[#This Row],[SellingPrice]]</f>
        <v>120000</v>
      </c>
      <c r="I1053">
        <f>Table1[[#This Row],[Qty]]*Table1[[#This Row],[CostPrice]]</f>
        <v>62000</v>
      </c>
      <c r="J1053">
        <v>57594</v>
      </c>
      <c r="K1053">
        <v>405.99999999999994</v>
      </c>
      <c r="L1053" t="s">
        <v>8</v>
      </c>
      <c r="M1053" t="s">
        <v>28</v>
      </c>
      <c r="N1053">
        <f>MONTH(Table1[[#This Row],[SaleDate]])</f>
        <v>5</v>
      </c>
      <c r="O1053" t="str">
        <f>TEXT(Table1[[#This Row],[SaleDate]],"MMM")</f>
        <v>May</v>
      </c>
    </row>
    <row r="1054" spans="1:15">
      <c r="A1054" s="1">
        <v>45054</v>
      </c>
      <c r="B1054" t="s">
        <v>23</v>
      </c>
      <c r="C1054" t="s">
        <v>19</v>
      </c>
      <c r="D1054">
        <v>2</v>
      </c>
      <c r="E1054" t="s">
        <v>10</v>
      </c>
      <c r="F1054">
        <v>89000</v>
      </c>
      <c r="G1054">
        <v>65000</v>
      </c>
      <c r="H1054">
        <f>Table1[[#This Row],[Qty]]*Table1[[#This Row],[SellingPrice]]</f>
        <v>178000</v>
      </c>
      <c r="I1054">
        <f>Table1[[#This Row],[Qty]]*Table1[[#This Row],[CostPrice]]</f>
        <v>130000</v>
      </c>
      <c r="J1054">
        <v>47664</v>
      </c>
      <c r="K1054">
        <v>335.99999999999994</v>
      </c>
      <c r="L1054" t="s">
        <v>8</v>
      </c>
      <c r="M1054" t="s">
        <v>30</v>
      </c>
      <c r="N1054">
        <f>MONTH(Table1[[#This Row],[SaleDate]])</f>
        <v>5</v>
      </c>
      <c r="O1054" t="str">
        <f>TEXT(Table1[[#This Row],[SaleDate]],"MMM")</f>
        <v>May</v>
      </c>
    </row>
    <row r="1055" spans="1:15">
      <c r="A1055" s="1">
        <v>45054</v>
      </c>
      <c r="B1055" t="s">
        <v>24</v>
      </c>
      <c r="C1055" t="s">
        <v>22</v>
      </c>
      <c r="D1055">
        <v>2</v>
      </c>
      <c r="E1055" t="s">
        <v>7</v>
      </c>
      <c r="F1055">
        <v>33000</v>
      </c>
      <c r="G1055">
        <v>18000</v>
      </c>
      <c r="H1055">
        <f>Table1[[#This Row],[Qty]]*Table1[[#This Row],[SellingPrice]]</f>
        <v>66000</v>
      </c>
      <c r="I1055">
        <f>Table1[[#This Row],[Qty]]*Table1[[#This Row],[CostPrice]]</f>
        <v>36000</v>
      </c>
      <c r="J1055">
        <v>29790</v>
      </c>
      <c r="K1055">
        <v>209.99999999999997</v>
      </c>
      <c r="L1055" t="s">
        <v>12</v>
      </c>
      <c r="M1055" t="s">
        <v>28</v>
      </c>
      <c r="N1055">
        <f>MONTH(Table1[[#This Row],[SaleDate]])</f>
        <v>5</v>
      </c>
      <c r="O1055" t="str">
        <f>TEXT(Table1[[#This Row],[SaleDate]],"MMM")</f>
        <v>May</v>
      </c>
    </row>
    <row r="1056" spans="1:15">
      <c r="A1056" s="1">
        <v>45054</v>
      </c>
      <c r="B1056" t="s">
        <v>24</v>
      </c>
      <c r="C1056" t="s">
        <v>22</v>
      </c>
      <c r="D1056">
        <v>2</v>
      </c>
      <c r="E1056" t="s">
        <v>9</v>
      </c>
      <c r="F1056">
        <v>60000</v>
      </c>
      <c r="G1056">
        <v>31000</v>
      </c>
      <c r="H1056">
        <f>Table1[[#This Row],[Qty]]*Table1[[#This Row],[SellingPrice]]</f>
        <v>120000</v>
      </c>
      <c r="I1056">
        <f>Table1[[#This Row],[Qty]]*Table1[[#This Row],[CostPrice]]</f>
        <v>62000</v>
      </c>
      <c r="J1056">
        <v>57594</v>
      </c>
      <c r="K1056">
        <v>405.99999999999994</v>
      </c>
      <c r="L1056" t="s">
        <v>12</v>
      </c>
      <c r="M1056" t="s">
        <v>30</v>
      </c>
      <c r="N1056">
        <f>MONTH(Table1[[#This Row],[SaleDate]])</f>
        <v>5</v>
      </c>
      <c r="O1056" t="str">
        <f>TEXT(Table1[[#This Row],[SaleDate]],"MMM")</f>
        <v>May</v>
      </c>
    </row>
    <row r="1057" spans="1:15">
      <c r="A1057" s="1">
        <v>45054</v>
      </c>
      <c r="B1057" t="s">
        <v>24</v>
      </c>
      <c r="C1057" t="s">
        <v>22</v>
      </c>
      <c r="D1057">
        <v>2</v>
      </c>
      <c r="E1057" t="s">
        <v>10</v>
      </c>
      <c r="F1057">
        <v>89000</v>
      </c>
      <c r="G1057">
        <v>65000</v>
      </c>
      <c r="H1057">
        <f>Table1[[#This Row],[Qty]]*Table1[[#This Row],[SellingPrice]]</f>
        <v>178000</v>
      </c>
      <c r="I1057">
        <f>Table1[[#This Row],[Qty]]*Table1[[#This Row],[CostPrice]]</f>
        <v>130000</v>
      </c>
      <c r="J1057">
        <v>47664</v>
      </c>
      <c r="K1057">
        <v>335.99999999999994</v>
      </c>
      <c r="L1057" t="s">
        <v>12</v>
      </c>
      <c r="M1057" t="s">
        <v>29</v>
      </c>
      <c r="N1057">
        <f>MONTH(Table1[[#This Row],[SaleDate]])</f>
        <v>5</v>
      </c>
      <c r="O1057" t="str">
        <f>TEXT(Table1[[#This Row],[SaleDate]],"MMM")</f>
        <v>May</v>
      </c>
    </row>
    <row r="1058" spans="1:15">
      <c r="A1058" s="1">
        <v>45054</v>
      </c>
      <c r="B1058" t="s">
        <v>25</v>
      </c>
      <c r="C1058" t="s">
        <v>21</v>
      </c>
      <c r="D1058">
        <v>2</v>
      </c>
      <c r="E1058" t="s">
        <v>7</v>
      </c>
      <c r="F1058">
        <v>33000</v>
      </c>
      <c r="G1058">
        <v>18000</v>
      </c>
      <c r="H1058">
        <f>Table1[[#This Row],[Qty]]*Table1[[#This Row],[SellingPrice]]</f>
        <v>66000</v>
      </c>
      <c r="I1058">
        <f>Table1[[#This Row],[Qty]]*Table1[[#This Row],[CostPrice]]</f>
        <v>36000</v>
      </c>
      <c r="J1058">
        <v>29790</v>
      </c>
      <c r="K1058">
        <v>209.99999999999997</v>
      </c>
      <c r="L1058" t="s">
        <v>13</v>
      </c>
      <c r="M1058" t="s">
        <v>29</v>
      </c>
      <c r="N1058">
        <f>MONTH(Table1[[#This Row],[SaleDate]])</f>
        <v>5</v>
      </c>
      <c r="O1058" t="str">
        <f>TEXT(Table1[[#This Row],[SaleDate]],"MMM")</f>
        <v>May</v>
      </c>
    </row>
    <row r="1059" spans="1:15">
      <c r="A1059" s="1">
        <v>45054</v>
      </c>
      <c r="B1059" t="s">
        <v>25</v>
      </c>
      <c r="C1059" t="s">
        <v>21</v>
      </c>
      <c r="D1059">
        <v>2</v>
      </c>
      <c r="E1059" t="s">
        <v>9</v>
      </c>
      <c r="F1059">
        <v>60000</v>
      </c>
      <c r="G1059">
        <v>31000</v>
      </c>
      <c r="H1059">
        <f>Table1[[#This Row],[Qty]]*Table1[[#This Row],[SellingPrice]]</f>
        <v>120000</v>
      </c>
      <c r="I1059">
        <f>Table1[[#This Row],[Qty]]*Table1[[#This Row],[CostPrice]]</f>
        <v>62000</v>
      </c>
      <c r="J1059">
        <v>57594</v>
      </c>
      <c r="K1059">
        <v>405.99999999999994</v>
      </c>
      <c r="L1059" t="s">
        <v>13</v>
      </c>
      <c r="M1059" t="s">
        <v>27</v>
      </c>
      <c r="N1059">
        <f>MONTH(Table1[[#This Row],[SaleDate]])</f>
        <v>5</v>
      </c>
      <c r="O1059" t="str">
        <f>TEXT(Table1[[#This Row],[SaleDate]],"MMM")</f>
        <v>May</v>
      </c>
    </row>
    <row r="1060" spans="1:15">
      <c r="A1060" s="1">
        <v>45054</v>
      </c>
      <c r="B1060" t="s">
        <v>25</v>
      </c>
      <c r="C1060" t="s">
        <v>21</v>
      </c>
      <c r="D1060">
        <v>2</v>
      </c>
      <c r="E1060" t="s">
        <v>10</v>
      </c>
      <c r="F1060">
        <v>89000</v>
      </c>
      <c r="G1060">
        <v>65000</v>
      </c>
      <c r="H1060">
        <f>Table1[[#This Row],[Qty]]*Table1[[#This Row],[SellingPrice]]</f>
        <v>178000</v>
      </c>
      <c r="I1060">
        <f>Table1[[#This Row],[Qty]]*Table1[[#This Row],[CostPrice]]</f>
        <v>130000</v>
      </c>
      <c r="J1060">
        <v>47664</v>
      </c>
      <c r="K1060">
        <v>335.99999999999994</v>
      </c>
      <c r="L1060" t="s">
        <v>13</v>
      </c>
      <c r="M1060" t="s">
        <v>29</v>
      </c>
      <c r="N1060">
        <f>MONTH(Table1[[#This Row],[SaleDate]])</f>
        <v>5</v>
      </c>
      <c r="O1060" t="str">
        <f>TEXT(Table1[[#This Row],[SaleDate]],"MMM")</f>
        <v>May</v>
      </c>
    </row>
    <row r="1061" spans="1:15">
      <c r="A1061" s="1">
        <v>45055</v>
      </c>
      <c r="B1061" t="s">
        <v>23</v>
      </c>
      <c r="C1061" t="s">
        <v>19</v>
      </c>
      <c r="D1061">
        <v>1</v>
      </c>
      <c r="E1061" t="s">
        <v>7</v>
      </c>
      <c r="F1061">
        <v>33000</v>
      </c>
      <c r="G1061">
        <v>18000</v>
      </c>
      <c r="H1061">
        <f>Table1[[#This Row],[Qty]]*Table1[[#This Row],[SellingPrice]]</f>
        <v>33000</v>
      </c>
      <c r="I1061">
        <f>Table1[[#This Row],[Qty]]*Table1[[#This Row],[CostPrice]]</f>
        <v>18000</v>
      </c>
      <c r="J1061">
        <v>14895</v>
      </c>
      <c r="K1061">
        <v>104.99999999999999</v>
      </c>
      <c r="L1061" t="s">
        <v>8</v>
      </c>
      <c r="M1061" t="s">
        <v>27</v>
      </c>
      <c r="N1061">
        <f>MONTH(Table1[[#This Row],[SaleDate]])</f>
        <v>5</v>
      </c>
      <c r="O1061" t="str">
        <f>TEXT(Table1[[#This Row],[SaleDate]],"MMM")</f>
        <v>May</v>
      </c>
    </row>
    <row r="1062" spans="1:15">
      <c r="A1062" s="1">
        <v>45055</v>
      </c>
      <c r="B1062" t="s">
        <v>23</v>
      </c>
      <c r="C1062" t="s">
        <v>19</v>
      </c>
      <c r="D1062">
        <v>1</v>
      </c>
      <c r="E1062" t="s">
        <v>9</v>
      </c>
      <c r="F1062">
        <v>60000</v>
      </c>
      <c r="G1062">
        <v>31000</v>
      </c>
      <c r="H1062">
        <f>Table1[[#This Row],[Qty]]*Table1[[#This Row],[SellingPrice]]</f>
        <v>60000</v>
      </c>
      <c r="I1062">
        <f>Table1[[#This Row],[Qty]]*Table1[[#This Row],[CostPrice]]</f>
        <v>31000</v>
      </c>
      <c r="J1062">
        <v>28797</v>
      </c>
      <c r="K1062">
        <v>202.99999999999997</v>
      </c>
      <c r="L1062" t="s">
        <v>8</v>
      </c>
      <c r="M1062" t="s">
        <v>30</v>
      </c>
      <c r="N1062">
        <f>MONTH(Table1[[#This Row],[SaleDate]])</f>
        <v>5</v>
      </c>
      <c r="O1062" t="str">
        <f>TEXT(Table1[[#This Row],[SaleDate]],"MMM")</f>
        <v>May</v>
      </c>
    </row>
    <row r="1063" spans="1:15">
      <c r="A1063" s="1">
        <v>45055</v>
      </c>
      <c r="B1063" t="s">
        <v>23</v>
      </c>
      <c r="C1063" t="s">
        <v>19</v>
      </c>
      <c r="D1063">
        <v>1</v>
      </c>
      <c r="E1063" t="s">
        <v>10</v>
      </c>
      <c r="F1063">
        <v>89000</v>
      </c>
      <c r="G1063">
        <v>65000</v>
      </c>
      <c r="H1063">
        <f>Table1[[#This Row],[Qty]]*Table1[[#This Row],[SellingPrice]]</f>
        <v>89000</v>
      </c>
      <c r="I1063">
        <f>Table1[[#This Row],[Qty]]*Table1[[#This Row],[CostPrice]]</f>
        <v>65000</v>
      </c>
      <c r="J1063">
        <v>23832</v>
      </c>
      <c r="K1063">
        <v>167.99999999999997</v>
      </c>
      <c r="L1063" t="s">
        <v>8</v>
      </c>
      <c r="M1063" t="s">
        <v>28</v>
      </c>
      <c r="N1063">
        <f>MONTH(Table1[[#This Row],[SaleDate]])</f>
        <v>5</v>
      </c>
      <c r="O1063" t="str">
        <f>TEXT(Table1[[#This Row],[SaleDate]],"MMM")</f>
        <v>May</v>
      </c>
    </row>
    <row r="1064" spans="1:15">
      <c r="A1064" s="1">
        <v>45055</v>
      </c>
      <c r="B1064" t="s">
        <v>24</v>
      </c>
      <c r="C1064" t="s">
        <v>22</v>
      </c>
      <c r="D1064">
        <v>1</v>
      </c>
      <c r="E1064" t="s">
        <v>7</v>
      </c>
      <c r="F1064">
        <v>33000</v>
      </c>
      <c r="G1064">
        <v>18000</v>
      </c>
      <c r="H1064">
        <f>Table1[[#This Row],[Qty]]*Table1[[#This Row],[SellingPrice]]</f>
        <v>33000</v>
      </c>
      <c r="I1064">
        <f>Table1[[#This Row],[Qty]]*Table1[[#This Row],[CostPrice]]</f>
        <v>18000</v>
      </c>
      <c r="J1064">
        <v>14895</v>
      </c>
      <c r="K1064">
        <v>104.99999999999999</v>
      </c>
      <c r="L1064" t="s">
        <v>12</v>
      </c>
      <c r="M1064" t="s">
        <v>30</v>
      </c>
      <c r="N1064">
        <f>MONTH(Table1[[#This Row],[SaleDate]])</f>
        <v>5</v>
      </c>
      <c r="O1064" t="str">
        <f>TEXT(Table1[[#This Row],[SaleDate]],"MMM")</f>
        <v>May</v>
      </c>
    </row>
    <row r="1065" spans="1:15">
      <c r="A1065" s="1">
        <v>45055</v>
      </c>
      <c r="B1065" t="s">
        <v>24</v>
      </c>
      <c r="C1065" t="s">
        <v>22</v>
      </c>
      <c r="D1065">
        <v>1</v>
      </c>
      <c r="E1065" t="s">
        <v>9</v>
      </c>
      <c r="F1065">
        <v>60000</v>
      </c>
      <c r="G1065">
        <v>31000</v>
      </c>
      <c r="H1065">
        <f>Table1[[#This Row],[Qty]]*Table1[[#This Row],[SellingPrice]]</f>
        <v>60000</v>
      </c>
      <c r="I1065">
        <f>Table1[[#This Row],[Qty]]*Table1[[#This Row],[CostPrice]]</f>
        <v>31000</v>
      </c>
      <c r="J1065">
        <v>28797</v>
      </c>
      <c r="K1065">
        <v>202.99999999999997</v>
      </c>
      <c r="L1065" t="s">
        <v>12</v>
      </c>
      <c r="M1065" t="s">
        <v>30</v>
      </c>
      <c r="N1065">
        <f>MONTH(Table1[[#This Row],[SaleDate]])</f>
        <v>5</v>
      </c>
      <c r="O1065" t="str">
        <f>TEXT(Table1[[#This Row],[SaleDate]],"MMM")</f>
        <v>May</v>
      </c>
    </row>
    <row r="1066" spans="1:15">
      <c r="A1066" s="1">
        <v>45055</v>
      </c>
      <c r="B1066" t="s">
        <v>24</v>
      </c>
      <c r="C1066" t="s">
        <v>22</v>
      </c>
      <c r="D1066">
        <v>1</v>
      </c>
      <c r="E1066" t="s">
        <v>10</v>
      </c>
      <c r="F1066">
        <v>89000</v>
      </c>
      <c r="G1066">
        <v>65000</v>
      </c>
      <c r="H1066">
        <f>Table1[[#This Row],[Qty]]*Table1[[#This Row],[SellingPrice]]</f>
        <v>89000</v>
      </c>
      <c r="I1066">
        <f>Table1[[#This Row],[Qty]]*Table1[[#This Row],[CostPrice]]</f>
        <v>65000</v>
      </c>
      <c r="J1066">
        <v>23832</v>
      </c>
      <c r="K1066">
        <v>167.99999999999997</v>
      </c>
      <c r="L1066" t="s">
        <v>12</v>
      </c>
      <c r="M1066" t="s">
        <v>27</v>
      </c>
      <c r="N1066">
        <f>MONTH(Table1[[#This Row],[SaleDate]])</f>
        <v>5</v>
      </c>
      <c r="O1066" t="str">
        <f>TEXT(Table1[[#This Row],[SaleDate]],"MMM")</f>
        <v>May</v>
      </c>
    </row>
    <row r="1067" spans="1:15">
      <c r="A1067" s="1">
        <v>45055</v>
      </c>
      <c r="B1067" t="s">
        <v>25</v>
      </c>
      <c r="C1067" t="s">
        <v>21</v>
      </c>
      <c r="D1067">
        <v>1</v>
      </c>
      <c r="E1067" t="s">
        <v>7</v>
      </c>
      <c r="F1067">
        <v>33000</v>
      </c>
      <c r="G1067">
        <v>18000</v>
      </c>
      <c r="H1067">
        <f>Table1[[#This Row],[Qty]]*Table1[[#This Row],[SellingPrice]]</f>
        <v>33000</v>
      </c>
      <c r="I1067">
        <f>Table1[[#This Row],[Qty]]*Table1[[#This Row],[CostPrice]]</f>
        <v>18000</v>
      </c>
      <c r="J1067">
        <v>14895</v>
      </c>
      <c r="K1067">
        <v>104.99999999999999</v>
      </c>
      <c r="L1067" t="s">
        <v>13</v>
      </c>
      <c r="M1067" t="s">
        <v>30</v>
      </c>
      <c r="N1067">
        <f>MONTH(Table1[[#This Row],[SaleDate]])</f>
        <v>5</v>
      </c>
      <c r="O1067" t="str">
        <f>TEXT(Table1[[#This Row],[SaleDate]],"MMM")</f>
        <v>May</v>
      </c>
    </row>
    <row r="1068" spans="1:15">
      <c r="A1068" s="1">
        <v>45055</v>
      </c>
      <c r="B1068" t="s">
        <v>25</v>
      </c>
      <c r="C1068" t="s">
        <v>21</v>
      </c>
      <c r="D1068">
        <v>1</v>
      </c>
      <c r="E1068" t="s">
        <v>9</v>
      </c>
      <c r="F1068">
        <v>60000</v>
      </c>
      <c r="G1068">
        <v>31000</v>
      </c>
      <c r="H1068">
        <f>Table1[[#This Row],[Qty]]*Table1[[#This Row],[SellingPrice]]</f>
        <v>60000</v>
      </c>
      <c r="I1068">
        <f>Table1[[#This Row],[Qty]]*Table1[[#This Row],[CostPrice]]</f>
        <v>31000</v>
      </c>
      <c r="J1068">
        <v>28797</v>
      </c>
      <c r="K1068">
        <v>202.99999999999997</v>
      </c>
      <c r="L1068" t="s">
        <v>13</v>
      </c>
      <c r="M1068" t="s">
        <v>27</v>
      </c>
      <c r="N1068">
        <f>MONTH(Table1[[#This Row],[SaleDate]])</f>
        <v>5</v>
      </c>
      <c r="O1068" t="str">
        <f>TEXT(Table1[[#This Row],[SaleDate]],"MMM")</f>
        <v>May</v>
      </c>
    </row>
    <row r="1069" spans="1:15">
      <c r="A1069" s="1">
        <v>45055</v>
      </c>
      <c r="B1069" t="s">
        <v>25</v>
      </c>
      <c r="C1069" t="s">
        <v>21</v>
      </c>
      <c r="D1069">
        <v>1</v>
      </c>
      <c r="E1069" t="s">
        <v>10</v>
      </c>
      <c r="F1069">
        <v>89000</v>
      </c>
      <c r="G1069">
        <v>65000</v>
      </c>
      <c r="H1069">
        <f>Table1[[#This Row],[Qty]]*Table1[[#This Row],[SellingPrice]]</f>
        <v>89000</v>
      </c>
      <c r="I1069">
        <f>Table1[[#This Row],[Qty]]*Table1[[#This Row],[CostPrice]]</f>
        <v>65000</v>
      </c>
      <c r="J1069">
        <v>23832</v>
      </c>
      <c r="K1069">
        <v>167.99999999999997</v>
      </c>
      <c r="L1069" t="s">
        <v>13</v>
      </c>
      <c r="M1069" t="s">
        <v>27</v>
      </c>
      <c r="N1069">
        <f>MONTH(Table1[[#This Row],[SaleDate]])</f>
        <v>5</v>
      </c>
      <c r="O1069" t="str">
        <f>TEXT(Table1[[#This Row],[SaleDate]],"MMM")</f>
        <v>May</v>
      </c>
    </row>
    <row r="1070" spans="1:15">
      <c r="A1070" s="1">
        <v>45056</v>
      </c>
      <c r="B1070" t="s">
        <v>23</v>
      </c>
      <c r="C1070" t="s">
        <v>19</v>
      </c>
      <c r="D1070">
        <v>1</v>
      </c>
      <c r="E1070" t="s">
        <v>7</v>
      </c>
      <c r="F1070">
        <v>33000</v>
      </c>
      <c r="G1070">
        <v>18000</v>
      </c>
      <c r="H1070">
        <f>Table1[[#This Row],[Qty]]*Table1[[#This Row],[SellingPrice]]</f>
        <v>33000</v>
      </c>
      <c r="I1070">
        <f>Table1[[#This Row],[Qty]]*Table1[[#This Row],[CostPrice]]</f>
        <v>18000</v>
      </c>
      <c r="J1070">
        <v>14895</v>
      </c>
      <c r="K1070">
        <v>104.99999999999999</v>
      </c>
      <c r="L1070" t="s">
        <v>8</v>
      </c>
      <c r="M1070" t="s">
        <v>30</v>
      </c>
      <c r="N1070">
        <f>MONTH(Table1[[#This Row],[SaleDate]])</f>
        <v>5</v>
      </c>
      <c r="O1070" t="str">
        <f>TEXT(Table1[[#This Row],[SaleDate]],"MMM")</f>
        <v>May</v>
      </c>
    </row>
    <row r="1071" spans="1:15">
      <c r="A1071" s="1">
        <v>45056</v>
      </c>
      <c r="B1071" t="s">
        <v>23</v>
      </c>
      <c r="C1071" t="s">
        <v>19</v>
      </c>
      <c r="D1071">
        <v>1</v>
      </c>
      <c r="E1071" t="s">
        <v>9</v>
      </c>
      <c r="F1071">
        <v>60000</v>
      </c>
      <c r="G1071">
        <v>31000</v>
      </c>
      <c r="H1071">
        <f>Table1[[#This Row],[Qty]]*Table1[[#This Row],[SellingPrice]]</f>
        <v>60000</v>
      </c>
      <c r="I1071">
        <f>Table1[[#This Row],[Qty]]*Table1[[#This Row],[CostPrice]]</f>
        <v>31000</v>
      </c>
      <c r="J1071">
        <v>28797</v>
      </c>
      <c r="K1071">
        <v>202.99999999999997</v>
      </c>
      <c r="L1071" t="s">
        <v>8</v>
      </c>
      <c r="M1071" t="s">
        <v>29</v>
      </c>
      <c r="N1071">
        <f>MONTH(Table1[[#This Row],[SaleDate]])</f>
        <v>5</v>
      </c>
      <c r="O1071" t="str">
        <f>TEXT(Table1[[#This Row],[SaleDate]],"MMM")</f>
        <v>May</v>
      </c>
    </row>
    <row r="1072" spans="1:15">
      <c r="A1072" s="1">
        <v>45056</v>
      </c>
      <c r="B1072" t="s">
        <v>23</v>
      </c>
      <c r="C1072" t="s">
        <v>19</v>
      </c>
      <c r="D1072">
        <v>1</v>
      </c>
      <c r="E1072" t="s">
        <v>10</v>
      </c>
      <c r="F1072">
        <v>89000</v>
      </c>
      <c r="G1072">
        <v>65000</v>
      </c>
      <c r="H1072">
        <f>Table1[[#This Row],[Qty]]*Table1[[#This Row],[SellingPrice]]</f>
        <v>89000</v>
      </c>
      <c r="I1072">
        <f>Table1[[#This Row],[Qty]]*Table1[[#This Row],[CostPrice]]</f>
        <v>65000</v>
      </c>
      <c r="J1072">
        <v>23832</v>
      </c>
      <c r="K1072">
        <v>167.99999999999997</v>
      </c>
      <c r="L1072" t="s">
        <v>8</v>
      </c>
      <c r="M1072" t="s">
        <v>28</v>
      </c>
      <c r="N1072">
        <f>MONTH(Table1[[#This Row],[SaleDate]])</f>
        <v>5</v>
      </c>
      <c r="O1072" t="str">
        <f>TEXT(Table1[[#This Row],[SaleDate]],"MMM")</f>
        <v>May</v>
      </c>
    </row>
    <row r="1073" spans="1:15">
      <c r="A1073" s="1">
        <v>45056</v>
      </c>
      <c r="B1073" t="s">
        <v>24</v>
      </c>
      <c r="C1073" t="s">
        <v>22</v>
      </c>
      <c r="D1073">
        <v>1</v>
      </c>
      <c r="E1073" t="s">
        <v>7</v>
      </c>
      <c r="F1073">
        <v>33000</v>
      </c>
      <c r="G1073">
        <v>18000</v>
      </c>
      <c r="H1073">
        <f>Table1[[#This Row],[Qty]]*Table1[[#This Row],[SellingPrice]]</f>
        <v>33000</v>
      </c>
      <c r="I1073">
        <f>Table1[[#This Row],[Qty]]*Table1[[#This Row],[CostPrice]]</f>
        <v>18000</v>
      </c>
      <c r="J1073">
        <v>14895</v>
      </c>
      <c r="K1073">
        <v>104.99999999999999</v>
      </c>
      <c r="L1073" t="s">
        <v>12</v>
      </c>
      <c r="M1073" t="s">
        <v>29</v>
      </c>
      <c r="N1073">
        <f>MONTH(Table1[[#This Row],[SaleDate]])</f>
        <v>5</v>
      </c>
      <c r="O1073" t="str">
        <f>TEXT(Table1[[#This Row],[SaleDate]],"MMM")</f>
        <v>May</v>
      </c>
    </row>
    <row r="1074" spans="1:15">
      <c r="A1074" s="1">
        <v>45056</v>
      </c>
      <c r="B1074" t="s">
        <v>24</v>
      </c>
      <c r="C1074" t="s">
        <v>22</v>
      </c>
      <c r="D1074">
        <v>1</v>
      </c>
      <c r="E1074" t="s">
        <v>9</v>
      </c>
      <c r="F1074">
        <v>60000</v>
      </c>
      <c r="G1074">
        <v>31000</v>
      </c>
      <c r="H1074">
        <f>Table1[[#This Row],[Qty]]*Table1[[#This Row],[SellingPrice]]</f>
        <v>60000</v>
      </c>
      <c r="I1074">
        <f>Table1[[#This Row],[Qty]]*Table1[[#This Row],[CostPrice]]</f>
        <v>31000</v>
      </c>
      <c r="J1074">
        <v>28797</v>
      </c>
      <c r="K1074">
        <v>202.99999999999997</v>
      </c>
      <c r="L1074" t="s">
        <v>12</v>
      </c>
      <c r="M1074" t="s">
        <v>30</v>
      </c>
      <c r="N1074">
        <f>MONTH(Table1[[#This Row],[SaleDate]])</f>
        <v>5</v>
      </c>
      <c r="O1074" t="str">
        <f>TEXT(Table1[[#This Row],[SaleDate]],"MMM")</f>
        <v>May</v>
      </c>
    </row>
    <row r="1075" spans="1:15">
      <c r="A1075" s="1">
        <v>45056</v>
      </c>
      <c r="B1075" t="s">
        <v>24</v>
      </c>
      <c r="C1075" t="s">
        <v>22</v>
      </c>
      <c r="D1075">
        <v>1</v>
      </c>
      <c r="E1075" t="s">
        <v>10</v>
      </c>
      <c r="F1075">
        <v>89000</v>
      </c>
      <c r="G1075">
        <v>65000</v>
      </c>
      <c r="H1075">
        <f>Table1[[#This Row],[Qty]]*Table1[[#This Row],[SellingPrice]]</f>
        <v>89000</v>
      </c>
      <c r="I1075">
        <f>Table1[[#This Row],[Qty]]*Table1[[#This Row],[CostPrice]]</f>
        <v>65000</v>
      </c>
      <c r="J1075">
        <v>23832</v>
      </c>
      <c r="K1075">
        <v>167.99999999999997</v>
      </c>
      <c r="L1075" t="s">
        <v>12</v>
      </c>
      <c r="M1075" t="s">
        <v>30</v>
      </c>
      <c r="N1075">
        <f>MONTH(Table1[[#This Row],[SaleDate]])</f>
        <v>5</v>
      </c>
      <c r="O1075" t="str">
        <f>TEXT(Table1[[#This Row],[SaleDate]],"MMM")</f>
        <v>May</v>
      </c>
    </row>
    <row r="1076" spans="1:15">
      <c r="A1076" s="1">
        <v>45056</v>
      </c>
      <c r="B1076" t="s">
        <v>25</v>
      </c>
      <c r="C1076" t="s">
        <v>21</v>
      </c>
      <c r="D1076">
        <v>1</v>
      </c>
      <c r="E1076" t="s">
        <v>7</v>
      </c>
      <c r="F1076">
        <v>33000</v>
      </c>
      <c r="G1076">
        <v>18000</v>
      </c>
      <c r="H1076">
        <f>Table1[[#This Row],[Qty]]*Table1[[#This Row],[SellingPrice]]</f>
        <v>33000</v>
      </c>
      <c r="I1076">
        <f>Table1[[#This Row],[Qty]]*Table1[[#This Row],[CostPrice]]</f>
        <v>18000</v>
      </c>
      <c r="J1076">
        <v>14895</v>
      </c>
      <c r="K1076">
        <v>104.99999999999999</v>
      </c>
      <c r="L1076" t="s">
        <v>13</v>
      </c>
      <c r="M1076" t="s">
        <v>29</v>
      </c>
      <c r="N1076">
        <f>MONTH(Table1[[#This Row],[SaleDate]])</f>
        <v>5</v>
      </c>
      <c r="O1076" t="str">
        <f>TEXT(Table1[[#This Row],[SaleDate]],"MMM")</f>
        <v>May</v>
      </c>
    </row>
    <row r="1077" spans="1:15">
      <c r="A1077" s="1">
        <v>45056</v>
      </c>
      <c r="B1077" t="s">
        <v>25</v>
      </c>
      <c r="C1077" t="s">
        <v>21</v>
      </c>
      <c r="D1077">
        <v>1</v>
      </c>
      <c r="E1077" t="s">
        <v>9</v>
      </c>
      <c r="F1077">
        <v>60000</v>
      </c>
      <c r="G1077">
        <v>31000</v>
      </c>
      <c r="H1077">
        <f>Table1[[#This Row],[Qty]]*Table1[[#This Row],[SellingPrice]]</f>
        <v>60000</v>
      </c>
      <c r="I1077">
        <f>Table1[[#This Row],[Qty]]*Table1[[#This Row],[CostPrice]]</f>
        <v>31000</v>
      </c>
      <c r="J1077">
        <v>28797</v>
      </c>
      <c r="K1077">
        <v>202.99999999999997</v>
      </c>
      <c r="L1077" t="s">
        <v>13</v>
      </c>
      <c r="M1077" t="s">
        <v>30</v>
      </c>
      <c r="N1077">
        <f>MONTH(Table1[[#This Row],[SaleDate]])</f>
        <v>5</v>
      </c>
      <c r="O1077" t="str">
        <f>TEXT(Table1[[#This Row],[SaleDate]],"MMM")</f>
        <v>May</v>
      </c>
    </row>
    <row r="1078" spans="1:15">
      <c r="A1078" s="1">
        <v>45056</v>
      </c>
      <c r="B1078" t="s">
        <v>25</v>
      </c>
      <c r="C1078" t="s">
        <v>21</v>
      </c>
      <c r="D1078">
        <v>1</v>
      </c>
      <c r="E1078" t="s">
        <v>10</v>
      </c>
      <c r="F1078">
        <v>89000</v>
      </c>
      <c r="G1078">
        <v>65000</v>
      </c>
      <c r="H1078">
        <f>Table1[[#This Row],[Qty]]*Table1[[#This Row],[SellingPrice]]</f>
        <v>89000</v>
      </c>
      <c r="I1078">
        <f>Table1[[#This Row],[Qty]]*Table1[[#This Row],[CostPrice]]</f>
        <v>65000</v>
      </c>
      <c r="J1078">
        <v>23832</v>
      </c>
      <c r="K1078">
        <v>167.99999999999997</v>
      </c>
      <c r="L1078" t="s">
        <v>13</v>
      </c>
      <c r="M1078" t="s">
        <v>29</v>
      </c>
      <c r="N1078">
        <f>MONTH(Table1[[#This Row],[SaleDate]])</f>
        <v>5</v>
      </c>
      <c r="O1078" t="str">
        <f>TEXT(Table1[[#This Row],[SaleDate]],"MMM")</f>
        <v>May</v>
      </c>
    </row>
    <row r="1079" spans="1:15">
      <c r="A1079" s="1">
        <v>45057</v>
      </c>
      <c r="B1079" t="s">
        <v>23</v>
      </c>
      <c r="C1079" t="s">
        <v>19</v>
      </c>
      <c r="D1079">
        <v>1</v>
      </c>
      <c r="E1079" t="s">
        <v>7</v>
      </c>
      <c r="F1079">
        <v>33000</v>
      </c>
      <c r="G1079">
        <v>18000</v>
      </c>
      <c r="H1079">
        <f>Table1[[#This Row],[Qty]]*Table1[[#This Row],[SellingPrice]]</f>
        <v>33000</v>
      </c>
      <c r="I1079">
        <f>Table1[[#This Row],[Qty]]*Table1[[#This Row],[CostPrice]]</f>
        <v>18000</v>
      </c>
      <c r="J1079">
        <v>14895</v>
      </c>
      <c r="K1079">
        <v>104.99999999999999</v>
      </c>
      <c r="L1079" t="s">
        <v>8</v>
      </c>
      <c r="M1079" t="s">
        <v>30</v>
      </c>
      <c r="N1079">
        <f>MONTH(Table1[[#This Row],[SaleDate]])</f>
        <v>5</v>
      </c>
      <c r="O1079" t="str">
        <f>TEXT(Table1[[#This Row],[SaleDate]],"MMM")</f>
        <v>May</v>
      </c>
    </row>
    <row r="1080" spans="1:15">
      <c r="A1080" s="1">
        <v>45057</v>
      </c>
      <c r="B1080" t="s">
        <v>23</v>
      </c>
      <c r="C1080" t="s">
        <v>19</v>
      </c>
      <c r="D1080">
        <v>1</v>
      </c>
      <c r="E1080" t="s">
        <v>9</v>
      </c>
      <c r="F1080">
        <v>60000</v>
      </c>
      <c r="G1080">
        <v>31000</v>
      </c>
      <c r="H1080">
        <f>Table1[[#This Row],[Qty]]*Table1[[#This Row],[SellingPrice]]</f>
        <v>60000</v>
      </c>
      <c r="I1080">
        <f>Table1[[#This Row],[Qty]]*Table1[[#This Row],[CostPrice]]</f>
        <v>31000</v>
      </c>
      <c r="J1080">
        <v>28797</v>
      </c>
      <c r="K1080">
        <v>202.99999999999997</v>
      </c>
      <c r="L1080" t="s">
        <v>8</v>
      </c>
      <c r="M1080" t="s">
        <v>28</v>
      </c>
      <c r="N1080">
        <f>MONTH(Table1[[#This Row],[SaleDate]])</f>
        <v>5</v>
      </c>
      <c r="O1080" t="str">
        <f>TEXT(Table1[[#This Row],[SaleDate]],"MMM")</f>
        <v>May</v>
      </c>
    </row>
    <row r="1081" spans="1:15">
      <c r="A1081" s="1">
        <v>45057</v>
      </c>
      <c r="B1081" t="s">
        <v>23</v>
      </c>
      <c r="C1081" t="s">
        <v>19</v>
      </c>
      <c r="D1081">
        <v>1</v>
      </c>
      <c r="E1081" t="s">
        <v>10</v>
      </c>
      <c r="F1081">
        <v>89000</v>
      </c>
      <c r="G1081">
        <v>65000</v>
      </c>
      <c r="H1081">
        <f>Table1[[#This Row],[Qty]]*Table1[[#This Row],[SellingPrice]]</f>
        <v>89000</v>
      </c>
      <c r="I1081">
        <f>Table1[[#This Row],[Qty]]*Table1[[#This Row],[CostPrice]]</f>
        <v>65000</v>
      </c>
      <c r="J1081">
        <v>23832</v>
      </c>
      <c r="K1081">
        <v>167.99999999999997</v>
      </c>
      <c r="L1081" t="s">
        <v>8</v>
      </c>
      <c r="M1081" t="s">
        <v>30</v>
      </c>
      <c r="N1081">
        <f>MONTH(Table1[[#This Row],[SaleDate]])</f>
        <v>5</v>
      </c>
      <c r="O1081" t="str">
        <f>TEXT(Table1[[#This Row],[SaleDate]],"MMM")</f>
        <v>May</v>
      </c>
    </row>
    <row r="1082" spans="1:15">
      <c r="A1082" s="1">
        <v>45057</v>
      </c>
      <c r="B1082" t="s">
        <v>24</v>
      </c>
      <c r="C1082" t="s">
        <v>22</v>
      </c>
      <c r="D1082">
        <v>1</v>
      </c>
      <c r="E1082" t="s">
        <v>7</v>
      </c>
      <c r="F1082">
        <v>33000</v>
      </c>
      <c r="G1082">
        <v>18000</v>
      </c>
      <c r="H1082">
        <f>Table1[[#This Row],[Qty]]*Table1[[#This Row],[SellingPrice]]</f>
        <v>33000</v>
      </c>
      <c r="I1082">
        <f>Table1[[#This Row],[Qty]]*Table1[[#This Row],[CostPrice]]</f>
        <v>18000</v>
      </c>
      <c r="J1082">
        <v>14895</v>
      </c>
      <c r="K1082">
        <v>104.99999999999999</v>
      </c>
      <c r="L1082" t="s">
        <v>12</v>
      </c>
      <c r="M1082" t="s">
        <v>29</v>
      </c>
      <c r="N1082">
        <f>MONTH(Table1[[#This Row],[SaleDate]])</f>
        <v>5</v>
      </c>
      <c r="O1082" t="str">
        <f>TEXT(Table1[[#This Row],[SaleDate]],"MMM")</f>
        <v>May</v>
      </c>
    </row>
    <row r="1083" spans="1:15">
      <c r="A1083" s="1">
        <v>45057</v>
      </c>
      <c r="B1083" t="s">
        <v>24</v>
      </c>
      <c r="C1083" t="s">
        <v>22</v>
      </c>
      <c r="D1083">
        <v>1</v>
      </c>
      <c r="E1083" t="s">
        <v>9</v>
      </c>
      <c r="F1083">
        <v>60000</v>
      </c>
      <c r="G1083">
        <v>31000</v>
      </c>
      <c r="H1083">
        <f>Table1[[#This Row],[Qty]]*Table1[[#This Row],[SellingPrice]]</f>
        <v>60000</v>
      </c>
      <c r="I1083">
        <f>Table1[[#This Row],[Qty]]*Table1[[#This Row],[CostPrice]]</f>
        <v>31000</v>
      </c>
      <c r="J1083">
        <v>28797</v>
      </c>
      <c r="K1083">
        <v>202.99999999999997</v>
      </c>
      <c r="L1083" t="s">
        <v>12</v>
      </c>
      <c r="M1083" t="s">
        <v>30</v>
      </c>
      <c r="N1083">
        <f>MONTH(Table1[[#This Row],[SaleDate]])</f>
        <v>5</v>
      </c>
      <c r="O1083" t="str">
        <f>TEXT(Table1[[#This Row],[SaleDate]],"MMM")</f>
        <v>May</v>
      </c>
    </row>
    <row r="1084" spans="1:15">
      <c r="A1084" s="1">
        <v>45057</v>
      </c>
      <c r="B1084" t="s">
        <v>24</v>
      </c>
      <c r="C1084" t="s">
        <v>22</v>
      </c>
      <c r="D1084">
        <v>1</v>
      </c>
      <c r="E1084" t="s">
        <v>10</v>
      </c>
      <c r="F1084">
        <v>89000</v>
      </c>
      <c r="G1084">
        <v>65000</v>
      </c>
      <c r="H1084">
        <f>Table1[[#This Row],[Qty]]*Table1[[#This Row],[SellingPrice]]</f>
        <v>89000</v>
      </c>
      <c r="I1084">
        <f>Table1[[#This Row],[Qty]]*Table1[[#This Row],[CostPrice]]</f>
        <v>65000</v>
      </c>
      <c r="J1084">
        <v>23832</v>
      </c>
      <c r="K1084">
        <v>167.99999999999997</v>
      </c>
      <c r="L1084" t="s">
        <v>12</v>
      </c>
      <c r="M1084" t="s">
        <v>27</v>
      </c>
      <c r="N1084">
        <f>MONTH(Table1[[#This Row],[SaleDate]])</f>
        <v>5</v>
      </c>
      <c r="O1084" t="str">
        <f>TEXT(Table1[[#This Row],[SaleDate]],"MMM")</f>
        <v>May</v>
      </c>
    </row>
    <row r="1085" spans="1:15">
      <c r="A1085" s="1">
        <v>45057</v>
      </c>
      <c r="B1085" t="s">
        <v>25</v>
      </c>
      <c r="C1085" t="s">
        <v>21</v>
      </c>
      <c r="D1085">
        <v>1</v>
      </c>
      <c r="E1085" t="s">
        <v>7</v>
      </c>
      <c r="F1085">
        <v>33000</v>
      </c>
      <c r="G1085">
        <v>18000</v>
      </c>
      <c r="H1085">
        <f>Table1[[#This Row],[Qty]]*Table1[[#This Row],[SellingPrice]]</f>
        <v>33000</v>
      </c>
      <c r="I1085">
        <f>Table1[[#This Row],[Qty]]*Table1[[#This Row],[CostPrice]]</f>
        <v>18000</v>
      </c>
      <c r="J1085">
        <v>14895</v>
      </c>
      <c r="K1085">
        <v>104.99999999999999</v>
      </c>
      <c r="L1085" t="s">
        <v>13</v>
      </c>
      <c r="M1085" t="s">
        <v>27</v>
      </c>
      <c r="N1085">
        <f>MONTH(Table1[[#This Row],[SaleDate]])</f>
        <v>5</v>
      </c>
      <c r="O1085" t="str">
        <f>TEXT(Table1[[#This Row],[SaleDate]],"MMM")</f>
        <v>May</v>
      </c>
    </row>
    <row r="1086" spans="1:15">
      <c r="A1086" s="1">
        <v>45057</v>
      </c>
      <c r="B1086" t="s">
        <v>25</v>
      </c>
      <c r="C1086" t="s">
        <v>21</v>
      </c>
      <c r="D1086">
        <v>1</v>
      </c>
      <c r="E1086" t="s">
        <v>9</v>
      </c>
      <c r="F1086">
        <v>60000</v>
      </c>
      <c r="G1086">
        <v>31000</v>
      </c>
      <c r="H1086">
        <f>Table1[[#This Row],[Qty]]*Table1[[#This Row],[SellingPrice]]</f>
        <v>60000</v>
      </c>
      <c r="I1086">
        <f>Table1[[#This Row],[Qty]]*Table1[[#This Row],[CostPrice]]</f>
        <v>31000</v>
      </c>
      <c r="J1086">
        <v>28797</v>
      </c>
      <c r="K1086">
        <v>202.99999999999997</v>
      </c>
      <c r="L1086" t="s">
        <v>13</v>
      </c>
      <c r="M1086" t="s">
        <v>30</v>
      </c>
      <c r="N1086">
        <f>MONTH(Table1[[#This Row],[SaleDate]])</f>
        <v>5</v>
      </c>
      <c r="O1086" t="str">
        <f>TEXT(Table1[[#This Row],[SaleDate]],"MMM")</f>
        <v>May</v>
      </c>
    </row>
    <row r="1087" spans="1:15">
      <c r="A1087" s="1">
        <v>45057</v>
      </c>
      <c r="B1087" t="s">
        <v>25</v>
      </c>
      <c r="C1087" t="s">
        <v>21</v>
      </c>
      <c r="D1087">
        <v>1</v>
      </c>
      <c r="E1087" t="s">
        <v>10</v>
      </c>
      <c r="F1087">
        <v>89000</v>
      </c>
      <c r="G1087">
        <v>65000</v>
      </c>
      <c r="H1087">
        <f>Table1[[#This Row],[Qty]]*Table1[[#This Row],[SellingPrice]]</f>
        <v>89000</v>
      </c>
      <c r="I1087">
        <f>Table1[[#This Row],[Qty]]*Table1[[#This Row],[CostPrice]]</f>
        <v>65000</v>
      </c>
      <c r="J1087">
        <v>23832</v>
      </c>
      <c r="K1087">
        <v>167.99999999999997</v>
      </c>
      <c r="L1087" t="s">
        <v>13</v>
      </c>
      <c r="M1087" t="s">
        <v>27</v>
      </c>
      <c r="N1087">
        <f>MONTH(Table1[[#This Row],[SaleDate]])</f>
        <v>5</v>
      </c>
      <c r="O1087" t="str">
        <f>TEXT(Table1[[#This Row],[SaleDate]],"MMM")</f>
        <v>May</v>
      </c>
    </row>
    <row r="1088" spans="1:15">
      <c r="A1088" s="1">
        <v>45058</v>
      </c>
      <c r="B1088" t="s">
        <v>23</v>
      </c>
      <c r="C1088" t="s">
        <v>19</v>
      </c>
      <c r="D1088">
        <v>1</v>
      </c>
      <c r="E1088" t="s">
        <v>7</v>
      </c>
      <c r="F1088">
        <v>33000</v>
      </c>
      <c r="G1088">
        <v>18000</v>
      </c>
      <c r="H1088">
        <f>Table1[[#This Row],[Qty]]*Table1[[#This Row],[SellingPrice]]</f>
        <v>33000</v>
      </c>
      <c r="I1088">
        <f>Table1[[#This Row],[Qty]]*Table1[[#This Row],[CostPrice]]</f>
        <v>18000</v>
      </c>
      <c r="J1088">
        <v>14895</v>
      </c>
      <c r="K1088">
        <v>104.99999999999999</v>
      </c>
      <c r="L1088" t="s">
        <v>8</v>
      </c>
      <c r="M1088" t="s">
        <v>27</v>
      </c>
      <c r="N1088">
        <f>MONTH(Table1[[#This Row],[SaleDate]])</f>
        <v>5</v>
      </c>
      <c r="O1088" t="str">
        <f>TEXT(Table1[[#This Row],[SaleDate]],"MMM")</f>
        <v>May</v>
      </c>
    </row>
    <row r="1089" spans="1:15">
      <c r="A1089" s="1">
        <v>45058</v>
      </c>
      <c r="B1089" t="s">
        <v>23</v>
      </c>
      <c r="C1089" t="s">
        <v>19</v>
      </c>
      <c r="D1089">
        <v>1</v>
      </c>
      <c r="E1089" t="s">
        <v>9</v>
      </c>
      <c r="F1089">
        <v>60000</v>
      </c>
      <c r="G1089">
        <v>31000</v>
      </c>
      <c r="H1089">
        <f>Table1[[#This Row],[Qty]]*Table1[[#This Row],[SellingPrice]]</f>
        <v>60000</v>
      </c>
      <c r="I1089">
        <f>Table1[[#This Row],[Qty]]*Table1[[#This Row],[CostPrice]]</f>
        <v>31000</v>
      </c>
      <c r="J1089">
        <v>28797</v>
      </c>
      <c r="K1089">
        <v>202.99999999999997</v>
      </c>
      <c r="L1089" t="s">
        <v>8</v>
      </c>
      <c r="M1089" t="s">
        <v>29</v>
      </c>
      <c r="N1089">
        <f>MONTH(Table1[[#This Row],[SaleDate]])</f>
        <v>5</v>
      </c>
      <c r="O1089" t="str">
        <f>TEXT(Table1[[#This Row],[SaleDate]],"MMM")</f>
        <v>May</v>
      </c>
    </row>
    <row r="1090" spans="1:15">
      <c r="A1090" s="1">
        <v>45058</v>
      </c>
      <c r="B1090" t="s">
        <v>23</v>
      </c>
      <c r="C1090" t="s">
        <v>19</v>
      </c>
      <c r="D1090">
        <v>1</v>
      </c>
      <c r="E1090" t="s">
        <v>10</v>
      </c>
      <c r="F1090">
        <v>89000</v>
      </c>
      <c r="G1090">
        <v>65000</v>
      </c>
      <c r="H1090">
        <f>Table1[[#This Row],[Qty]]*Table1[[#This Row],[SellingPrice]]</f>
        <v>89000</v>
      </c>
      <c r="I1090">
        <f>Table1[[#This Row],[Qty]]*Table1[[#This Row],[CostPrice]]</f>
        <v>65000</v>
      </c>
      <c r="J1090">
        <v>23832</v>
      </c>
      <c r="K1090">
        <v>167.99999999999997</v>
      </c>
      <c r="L1090" t="s">
        <v>8</v>
      </c>
      <c r="M1090" t="s">
        <v>30</v>
      </c>
      <c r="N1090">
        <f>MONTH(Table1[[#This Row],[SaleDate]])</f>
        <v>5</v>
      </c>
      <c r="O1090" t="str">
        <f>TEXT(Table1[[#This Row],[SaleDate]],"MMM")</f>
        <v>May</v>
      </c>
    </row>
    <row r="1091" spans="1:15">
      <c r="A1091" s="1">
        <v>45058</v>
      </c>
      <c r="B1091" t="s">
        <v>24</v>
      </c>
      <c r="C1091" t="s">
        <v>22</v>
      </c>
      <c r="D1091">
        <v>1</v>
      </c>
      <c r="E1091" t="s">
        <v>7</v>
      </c>
      <c r="F1091">
        <v>33000</v>
      </c>
      <c r="G1091">
        <v>18000</v>
      </c>
      <c r="H1091">
        <f>Table1[[#This Row],[Qty]]*Table1[[#This Row],[SellingPrice]]</f>
        <v>33000</v>
      </c>
      <c r="I1091">
        <f>Table1[[#This Row],[Qty]]*Table1[[#This Row],[CostPrice]]</f>
        <v>18000</v>
      </c>
      <c r="J1091">
        <v>14895</v>
      </c>
      <c r="K1091">
        <v>104.99999999999999</v>
      </c>
      <c r="L1091" t="s">
        <v>12</v>
      </c>
      <c r="M1091" t="s">
        <v>30</v>
      </c>
      <c r="N1091">
        <f>MONTH(Table1[[#This Row],[SaleDate]])</f>
        <v>5</v>
      </c>
      <c r="O1091" t="str">
        <f>TEXT(Table1[[#This Row],[SaleDate]],"MMM")</f>
        <v>May</v>
      </c>
    </row>
    <row r="1092" spans="1:15">
      <c r="A1092" s="1">
        <v>45058</v>
      </c>
      <c r="B1092" t="s">
        <v>24</v>
      </c>
      <c r="C1092" t="s">
        <v>22</v>
      </c>
      <c r="D1092">
        <v>1</v>
      </c>
      <c r="E1092" t="s">
        <v>9</v>
      </c>
      <c r="F1092">
        <v>60000</v>
      </c>
      <c r="G1092">
        <v>31000</v>
      </c>
      <c r="H1092">
        <f>Table1[[#This Row],[Qty]]*Table1[[#This Row],[SellingPrice]]</f>
        <v>60000</v>
      </c>
      <c r="I1092">
        <f>Table1[[#This Row],[Qty]]*Table1[[#This Row],[CostPrice]]</f>
        <v>31000</v>
      </c>
      <c r="J1092">
        <v>28797</v>
      </c>
      <c r="K1092">
        <v>202.99999999999997</v>
      </c>
      <c r="L1092" t="s">
        <v>12</v>
      </c>
      <c r="M1092" t="s">
        <v>28</v>
      </c>
      <c r="N1092">
        <f>MONTH(Table1[[#This Row],[SaleDate]])</f>
        <v>5</v>
      </c>
      <c r="O1092" t="str">
        <f>TEXT(Table1[[#This Row],[SaleDate]],"MMM")</f>
        <v>May</v>
      </c>
    </row>
    <row r="1093" spans="1:15">
      <c r="A1093" s="1">
        <v>45058</v>
      </c>
      <c r="B1093" t="s">
        <v>24</v>
      </c>
      <c r="C1093" t="s">
        <v>22</v>
      </c>
      <c r="D1093">
        <v>1</v>
      </c>
      <c r="E1093" t="s">
        <v>10</v>
      </c>
      <c r="F1093">
        <v>89000</v>
      </c>
      <c r="G1093">
        <v>65000</v>
      </c>
      <c r="H1093">
        <f>Table1[[#This Row],[Qty]]*Table1[[#This Row],[SellingPrice]]</f>
        <v>89000</v>
      </c>
      <c r="I1093">
        <f>Table1[[#This Row],[Qty]]*Table1[[#This Row],[CostPrice]]</f>
        <v>65000</v>
      </c>
      <c r="J1093">
        <v>23832</v>
      </c>
      <c r="K1093">
        <v>167.99999999999997</v>
      </c>
      <c r="L1093" t="s">
        <v>12</v>
      </c>
      <c r="M1093" t="s">
        <v>29</v>
      </c>
      <c r="N1093">
        <f>MONTH(Table1[[#This Row],[SaleDate]])</f>
        <v>5</v>
      </c>
      <c r="O1093" t="str">
        <f>TEXT(Table1[[#This Row],[SaleDate]],"MMM")</f>
        <v>May</v>
      </c>
    </row>
    <row r="1094" spans="1:15">
      <c r="A1094" s="1">
        <v>45058</v>
      </c>
      <c r="B1094" t="s">
        <v>25</v>
      </c>
      <c r="C1094" t="s">
        <v>21</v>
      </c>
      <c r="D1094">
        <v>1</v>
      </c>
      <c r="E1094" t="s">
        <v>7</v>
      </c>
      <c r="F1094">
        <v>33000</v>
      </c>
      <c r="G1094">
        <v>18000</v>
      </c>
      <c r="H1094">
        <f>Table1[[#This Row],[Qty]]*Table1[[#This Row],[SellingPrice]]</f>
        <v>33000</v>
      </c>
      <c r="I1094">
        <f>Table1[[#This Row],[Qty]]*Table1[[#This Row],[CostPrice]]</f>
        <v>18000</v>
      </c>
      <c r="J1094">
        <v>14895</v>
      </c>
      <c r="K1094">
        <v>104.99999999999999</v>
      </c>
      <c r="L1094" t="s">
        <v>13</v>
      </c>
      <c r="M1094" t="s">
        <v>30</v>
      </c>
      <c r="N1094">
        <f>MONTH(Table1[[#This Row],[SaleDate]])</f>
        <v>5</v>
      </c>
      <c r="O1094" t="str">
        <f>TEXT(Table1[[#This Row],[SaleDate]],"MMM")</f>
        <v>May</v>
      </c>
    </row>
    <row r="1095" spans="1:15">
      <c r="A1095" s="1">
        <v>45058</v>
      </c>
      <c r="B1095" t="s">
        <v>25</v>
      </c>
      <c r="C1095" t="s">
        <v>21</v>
      </c>
      <c r="D1095">
        <v>1</v>
      </c>
      <c r="E1095" t="s">
        <v>9</v>
      </c>
      <c r="F1095">
        <v>60000</v>
      </c>
      <c r="G1095">
        <v>31000</v>
      </c>
      <c r="H1095">
        <f>Table1[[#This Row],[Qty]]*Table1[[#This Row],[SellingPrice]]</f>
        <v>60000</v>
      </c>
      <c r="I1095">
        <f>Table1[[#This Row],[Qty]]*Table1[[#This Row],[CostPrice]]</f>
        <v>31000</v>
      </c>
      <c r="J1095">
        <v>28797</v>
      </c>
      <c r="K1095">
        <v>202.99999999999997</v>
      </c>
      <c r="L1095" t="s">
        <v>13</v>
      </c>
      <c r="M1095" t="s">
        <v>29</v>
      </c>
      <c r="N1095">
        <f>MONTH(Table1[[#This Row],[SaleDate]])</f>
        <v>5</v>
      </c>
      <c r="O1095" t="str">
        <f>TEXT(Table1[[#This Row],[SaleDate]],"MMM")</f>
        <v>May</v>
      </c>
    </row>
    <row r="1096" spans="1:15">
      <c r="A1096" s="1">
        <v>45058</v>
      </c>
      <c r="B1096" t="s">
        <v>25</v>
      </c>
      <c r="C1096" t="s">
        <v>21</v>
      </c>
      <c r="D1096">
        <v>1</v>
      </c>
      <c r="E1096" t="s">
        <v>10</v>
      </c>
      <c r="F1096">
        <v>89000</v>
      </c>
      <c r="G1096">
        <v>65000</v>
      </c>
      <c r="H1096">
        <f>Table1[[#This Row],[Qty]]*Table1[[#This Row],[SellingPrice]]</f>
        <v>89000</v>
      </c>
      <c r="I1096">
        <f>Table1[[#This Row],[Qty]]*Table1[[#This Row],[CostPrice]]</f>
        <v>65000</v>
      </c>
      <c r="J1096">
        <v>23832</v>
      </c>
      <c r="K1096">
        <v>167.99999999999997</v>
      </c>
      <c r="L1096" t="s">
        <v>13</v>
      </c>
      <c r="M1096" t="s">
        <v>30</v>
      </c>
      <c r="N1096">
        <f>MONTH(Table1[[#This Row],[SaleDate]])</f>
        <v>5</v>
      </c>
      <c r="O1096" t="str">
        <f>TEXT(Table1[[#This Row],[SaleDate]],"MMM")</f>
        <v>May</v>
      </c>
    </row>
    <row r="1097" spans="1:15">
      <c r="A1097" s="1">
        <v>45059</v>
      </c>
      <c r="B1097" t="s">
        <v>23</v>
      </c>
      <c r="C1097" t="s">
        <v>19</v>
      </c>
      <c r="D1097">
        <v>1</v>
      </c>
      <c r="E1097" t="s">
        <v>7</v>
      </c>
      <c r="F1097">
        <v>33000</v>
      </c>
      <c r="G1097">
        <v>18000</v>
      </c>
      <c r="H1097">
        <f>Table1[[#This Row],[Qty]]*Table1[[#This Row],[SellingPrice]]</f>
        <v>33000</v>
      </c>
      <c r="I1097">
        <f>Table1[[#This Row],[Qty]]*Table1[[#This Row],[CostPrice]]</f>
        <v>18000</v>
      </c>
      <c r="J1097">
        <v>14895</v>
      </c>
      <c r="K1097">
        <v>104.99999999999999</v>
      </c>
      <c r="L1097" t="s">
        <v>8</v>
      </c>
      <c r="M1097" t="s">
        <v>30</v>
      </c>
      <c r="N1097">
        <f>MONTH(Table1[[#This Row],[SaleDate]])</f>
        <v>5</v>
      </c>
      <c r="O1097" t="str">
        <f>TEXT(Table1[[#This Row],[SaleDate]],"MMM")</f>
        <v>May</v>
      </c>
    </row>
    <row r="1098" spans="1:15">
      <c r="A1098" s="1">
        <v>45059</v>
      </c>
      <c r="B1098" t="s">
        <v>23</v>
      </c>
      <c r="C1098" t="s">
        <v>19</v>
      </c>
      <c r="D1098">
        <v>1</v>
      </c>
      <c r="E1098" t="s">
        <v>9</v>
      </c>
      <c r="F1098">
        <v>60000</v>
      </c>
      <c r="G1098">
        <v>31000</v>
      </c>
      <c r="H1098">
        <f>Table1[[#This Row],[Qty]]*Table1[[#This Row],[SellingPrice]]</f>
        <v>60000</v>
      </c>
      <c r="I1098">
        <f>Table1[[#This Row],[Qty]]*Table1[[#This Row],[CostPrice]]</f>
        <v>31000</v>
      </c>
      <c r="J1098">
        <v>28797</v>
      </c>
      <c r="K1098">
        <v>202.99999999999997</v>
      </c>
      <c r="L1098" t="s">
        <v>8</v>
      </c>
      <c r="M1098" t="s">
        <v>29</v>
      </c>
      <c r="N1098">
        <f>MONTH(Table1[[#This Row],[SaleDate]])</f>
        <v>5</v>
      </c>
      <c r="O1098" t="str">
        <f>TEXT(Table1[[#This Row],[SaleDate]],"MMM")</f>
        <v>May</v>
      </c>
    </row>
    <row r="1099" spans="1:15">
      <c r="A1099" s="1">
        <v>45059</v>
      </c>
      <c r="B1099" t="s">
        <v>23</v>
      </c>
      <c r="C1099" t="s">
        <v>19</v>
      </c>
      <c r="D1099">
        <v>1</v>
      </c>
      <c r="E1099" t="s">
        <v>10</v>
      </c>
      <c r="F1099">
        <v>89000</v>
      </c>
      <c r="G1099">
        <v>65000</v>
      </c>
      <c r="H1099">
        <f>Table1[[#This Row],[Qty]]*Table1[[#This Row],[SellingPrice]]</f>
        <v>89000</v>
      </c>
      <c r="I1099">
        <f>Table1[[#This Row],[Qty]]*Table1[[#This Row],[CostPrice]]</f>
        <v>65000</v>
      </c>
      <c r="J1099">
        <v>23832</v>
      </c>
      <c r="K1099">
        <v>167.99999999999997</v>
      </c>
      <c r="L1099" t="s">
        <v>8</v>
      </c>
      <c r="M1099" t="s">
        <v>27</v>
      </c>
      <c r="N1099">
        <f>MONTH(Table1[[#This Row],[SaleDate]])</f>
        <v>5</v>
      </c>
      <c r="O1099" t="str">
        <f>TEXT(Table1[[#This Row],[SaleDate]],"MMM")</f>
        <v>May</v>
      </c>
    </row>
    <row r="1100" spans="1:15">
      <c r="A1100" s="1">
        <v>45059</v>
      </c>
      <c r="B1100" t="s">
        <v>24</v>
      </c>
      <c r="C1100" t="s">
        <v>22</v>
      </c>
      <c r="D1100">
        <v>1</v>
      </c>
      <c r="E1100" t="s">
        <v>7</v>
      </c>
      <c r="F1100">
        <v>33000</v>
      </c>
      <c r="G1100">
        <v>18000</v>
      </c>
      <c r="H1100">
        <f>Table1[[#This Row],[Qty]]*Table1[[#This Row],[SellingPrice]]</f>
        <v>33000</v>
      </c>
      <c r="I1100">
        <f>Table1[[#This Row],[Qty]]*Table1[[#This Row],[CostPrice]]</f>
        <v>18000</v>
      </c>
      <c r="J1100">
        <v>14895</v>
      </c>
      <c r="K1100">
        <v>104.99999999999999</v>
      </c>
      <c r="L1100" t="s">
        <v>12</v>
      </c>
      <c r="M1100" t="s">
        <v>27</v>
      </c>
      <c r="N1100">
        <f>MONTH(Table1[[#This Row],[SaleDate]])</f>
        <v>5</v>
      </c>
      <c r="O1100" t="str">
        <f>TEXT(Table1[[#This Row],[SaleDate]],"MMM")</f>
        <v>May</v>
      </c>
    </row>
    <row r="1101" spans="1:15">
      <c r="A1101" s="1">
        <v>45059</v>
      </c>
      <c r="B1101" t="s">
        <v>24</v>
      </c>
      <c r="C1101" t="s">
        <v>22</v>
      </c>
      <c r="D1101">
        <v>1</v>
      </c>
      <c r="E1101" t="s">
        <v>9</v>
      </c>
      <c r="F1101">
        <v>60000</v>
      </c>
      <c r="G1101">
        <v>31000</v>
      </c>
      <c r="H1101">
        <f>Table1[[#This Row],[Qty]]*Table1[[#This Row],[SellingPrice]]</f>
        <v>60000</v>
      </c>
      <c r="I1101">
        <f>Table1[[#This Row],[Qty]]*Table1[[#This Row],[CostPrice]]</f>
        <v>31000</v>
      </c>
      <c r="J1101">
        <v>28797</v>
      </c>
      <c r="K1101">
        <v>202.99999999999997</v>
      </c>
      <c r="L1101" t="s">
        <v>12</v>
      </c>
      <c r="M1101" t="s">
        <v>29</v>
      </c>
      <c r="N1101">
        <f>MONTH(Table1[[#This Row],[SaleDate]])</f>
        <v>5</v>
      </c>
      <c r="O1101" t="str">
        <f>TEXT(Table1[[#This Row],[SaleDate]],"MMM")</f>
        <v>May</v>
      </c>
    </row>
    <row r="1102" spans="1:15">
      <c r="A1102" s="1">
        <v>45059</v>
      </c>
      <c r="B1102" t="s">
        <v>24</v>
      </c>
      <c r="C1102" t="s">
        <v>22</v>
      </c>
      <c r="D1102">
        <v>1</v>
      </c>
      <c r="E1102" t="s">
        <v>10</v>
      </c>
      <c r="F1102">
        <v>89000</v>
      </c>
      <c r="G1102">
        <v>65000</v>
      </c>
      <c r="H1102">
        <f>Table1[[#This Row],[Qty]]*Table1[[#This Row],[SellingPrice]]</f>
        <v>89000</v>
      </c>
      <c r="I1102">
        <f>Table1[[#This Row],[Qty]]*Table1[[#This Row],[CostPrice]]</f>
        <v>65000</v>
      </c>
      <c r="J1102">
        <v>23832</v>
      </c>
      <c r="K1102">
        <v>167.99999999999997</v>
      </c>
      <c r="L1102" t="s">
        <v>12</v>
      </c>
      <c r="M1102" t="s">
        <v>30</v>
      </c>
      <c r="N1102">
        <f>MONTH(Table1[[#This Row],[SaleDate]])</f>
        <v>5</v>
      </c>
      <c r="O1102" t="str">
        <f>TEXT(Table1[[#This Row],[SaleDate]],"MMM")</f>
        <v>May</v>
      </c>
    </row>
    <row r="1103" spans="1:15">
      <c r="A1103" s="1">
        <v>45059</v>
      </c>
      <c r="B1103" t="s">
        <v>25</v>
      </c>
      <c r="C1103" t="s">
        <v>21</v>
      </c>
      <c r="D1103">
        <v>1</v>
      </c>
      <c r="E1103" t="s">
        <v>7</v>
      </c>
      <c r="F1103">
        <v>33000</v>
      </c>
      <c r="G1103">
        <v>18000</v>
      </c>
      <c r="H1103">
        <f>Table1[[#This Row],[Qty]]*Table1[[#This Row],[SellingPrice]]</f>
        <v>33000</v>
      </c>
      <c r="I1103">
        <f>Table1[[#This Row],[Qty]]*Table1[[#This Row],[CostPrice]]</f>
        <v>18000</v>
      </c>
      <c r="J1103">
        <v>14895</v>
      </c>
      <c r="K1103">
        <v>104.99999999999999</v>
      </c>
      <c r="L1103" t="s">
        <v>13</v>
      </c>
      <c r="M1103" t="s">
        <v>29</v>
      </c>
      <c r="N1103">
        <f>MONTH(Table1[[#This Row],[SaleDate]])</f>
        <v>5</v>
      </c>
      <c r="O1103" t="str">
        <f>TEXT(Table1[[#This Row],[SaleDate]],"MMM")</f>
        <v>May</v>
      </c>
    </row>
    <row r="1104" spans="1:15">
      <c r="A1104" s="1">
        <v>45059</v>
      </c>
      <c r="B1104" t="s">
        <v>25</v>
      </c>
      <c r="C1104" t="s">
        <v>21</v>
      </c>
      <c r="D1104">
        <v>1</v>
      </c>
      <c r="E1104" t="s">
        <v>9</v>
      </c>
      <c r="F1104">
        <v>60000</v>
      </c>
      <c r="G1104">
        <v>31000</v>
      </c>
      <c r="H1104">
        <f>Table1[[#This Row],[Qty]]*Table1[[#This Row],[SellingPrice]]</f>
        <v>60000</v>
      </c>
      <c r="I1104">
        <f>Table1[[#This Row],[Qty]]*Table1[[#This Row],[CostPrice]]</f>
        <v>31000</v>
      </c>
      <c r="J1104">
        <v>28797</v>
      </c>
      <c r="K1104">
        <v>202.99999999999997</v>
      </c>
      <c r="L1104" t="s">
        <v>13</v>
      </c>
      <c r="M1104" t="s">
        <v>29</v>
      </c>
      <c r="N1104">
        <f>MONTH(Table1[[#This Row],[SaleDate]])</f>
        <v>5</v>
      </c>
      <c r="O1104" t="str">
        <f>TEXT(Table1[[#This Row],[SaleDate]],"MMM")</f>
        <v>May</v>
      </c>
    </row>
    <row r="1105" spans="1:15">
      <c r="A1105" s="1">
        <v>45059</v>
      </c>
      <c r="B1105" t="s">
        <v>25</v>
      </c>
      <c r="C1105" t="s">
        <v>21</v>
      </c>
      <c r="D1105">
        <v>1</v>
      </c>
      <c r="E1105" t="s">
        <v>10</v>
      </c>
      <c r="F1105">
        <v>89000</v>
      </c>
      <c r="G1105">
        <v>65000</v>
      </c>
      <c r="H1105">
        <f>Table1[[#This Row],[Qty]]*Table1[[#This Row],[SellingPrice]]</f>
        <v>89000</v>
      </c>
      <c r="I1105">
        <f>Table1[[#This Row],[Qty]]*Table1[[#This Row],[CostPrice]]</f>
        <v>65000</v>
      </c>
      <c r="J1105">
        <v>23832</v>
      </c>
      <c r="K1105">
        <v>167.99999999999997</v>
      </c>
      <c r="L1105" t="s">
        <v>13</v>
      </c>
      <c r="M1105" t="s">
        <v>29</v>
      </c>
      <c r="N1105">
        <f>MONTH(Table1[[#This Row],[SaleDate]])</f>
        <v>5</v>
      </c>
      <c r="O1105" t="str">
        <f>TEXT(Table1[[#This Row],[SaleDate]],"MMM")</f>
        <v>May</v>
      </c>
    </row>
    <row r="1106" spans="1:15">
      <c r="A1106" s="1">
        <v>45060</v>
      </c>
      <c r="B1106" t="s">
        <v>23</v>
      </c>
      <c r="C1106" t="s">
        <v>19</v>
      </c>
      <c r="D1106">
        <v>2</v>
      </c>
      <c r="E1106" t="s">
        <v>7</v>
      </c>
      <c r="F1106">
        <v>33000</v>
      </c>
      <c r="G1106">
        <v>18000</v>
      </c>
      <c r="H1106">
        <f>Table1[[#This Row],[Qty]]*Table1[[#This Row],[SellingPrice]]</f>
        <v>66000</v>
      </c>
      <c r="I1106">
        <f>Table1[[#This Row],[Qty]]*Table1[[#This Row],[CostPrice]]</f>
        <v>36000</v>
      </c>
      <c r="J1106">
        <v>29790</v>
      </c>
      <c r="K1106">
        <v>209.99999999999997</v>
      </c>
      <c r="L1106" t="s">
        <v>8</v>
      </c>
      <c r="M1106" t="s">
        <v>29</v>
      </c>
      <c r="N1106">
        <f>MONTH(Table1[[#This Row],[SaleDate]])</f>
        <v>5</v>
      </c>
      <c r="O1106" t="str">
        <f>TEXT(Table1[[#This Row],[SaleDate]],"MMM")</f>
        <v>May</v>
      </c>
    </row>
    <row r="1107" spans="1:15">
      <c r="A1107" s="1">
        <v>45060</v>
      </c>
      <c r="B1107" t="s">
        <v>23</v>
      </c>
      <c r="C1107" t="s">
        <v>19</v>
      </c>
      <c r="D1107">
        <v>2</v>
      </c>
      <c r="E1107" t="s">
        <v>9</v>
      </c>
      <c r="F1107">
        <v>60000</v>
      </c>
      <c r="G1107">
        <v>31000</v>
      </c>
      <c r="H1107">
        <f>Table1[[#This Row],[Qty]]*Table1[[#This Row],[SellingPrice]]</f>
        <v>120000</v>
      </c>
      <c r="I1107">
        <f>Table1[[#This Row],[Qty]]*Table1[[#This Row],[CostPrice]]</f>
        <v>62000</v>
      </c>
      <c r="J1107">
        <v>57594</v>
      </c>
      <c r="K1107">
        <v>405.99999999999994</v>
      </c>
      <c r="L1107" t="s">
        <v>8</v>
      </c>
      <c r="M1107" t="s">
        <v>29</v>
      </c>
      <c r="N1107">
        <f>MONTH(Table1[[#This Row],[SaleDate]])</f>
        <v>5</v>
      </c>
      <c r="O1107" t="str">
        <f>TEXT(Table1[[#This Row],[SaleDate]],"MMM")</f>
        <v>May</v>
      </c>
    </row>
    <row r="1108" spans="1:15">
      <c r="A1108" s="1">
        <v>45060</v>
      </c>
      <c r="B1108" t="s">
        <v>23</v>
      </c>
      <c r="C1108" t="s">
        <v>19</v>
      </c>
      <c r="D1108">
        <v>2</v>
      </c>
      <c r="E1108" t="s">
        <v>10</v>
      </c>
      <c r="F1108">
        <v>89000</v>
      </c>
      <c r="G1108">
        <v>65000</v>
      </c>
      <c r="H1108">
        <f>Table1[[#This Row],[Qty]]*Table1[[#This Row],[SellingPrice]]</f>
        <v>178000</v>
      </c>
      <c r="I1108">
        <f>Table1[[#This Row],[Qty]]*Table1[[#This Row],[CostPrice]]</f>
        <v>130000</v>
      </c>
      <c r="J1108">
        <v>47664</v>
      </c>
      <c r="K1108">
        <v>335.99999999999994</v>
      </c>
      <c r="L1108" t="s">
        <v>8</v>
      </c>
      <c r="M1108" t="s">
        <v>29</v>
      </c>
      <c r="N1108">
        <f>MONTH(Table1[[#This Row],[SaleDate]])</f>
        <v>5</v>
      </c>
      <c r="O1108" t="str">
        <f>TEXT(Table1[[#This Row],[SaleDate]],"MMM")</f>
        <v>May</v>
      </c>
    </row>
    <row r="1109" spans="1:15">
      <c r="A1109" s="1">
        <v>45060</v>
      </c>
      <c r="B1109" t="s">
        <v>24</v>
      </c>
      <c r="C1109" t="s">
        <v>22</v>
      </c>
      <c r="D1109">
        <v>2</v>
      </c>
      <c r="E1109" t="s">
        <v>7</v>
      </c>
      <c r="F1109">
        <v>33000</v>
      </c>
      <c r="G1109">
        <v>18000</v>
      </c>
      <c r="H1109">
        <f>Table1[[#This Row],[Qty]]*Table1[[#This Row],[SellingPrice]]</f>
        <v>66000</v>
      </c>
      <c r="I1109">
        <f>Table1[[#This Row],[Qty]]*Table1[[#This Row],[CostPrice]]</f>
        <v>36000</v>
      </c>
      <c r="J1109">
        <v>29790</v>
      </c>
      <c r="K1109">
        <v>209.99999999999997</v>
      </c>
      <c r="L1109" t="s">
        <v>12</v>
      </c>
      <c r="M1109" t="s">
        <v>27</v>
      </c>
      <c r="N1109">
        <f>MONTH(Table1[[#This Row],[SaleDate]])</f>
        <v>5</v>
      </c>
      <c r="O1109" t="str">
        <f>TEXT(Table1[[#This Row],[SaleDate]],"MMM")</f>
        <v>May</v>
      </c>
    </row>
    <row r="1110" spans="1:15">
      <c r="A1110" s="1">
        <v>45060</v>
      </c>
      <c r="B1110" t="s">
        <v>24</v>
      </c>
      <c r="C1110" t="s">
        <v>22</v>
      </c>
      <c r="D1110">
        <v>2</v>
      </c>
      <c r="E1110" t="s">
        <v>9</v>
      </c>
      <c r="F1110">
        <v>60000</v>
      </c>
      <c r="G1110">
        <v>31000</v>
      </c>
      <c r="H1110">
        <f>Table1[[#This Row],[Qty]]*Table1[[#This Row],[SellingPrice]]</f>
        <v>120000</v>
      </c>
      <c r="I1110">
        <f>Table1[[#This Row],[Qty]]*Table1[[#This Row],[CostPrice]]</f>
        <v>62000</v>
      </c>
      <c r="J1110">
        <v>57594</v>
      </c>
      <c r="K1110">
        <v>405.99999999999994</v>
      </c>
      <c r="L1110" t="s">
        <v>12</v>
      </c>
      <c r="M1110" t="s">
        <v>30</v>
      </c>
      <c r="N1110">
        <f>MONTH(Table1[[#This Row],[SaleDate]])</f>
        <v>5</v>
      </c>
      <c r="O1110" t="str">
        <f>TEXT(Table1[[#This Row],[SaleDate]],"MMM")</f>
        <v>May</v>
      </c>
    </row>
    <row r="1111" spans="1:15">
      <c r="A1111" s="1">
        <v>45060</v>
      </c>
      <c r="B1111" t="s">
        <v>24</v>
      </c>
      <c r="C1111" t="s">
        <v>22</v>
      </c>
      <c r="D1111">
        <v>2</v>
      </c>
      <c r="E1111" t="s">
        <v>10</v>
      </c>
      <c r="F1111">
        <v>89000</v>
      </c>
      <c r="G1111">
        <v>65000</v>
      </c>
      <c r="H1111">
        <f>Table1[[#This Row],[Qty]]*Table1[[#This Row],[SellingPrice]]</f>
        <v>178000</v>
      </c>
      <c r="I1111">
        <f>Table1[[#This Row],[Qty]]*Table1[[#This Row],[CostPrice]]</f>
        <v>130000</v>
      </c>
      <c r="J1111">
        <v>47664</v>
      </c>
      <c r="K1111">
        <v>335.99999999999994</v>
      </c>
      <c r="L1111" t="s">
        <v>12</v>
      </c>
      <c r="M1111" t="s">
        <v>27</v>
      </c>
      <c r="N1111">
        <f>MONTH(Table1[[#This Row],[SaleDate]])</f>
        <v>5</v>
      </c>
      <c r="O1111" t="str">
        <f>TEXT(Table1[[#This Row],[SaleDate]],"MMM")</f>
        <v>May</v>
      </c>
    </row>
    <row r="1112" spans="1:15">
      <c r="A1112" s="1">
        <v>45060</v>
      </c>
      <c r="B1112" t="s">
        <v>25</v>
      </c>
      <c r="C1112" t="s">
        <v>21</v>
      </c>
      <c r="D1112">
        <v>2</v>
      </c>
      <c r="E1112" t="s">
        <v>7</v>
      </c>
      <c r="F1112">
        <v>33000</v>
      </c>
      <c r="G1112">
        <v>18000</v>
      </c>
      <c r="H1112">
        <f>Table1[[#This Row],[Qty]]*Table1[[#This Row],[SellingPrice]]</f>
        <v>66000</v>
      </c>
      <c r="I1112">
        <f>Table1[[#This Row],[Qty]]*Table1[[#This Row],[CostPrice]]</f>
        <v>36000</v>
      </c>
      <c r="J1112">
        <v>29790</v>
      </c>
      <c r="K1112">
        <v>209.99999999999997</v>
      </c>
      <c r="L1112" t="s">
        <v>13</v>
      </c>
      <c r="M1112" t="s">
        <v>27</v>
      </c>
      <c r="N1112">
        <f>MONTH(Table1[[#This Row],[SaleDate]])</f>
        <v>5</v>
      </c>
      <c r="O1112" t="str">
        <f>TEXT(Table1[[#This Row],[SaleDate]],"MMM")</f>
        <v>May</v>
      </c>
    </row>
    <row r="1113" spans="1:15">
      <c r="A1113" s="1">
        <v>45060</v>
      </c>
      <c r="B1113" t="s">
        <v>25</v>
      </c>
      <c r="C1113" t="s">
        <v>21</v>
      </c>
      <c r="D1113">
        <v>2</v>
      </c>
      <c r="E1113" t="s">
        <v>9</v>
      </c>
      <c r="F1113">
        <v>60000</v>
      </c>
      <c r="G1113">
        <v>31000</v>
      </c>
      <c r="H1113">
        <f>Table1[[#This Row],[Qty]]*Table1[[#This Row],[SellingPrice]]</f>
        <v>120000</v>
      </c>
      <c r="I1113">
        <f>Table1[[#This Row],[Qty]]*Table1[[#This Row],[CostPrice]]</f>
        <v>62000</v>
      </c>
      <c r="J1113">
        <v>57594</v>
      </c>
      <c r="K1113">
        <v>405.99999999999994</v>
      </c>
      <c r="L1113" t="s">
        <v>13</v>
      </c>
      <c r="M1113" t="s">
        <v>30</v>
      </c>
      <c r="N1113">
        <f>MONTH(Table1[[#This Row],[SaleDate]])</f>
        <v>5</v>
      </c>
      <c r="O1113" t="str">
        <f>TEXT(Table1[[#This Row],[SaleDate]],"MMM")</f>
        <v>May</v>
      </c>
    </row>
    <row r="1114" spans="1:15">
      <c r="A1114" s="1">
        <v>45060</v>
      </c>
      <c r="B1114" t="s">
        <v>25</v>
      </c>
      <c r="C1114" t="s">
        <v>21</v>
      </c>
      <c r="D1114">
        <v>2</v>
      </c>
      <c r="E1114" t="s">
        <v>10</v>
      </c>
      <c r="F1114">
        <v>89000</v>
      </c>
      <c r="G1114">
        <v>65000</v>
      </c>
      <c r="H1114">
        <f>Table1[[#This Row],[Qty]]*Table1[[#This Row],[SellingPrice]]</f>
        <v>178000</v>
      </c>
      <c r="I1114">
        <f>Table1[[#This Row],[Qty]]*Table1[[#This Row],[CostPrice]]</f>
        <v>130000</v>
      </c>
      <c r="J1114">
        <v>47664</v>
      </c>
      <c r="K1114">
        <v>335.99999999999994</v>
      </c>
      <c r="L1114" t="s">
        <v>13</v>
      </c>
      <c r="M1114" t="s">
        <v>30</v>
      </c>
      <c r="N1114">
        <f>MONTH(Table1[[#This Row],[SaleDate]])</f>
        <v>5</v>
      </c>
      <c r="O1114" t="str">
        <f>TEXT(Table1[[#This Row],[SaleDate]],"MMM")</f>
        <v>May</v>
      </c>
    </row>
    <row r="1115" spans="1:15">
      <c r="A1115" s="1">
        <v>45061</v>
      </c>
      <c r="B1115" t="s">
        <v>23</v>
      </c>
      <c r="C1115" t="s">
        <v>19</v>
      </c>
      <c r="D1115">
        <v>1</v>
      </c>
      <c r="E1115" t="s">
        <v>7</v>
      </c>
      <c r="F1115">
        <v>33000</v>
      </c>
      <c r="G1115">
        <v>18000</v>
      </c>
      <c r="H1115">
        <f>Table1[[#This Row],[Qty]]*Table1[[#This Row],[SellingPrice]]</f>
        <v>33000</v>
      </c>
      <c r="I1115">
        <f>Table1[[#This Row],[Qty]]*Table1[[#This Row],[CostPrice]]</f>
        <v>18000</v>
      </c>
      <c r="J1115">
        <v>14895</v>
      </c>
      <c r="K1115">
        <v>104.99999999999999</v>
      </c>
      <c r="L1115" t="s">
        <v>8</v>
      </c>
      <c r="M1115" t="s">
        <v>30</v>
      </c>
      <c r="N1115">
        <f>MONTH(Table1[[#This Row],[SaleDate]])</f>
        <v>5</v>
      </c>
      <c r="O1115" t="str">
        <f>TEXT(Table1[[#This Row],[SaleDate]],"MMM")</f>
        <v>May</v>
      </c>
    </row>
    <row r="1116" spans="1:15">
      <c r="A1116" s="1">
        <v>45061</v>
      </c>
      <c r="B1116" t="s">
        <v>23</v>
      </c>
      <c r="C1116" t="s">
        <v>19</v>
      </c>
      <c r="D1116">
        <v>1</v>
      </c>
      <c r="E1116" t="s">
        <v>9</v>
      </c>
      <c r="F1116">
        <v>60000</v>
      </c>
      <c r="G1116">
        <v>31000</v>
      </c>
      <c r="H1116">
        <f>Table1[[#This Row],[Qty]]*Table1[[#This Row],[SellingPrice]]</f>
        <v>60000</v>
      </c>
      <c r="I1116">
        <f>Table1[[#This Row],[Qty]]*Table1[[#This Row],[CostPrice]]</f>
        <v>31000</v>
      </c>
      <c r="J1116">
        <v>28797</v>
      </c>
      <c r="K1116">
        <v>202.99999999999997</v>
      </c>
      <c r="L1116" t="s">
        <v>8</v>
      </c>
      <c r="M1116" t="s">
        <v>27</v>
      </c>
      <c r="N1116">
        <f>MONTH(Table1[[#This Row],[SaleDate]])</f>
        <v>5</v>
      </c>
      <c r="O1116" t="str">
        <f>TEXT(Table1[[#This Row],[SaleDate]],"MMM")</f>
        <v>May</v>
      </c>
    </row>
    <row r="1117" spans="1:15">
      <c r="A1117" s="1">
        <v>45061</v>
      </c>
      <c r="B1117" t="s">
        <v>23</v>
      </c>
      <c r="C1117" t="s">
        <v>19</v>
      </c>
      <c r="D1117">
        <v>1</v>
      </c>
      <c r="E1117" t="s">
        <v>10</v>
      </c>
      <c r="F1117">
        <v>89000</v>
      </c>
      <c r="G1117">
        <v>65000</v>
      </c>
      <c r="H1117">
        <f>Table1[[#This Row],[Qty]]*Table1[[#This Row],[SellingPrice]]</f>
        <v>89000</v>
      </c>
      <c r="I1117">
        <f>Table1[[#This Row],[Qty]]*Table1[[#This Row],[CostPrice]]</f>
        <v>65000</v>
      </c>
      <c r="J1117">
        <v>23832</v>
      </c>
      <c r="K1117">
        <v>167.99999999999997</v>
      </c>
      <c r="L1117" t="s">
        <v>8</v>
      </c>
      <c r="M1117" t="s">
        <v>30</v>
      </c>
      <c r="N1117">
        <f>MONTH(Table1[[#This Row],[SaleDate]])</f>
        <v>5</v>
      </c>
      <c r="O1117" t="str">
        <f>TEXT(Table1[[#This Row],[SaleDate]],"MMM")</f>
        <v>May</v>
      </c>
    </row>
    <row r="1118" spans="1:15">
      <c r="A1118" s="1">
        <v>45061</v>
      </c>
      <c r="B1118" t="s">
        <v>24</v>
      </c>
      <c r="C1118" t="s">
        <v>22</v>
      </c>
      <c r="D1118">
        <v>1</v>
      </c>
      <c r="E1118" t="s">
        <v>7</v>
      </c>
      <c r="F1118">
        <v>33000</v>
      </c>
      <c r="G1118">
        <v>18000</v>
      </c>
      <c r="H1118">
        <f>Table1[[#This Row],[Qty]]*Table1[[#This Row],[SellingPrice]]</f>
        <v>33000</v>
      </c>
      <c r="I1118">
        <f>Table1[[#This Row],[Qty]]*Table1[[#This Row],[CostPrice]]</f>
        <v>18000</v>
      </c>
      <c r="J1118">
        <v>14895</v>
      </c>
      <c r="K1118">
        <v>104.99999999999999</v>
      </c>
      <c r="L1118" t="s">
        <v>12</v>
      </c>
      <c r="M1118" t="s">
        <v>29</v>
      </c>
      <c r="N1118">
        <f>MONTH(Table1[[#This Row],[SaleDate]])</f>
        <v>5</v>
      </c>
      <c r="O1118" t="str">
        <f>TEXT(Table1[[#This Row],[SaleDate]],"MMM")</f>
        <v>May</v>
      </c>
    </row>
    <row r="1119" spans="1:15">
      <c r="A1119" s="1">
        <v>45061</v>
      </c>
      <c r="B1119" t="s">
        <v>24</v>
      </c>
      <c r="C1119" t="s">
        <v>22</v>
      </c>
      <c r="D1119">
        <v>1</v>
      </c>
      <c r="E1119" t="s">
        <v>9</v>
      </c>
      <c r="F1119">
        <v>60000</v>
      </c>
      <c r="G1119">
        <v>31000</v>
      </c>
      <c r="H1119">
        <f>Table1[[#This Row],[Qty]]*Table1[[#This Row],[SellingPrice]]</f>
        <v>60000</v>
      </c>
      <c r="I1119">
        <f>Table1[[#This Row],[Qty]]*Table1[[#This Row],[CostPrice]]</f>
        <v>31000</v>
      </c>
      <c r="J1119">
        <v>28797</v>
      </c>
      <c r="K1119">
        <v>202.99999999999997</v>
      </c>
      <c r="L1119" t="s">
        <v>12</v>
      </c>
      <c r="M1119" t="s">
        <v>30</v>
      </c>
      <c r="N1119">
        <f>MONTH(Table1[[#This Row],[SaleDate]])</f>
        <v>5</v>
      </c>
      <c r="O1119" t="str">
        <f>TEXT(Table1[[#This Row],[SaleDate]],"MMM")</f>
        <v>May</v>
      </c>
    </row>
    <row r="1120" spans="1:15">
      <c r="A1120" s="1">
        <v>45061</v>
      </c>
      <c r="B1120" t="s">
        <v>24</v>
      </c>
      <c r="C1120" t="s">
        <v>22</v>
      </c>
      <c r="D1120">
        <v>1</v>
      </c>
      <c r="E1120" t="s">
        <v>10</v>
      </c>
      <c r="F1120">
        <v>89000</v>
      </c>
      <c r="G1120">
        <v>65000</v>
      </c>
      <c r="H1120">
        <f>Table1[[#This Row],[Qty]]*Table1[[#This Row],[SellingPrice]]</f>
        <v>89000</v>
      </c>
      <c r="I1120">
        <f>Table1[[#This Row],[Qty]]*Table1[[#This Row],[CostPrice]]</f>
        <v>65000</v>
      </c>
      <c r="J1120">
        <v>23832</v>
      </c>
      <c r="K1120">
        <v>167.99999999999997</v>
      </c>
      <c r="L1120" t="s">
        <v>12</v>
      </c>
      <c r="M1120" t="s">
        <v>27</v>
      </c>
      <c r="N1120">
        <f>MONTH(Table1[[#This Row],[SaleDate]])</f>
        <v>5</v>
      </c>
      <c r="O1120" t="str">
        <f>TEXT(Table1[[#This Row],[SaleDate]],"MMM")</f>
        <v>May</v>
      </c>
    </row>
    <row r="1121" spans="1:15">
      <c r="A1121" s="1">
        <v>45061</v>
      </c>
      <c r="B1121" t="s">
        <v>25</v>
      </c>
      <c r="C1121" t="s">
        <v>21</v>
      </c>
      <c r="D1121">
        <v>1</v>
      </c>
      <c r="E1121" t="s">
        <v>7</v>
      </c>
      <c r="F1121">
        <v>33000</v>
      </c>
      <c r="G1121">
        <v>18000</v>
      </c>
      <c r="H1121">
        <f>Table1[[#This Row],[Qty]]*Table1[[#This Row],[SellingPrice]]</f>
        <v>33000</v>
      </c>
      <c r="I1121">
        <f>Table1[[#This Row],[Qty]]*Table1[[#This Row],[CostPrice]]</f>
        <v>18000</v>
      </c>
      <c r="J1121">
        <v>14895</v>
      </c>
      <c r="K1121">
        <v>104.99999999999999</v>
      </c>
      <c r="L1121" t="s">
        <v>13</v>
      </c>
      <c r="M1121" t="s">
        <v>30</v>
      </c>
      <c r="N1121">
        <f>MONTH(Table1[[#This Row],[SaleDate]])</f>
        <v>5</v>
      </c>
      <c r="O1121" t="str">
        <f>TEXT(Table1[[#This Row],[SaleDate]],"MMM")</f>
        <v>May</v>
      </c>
    </row>
    <row r="1122" spans="1:15">
      <c r="A1122" s="1">
        <v>45061</v>
      </c>
      <c r="B1122" t="s">
        <v>25</v>
      </c>
      <c r="C1122" t="s">
        <v>21</v>
      </c>
      <c r="D1122">
        <v>1</v>
      </c>
      <c r="E1122" t="s">
        <v>9</v>
      </c>
      <c r="F1122">
        <v>60000</v>
      </c>
      <c r="G1122">
        <v>31000</v>
      </c>
      <c r="H1122">
        <f>Table1[[#This Row],[Qty]]*Table1[[#This Row],[SellingPrice]]</f>
        <v>60000</v>
      </c>
      <c r="I1122">
        <f>Table1[[#This Row],[Qty]]*Table1[[#This Row],[CostPrice]]</f>
        <v>31000</v>
      </c>
      <c r="J1122">
        <v>28797</v>
      </c>
      <c r="K1122">
        <v>202.99999999999997</v>
      </c>
      <c r="L1122" t="s">
        <v>13</v>
      </c>
      <c r="M1122" t="s">
        <v>29</v>
      </c>
      <c r="N1122">
        <f>MONTH(Table1[[#This Row],[SaleDate]])</f>
        <v>5</v>
      </c>
      <c r="O1122" t="str">
        <f>TEXT(Table1[[#This Row],[SaleDate]],"MMM")</f>
        <v>May</v>
      </c>
    </row>
    <row r="1123" spans="1:15">
      <c r="A1123" s="1">
        <v>45061</v>
      </c>
      <c r="B1123" t="s">
        <v>25</v>
      </c>
      <c r="C1123" t="s">
        <v>21</v>
      </c>
      <c r="D1123">
        <v>1</v>
      </c>
      <c r="E1123" t="s">
        <v>10</v>
      </c>
      <c r="F1123">
        <v>89000</v>
      </c>
      <c r="G1123">
        <v>65000</v>
      </c>
      <c r="H1123">
        <f>Table1[[#This Row],[Qty]]*Table1[[#This Row],[SellingPrice]]</f>
        <v>89000</v>
      </c>
      <c r="I1123">
        <f>Table1[[#This Row],[Qty]]*Table1[[#This Row],[CostPrice]]</f>
        <v>65000</v>
      </c>
      <c r="J1123">
        <v>23832</v>
      </c>
      <c r="K1123">
        <v>167.99999999999997</v>
      </c>
      <c r="L1123" t="s">
        <v>13</v>
      </c>
      <c r="M1123" t="s">
        <v>29</v>
      </c>
      <c r="N1123">
        <f>MONTH(Table1[[#This Row],[SaleDate]])</f>
        <v>5</v>
      </c>
      <c r="O1123" t="str">
        <f>TEXT(Table1[[#This Row],[SaleDate]],"MMM")</f>
        <v>May</v>
      </c>
    </row>
    <row r="1124" spans="1:15">
      <c r="A1124" s="1">
        <v>45062</v>
      </c>
      <c r="B1124" t="s">
        <v>23</v>
      </c>
      <c r="C1124" t="s">
        <v>19</v>
      </c>
      <c r="D1124">
        <v>1</v>
      </c>
      <c r="E1124" t="s">
        <v>7</v>
      </c>
      <c r="F1124">
        <v>33000</v>
      </c>
      <c r="G1124">
        <v>18000</v>
      </c>
      <c r="H1124">
        <f>Table1[[#This Row],[Qty]]*Table1[[#This Row],[SellingPrice]]</f>
        <v>33000</v>
      </c>
      <c r="I1124">
        <f>Table1[[#This Row],[Qty]]*Table1[[#This Row],[CostPrice]]</f>
        <v>18000</v>
      </c>
      <c r="J1124">
        <v>14895</v>
      </c>
      <c r="K1124">
        <v>104.99999999999999</v>
      </c>
      <c r="L1124" t="s">
        <v>8</v>
      </c>
      <c r="M1124" t="s">
        <v>29</v>
      </c>
      <c r="N1124">
        <f>MONTH(Table1[[#This Row],[SaleDate]])</f>
        <v>5</v>
      </c>
      <c r="O1124" t="str">
        <f>TEXT(Table1[[#This Row],[SaleDate]],"MMM")</f>
        <v>May</v>
      </c>
    </row>
    <row r="1125" spans="1:15">
      <c r="A1125" s="1">
        <v>45062</v>
      </c>
      <c r="B1125" t="s">
        <v>23</v>
      </c>
      <c r="C1125" t="s">
        <v>19</v>
      </c>
      <c r="D1125">
        <v>1</v>
      </c>
      <c r="E1125" t="s">
        <v>9</v>
      </c>
      <c r="F1125">
        <v>60000</v>
      </c>
      <c r="G1125">
        <v>31000</v>
      </c>
      <c r="H1125">
        <f>Table1[[#This Row],[Qty]]*Table1[[#This Row],[SellingPrice]]</f>
        <v>60000</v>
      </c>
      <c r="I1125">
        <f>Table1[[#This Row],[Qty]]*Table1[[#This Row],[CostPrice]]</f>
        <v>31000</v>
      </c>
      <c r="J1125">
        <v>28797</v>
      </c>
      <c r="K1125">
        <v>202.99999999999997</v>
      </c>
      <c r="L1125" t="s">
        <v>8</v>
      </c>
      <c r="M1125" t="s">
        <v>30</v>
      </c>
      <c r="N1125">
        <f>MONTH(Table1[[#This Row],[SaleDate]])</f>
        <v>5</v>
      </c>
      <c r="O1125" t="str">
        <f>TEXT(Table1[[#This Row],[SaleDate]],"MMM")</f>
        <v>May</v>
      </c>
    </row>
    <row r="1126" spans="1:15">
      <c r="A1126" s="1">
        <v>45062</v>
      </c>
      <c r="B1126" t="s">
        <v>23</v>
      </c>
      <c r="C1126" t="s">
        <v>19</v>
      </c>
      <c r="D1126">
        <v>1</v>
      </c>
      <c r="E1126" t="s">
        <v>10</v>
      </c>
      <c r="F1126">
        <v>89000</v>
      </c>
      <c r="G1126">
        <v>65000</v>
      </c>
      <c r="H1126">
        <f>Table1[[#This Row],[Qty]]*Table1[[#This Row],[SellingPrice]]</f>
        <v>89000</v>
      </c>
      <c r="I1126">
        <f>Table1[[#This Row],[Qty]]*Table1[[#This Row],[CostPrice]]</f>
        <v>65000</v>
      </c>
      <c r="J1126">
        <v>23832</v>
      </c>
      <c r="K1126">
        <v>167.99999999999997</v>
      </c>
      <c r="L1126" t="s">
        <v>8</v>
      </c>
      <c r="M1126" t="s">
        <v>29</v>
      </c>
      <c r="N1126">
        <f>MONTH(Table1[[#This Row],[SaleDate]])</f>
        <v>5</v>
      </c>
      <c r="O1126" t="str">
        <f>TEXT(Table1[[#This Row],[SaleDate]],"MMM")</f>
        <v>May</v>
      </c>
    </row>
    <row r="1127" spans="1:15">
      <c r="A1127" s="1">
        <v>45062</v>
      </c>
      <c r="B1127" t="s">
        <v>24</v>
      </c>
      <c r="C1127" t="s">
        <v>22</v>
      </c>
      <c r="D1127">
        <v>1</v>
      </c>
      <c r="E1127" t="s">
        <v>7</v>
      </c>
      <c r="F1127">
        <v>33000</v>
      </c>
      <c r="G1127">
        <v>18000</v>
      </c>
      <c r="H1127">
        <f>Table1[[#This Row],[Qty]]*Table1[[#This Row],[SellingPrice]]</f>
        <v>33000</v>
      </c>
      <c r="I1127">
        <f>Table1[[#This Row],[Qty]]*Table1[[#This Row],[CostPrice]]</f>
        <v>18000</v>
      </c>
      <c r="J1127">
        <v>14895</v>
      </c>
      <c r="K1127">
        <v>104.99999999999999</v>
      </c>
      <c r="L1127" t="s">
        <v>12</v>
      </c>
      <c r="M1127" t="s">
        <v>29</v>
      </c>
      <c r="N1127">
        <f>MONTH(Table1[[#This Row],[SaleDate]])</f>
        <v>5</v>
      </c>
      <c r="O1127" t="str">
        <f>TEXT(Table1[[#This Row],[SaleDate]],"MMM")</f>
        <v>May</v>
      </c>
    </row>
    <row r="1128" spans="1:15">
      <c r="A1128" s="1">
        <v>45062</v>
      </c>
      <c r="B1128" t="s">
        <v>24</v>
      </c>
      <c r="C1128" t="s">
        <v>22</v>
      </c>
      <c r="D1128">
        <v>1</v>
      </c>
      <c r="E1128" t="s">
        <v>9</v>
      </c>
      <c r="F1128">
        <v>60000</v>
      </c>
      <c r="G1128">
        <v>31000</v>
      </c>
      <c r="H1128">
        <f>Table1[[#This Row],[Qty]]*Table1[[#This Row],[SellingPrice]]</f>
        <v>60000</v>
      </c>
      <c r="I1128">
        <f>Table1[[#This Row],[Qty]]*Table1[[#This Row],[CostPrice]]</f>
        <v>31000</v>
      </c>
      <c r="J1128">
        <v>28797</v>
      </c>
      <c r="K1128">
        <v>202.99999999999997</v>
      </c>
      <c r="L1128" t="s">
        <v>12</v>
      </c>
      <c r="M1128" t="s">
        <v>30</v>
      </c>
      <c r="N1128">
        <f>MONTH(Table1[[#This Row],[SaleDate]])</f>
        <v>5</v>
      </c>
      <c r="O1128" t="str">
        <f>TEXT(Table1[[#This Row],[SaleDate]],"MMM")</f>
        <v>May</v>
      </c>
    </row>
    <row r="1129" spans="1:15">
      <c r="A1129" s="1">
        <v>45062</v>
      </c>
      <c r="B1129" t="s">
        <v>24</v>
      </c>
      <c r="C1129" t="s">
        <v>22</v>
      </c>
      <c r="D1129">
        <v>1</v>
      </c>
      <c r="E1129" t="s">
        <v>10</v>
      </c>
      <c r="F1129">
        <v>89000</v>
      </c>
      <c r="G1129">
        <v>65000</v>
      </c>
      <c r="H1129">
        <f>Table1[[#This Row],[Qty]]*Table1[[#This Row],[SellingPrice]]</f>
        <v>89000</v>
      </c>
      <c r="I1129">
        <f>Table1[[#This Row],[Qty]]*Table1[[#This Row],[CostPrice]]</f>
        <v>65000</v>
      </c>
      <c r="J1129">
        <v>23832</v>
      </c>
      <c r="K1129">
        <v>167.99999999999997</v>
      </c>
      <c r="L1129" t="s">
        <v>12</v>
      </c>
      <c r="M1129" t="s">
        <v>29</v>
      </c>
      <c r="N1129">
        <f>MONTH(Table1[[#This Row],[SaleDate]])</f>
        <v>5</v>
      </c>
      <c r="O1129" t="str">
        <f>TEXT(Table1[[#This Row],[SaleDate]],"MMM")</f>
        <v>May</v>
      </c>
    </row>
    <row r="1130" spans="1:15">
      <c r="A1130" s="1">
        <v>45062</v>
      </c>
      <c r="B1130" t="s">
        <v>25</v>
      </c>
      <c r="C1130" t="s">
        <v>21</v>
      </c>
      <c r="D1130">
        <v>1</v>
      </c>
      <c r="E1130" t="s">
        <v>7</v>
      </c>
      <c r="F1130">
        <v>33000</v>
      </c>
      <c r="G1130">
        <v>18000</v>
      </c>
      <c r="H1130">
        <f>Table1[[#This Row],[Qty]]*Table1[[#This Row],[SellingPrice]]</f>
        <v>33000</v>
      </c>
      <c r="I1130">
        <f>Table1[[#This Row],[Qty]]*Table1[[#This Row],[CostPrice]]</f>
        <v>18000</v>
      </c>
      <c r="J1130">
        <v>14895</v>
      </c>
      <c r="K1130">
        <v>104.99999999999999</v>
      </c>
      <c r="L1130" t="s">
        <v>13</v>
      </c>
      <c r="M1130" t="s">
        <v>30</v>
      </c>
      <c r="N1130">
        <f>MONTH(Table1[[#This Row],[SaleDate]])</f>
        <v>5</v>
      </c>
      <c r="O1130" t="str">
        <f>TEXT(Table1[[#This Row],[SaleDate]],"MMM")</f>
        <v>May</v>
      </c>
    </row>
    <row r="1131" spans="1:15">
      <c r="A1131" s="1">
        <v>45062</v>
      </c>
      <c r="B1131" t="s">
        <v>25</v>
      </c>
      <c r="C1131" t="s">
        <v>21</v>
      </c>
      <c r="D1131">
        <v>1</v>
      </c>
      <c r="E1131" t="s">
        <v>9</v>
      </c>
      <c r="F1131">
        <v>60000</v>
      </c>
      <c r="G1131">
        <v>31000</v>
      </c>
      <c r="H1131">
        <f>Table1[[#This Row],[Qty]]*Table1[[#This Row],[SellingPrice]]</f>
        <v>60000</v>
      </c>
      <c r="I1131">
        <f>Table1[[#This Row],[Qty]]*Table1[[#This Row],[CostPrice]]</f>
        <v>31000</v>
      </c>
      <c r="J1131">
        <v>28797</v>
      </c>
      <c r="K1131">
        <v>202.99999999999997</v>
      </c>
      <c r="L1131" t="s">
        <v>13</v>
      </c>
      <c r="M1131" t="s">
        <v>27</v>
      </c>
      <c r="N1131">
        <f>MONTH(Table1[[#This Row],[SaleDate]])</f>
        <v>5</v>
      </c>
      <c r="O1131" t="str">
        <f>TEXT(Table1[[#This Row],[SaleDate]],"MMM")</f>
        <v>May</v>
      </c>
    </row>
    <row r="1132" spans="1:15">
      <c r="A1132" s="1">
        <v>45062</v>
      </c>
      <c r="B1132" t="s">
        <v>25</v>
      </c>
      <c r="C1132" t="s">
        <v>21</v>
      </c>
      <c r="D1132">
        <v>1</v>
      </c>
      <c r="E1132" t="s">
        <v>10</v>
      </c>
      <c r="F1132">
        <v>89000</v>
      </c>
      <c r="G1132">
        <v>65000</v>
      </c>
      <c r="H1132">
        <f>Table1[[#This Row],[Qty]]*Table1[[#This Row],[SellingPrice]]</f>
        <v>89000</v>
      </c>
      <c r="I1132">
        <f>Table1[[#This Row],[Qty]]*Table1[[#This Row],[CostPrice]]</f>
        <v>65000</v>
      </c>
      <c r="J1132">
        <v>23832</v>
      </c>
      <c r="K1132">
        <v>167.99999999999997</v>
      </c>
      <c r="L1132" t="s">
        <v>13</v>
      </c>
      <c r="M1132" t="s">
        <v>27</v>
      </c>
      <c r="N1132">
        <f>MONTH(Table1[[#This Row],[SaleDate]])</f>
        <v>5</v>
      </c>
      <c r="O1132" t="str">
        <f>TEXT(Table1[[#This Row],[SaleDate]],"MMM")</f>
        <v>May</v>
      </c>
    </row>
    <row r="1133" spans="1:15">
      <c r="A1133" s="1">
        <v>45063</v>
      </c>
      <c r="B1133" t="s">
        <v>23</v>
      </c>
      <c r="C1133" t="s">
        <v>19</v>
      </c>
      <c r="D1133">
        <v>1</v>
      </c>
      <c r="E1133" t="s">
        <v>7</v>
      </c>
      <c r="F1133">
        <v>33000</v>
      </c>
      <c r="G1133">
        <v>18000</v>
      </c>
      <c r="H1133">
        <f>Table1[[#This Row],[Qty]]*Table1[[#This Row],[SellingPrice]]</f>
        <v>33000</v>
      </c>
      <c r="I1133">
        <f>Table1[[#This Row],[Qty]]*Table1[[#This Row],[CostPrice]]</f>
        <v>18000</v>
      </c>
      <c r="J1133">
        <v>14895</v>
      </c>
      <c r="K1133">
        <v>104.99999999999999</v>
      </c>
      <c r="L1133" t="s">
        <v>8</v>
      </c>
      <c r="M1133" t="s">
        <v>27</v>
      </c>
      <c r="N1133">
        <f>MONTH(Table1[[#This Row],[SaleDate]])</f>
        <v>5</v>
      </c>
      <c r="O1133" t="str">
        <f>TEXT(Table1[[#This Row],[SaleDate]],"MMM")</f>
        <v>May</v>
      </c>
    </row>
    <row r="1134" spans="1:15">
      <c r="A1134" s="1">
        <v>45063</v>
      </c>
      <c r="B1134" t="s">
        <v>23</v>
      </c>
      <c r="C1134" t="s">
        <v>19</v>
      </c>
      <c r="D1134">
        <v>1</v>
      </c>
      <c r="E1134" t="s">
        <v>9</v>
      </c>
      <c r="F1134">
        <v>60000</v>
      </c>
      <c r="G1134">
        <v>31000</v>
      </c>
      <c r="H1134">
        <f>Table1[[#This Row],[Qty]]*Table1[[#This Row],[SellingPrice]]</f>
        <v>60000</v>
      </c>
      <c r="I1134">
        <f>Table1[[#This Row],[Qty]]*Table1[[#This Row],[CostPrice]]</f>
        <v>31000</v>
      </c>
      <c r="J1134">
        <v>28797</v>
      </c>
      <c r="K1134">
        <v>202.99999999999997</v>
      </c>
      <c r="L1134" t="s">
        <v>8</v>
      </c>
      <c r="M1134" t="s">
        <v>28</v>
      </c>
      <c r="N1134">
        <f>MONTH(Table1[[#This Row],[SaleDate]])</f>
        <v>5</v>
      </c>
      <c r="O1134" t="str">
        <f>TEXT(Table1[[#This Row],[SaleDate]],"MMM")</f>
        <v>May</v>
      </c>
    </row>
    <row r="1135" spans="1:15">
      <c r="A1135" s="1">
        <v>45063</v>
      </c>
      <c r="B1135" t="s">
        <v>23</v>
      </c>
      <c r="C1135" t="s">
        <v>19</v>
      </c>
      <c r="D1135">
        <v>1</v>
      </c>
      <c r="E1135" t="s">
        <v>10</v>
      </c>
      <c r="F1135">
        <v>89000</v>
      </c>
      <c r="G1135">
        <v>65000</v>
      </c>
      <c r="H1135">
        <f>Table1[[#This Row],[Qty]]*Table1[[#This Row],[SellingPrice]]</f>
        <v>89000</v>
      </c>
      <c r="I1135">
        <f>Table1[[#This Row],[Qty]]*Table1[[#This Row],[CostPrice]]</f>
        <v>65000</v>
      </c>
      <c r="J1135">
        <v>23832</v>
      </c>
      <c r="K1135">
        <v>167.99999999999997</v>
      </c>
      <c r="L1135" t="s">
        <v>8</v>
      </c>
      <c r="M1135" t="s">
        <v>29</v>
      </c>
      <c r="N1135">
        <f>MONTH(Table1[[#This Row],[SaleDate]])</f>
        <v>5</v>
      </c>
      <c r="O1135" t="str">
        <f>TEXT(Table1[[#This Row],[SaleDate]],"MMM")</f>
        <v>May</v>
      </c>
    </row>
    <row r="1136" spans="1:15">
      <c r="A1136" s="1">
        <v>45063</v>
      </c>
      <c r="B1136" t="s">
        <v>24</v>
      </c>
      <c r="C1136" t="s">
        <v>22</v>
      </c>
      <c r="D1136">
        <v>1</v>
      </c>
      <c r="E1136" t="s">
        <v>7</v>
      </c>
      <c r="F1136">
        <v>33000</v>
      </c>
      <c r="G1136">
        <v>18000</v>
      </c>
      <c r="H1136">
        <f>Table1[[#This Row],[Qty]]*Table1[[#This Row],[SellingPrice]]</f>
        <v>33000</v>
      </c>
      <c r="I1136">
        <f>Table1[[#This Row],[Qty]]*Table1[[#This Row],[CostPrice]]</f>
        <v>18000</v>
      </c>
      <c r="J1136">
        <v>14895</v>
      </c>
      <c r="K1136">
        <v>104.99999999999999</v>
      </c>
      <c r="L1136" t="s">
        <v>12</v>
      </c>
      <c r="M1136" t="s">
        <v>30</v>
      </c>
      <c r="N1136">
        <f>MONTH(Table1[[#This Row],[SaleDate]])</f>
        <v>5</v>
      </c>
      <c r="O1136" t="str">
        <f>TEXT(Table1[[#This Row],[SaleDate]],"MMM")</f>
        <v>May</v>
      </c>
    </row>
    <row r="1137" spans="1:15">
      <c r="A1137" s="1">
        <v>45063</v>
      </c>
      <c r="B1137" t="s">
        <v>24</v>
      </c>
      <c r="C1137" t="s">
        <v>22</v>
      </c>
      <c r="D1137">
        <v>1</v>
      </c>
      <c r="E1137" t="s">
        <v>9</v>
      </c>
      <c r="F1137">
        <v>60000</v>
      </c>
      <c r="G1137">
        <v>31000</v>
      </c>
      <c r="H1137">
        <f>Table1[[#This Row],[Qty]]*Table1[[#This Row],[SellingPrice]]</f>
        <v>60000</v>
      </c>
      <c r="I1137">
        <f>Table1[[#This Row],[Qty]]*Table1[[#This Row],[CostPrice]]</f>
        <v>31000</v>
      </c>
      <c r="J1137">
        <v>28797</v>
      </c>
      <c r="K1137">
        <v>202.99999999999997</v>
      </c>
      <c r="L1137" t="s">
        <v>12</v>
      </c>
      <c r="M1137" t="s">
        <v>27</v>
      </c>
      <c r="N1137">
        <f>MONTH(Table1[[#This Row],[SaleDate]])</f>
        <v>5</v>
      </c>
      <c r="O1137" t="str">
        <f>TEXT(Table1[[#This Row],[SaleDate]],"MMM")</f>
        <v>May</v>
      </c>
    </row>
    <row r="1138" spans="1:15">
      <c r="A1138" s="1">
        <v>45063</v>
      </c>
      <c r="B1138" t="s">
        <v>24</v>
      </c>
      <c r="C1138" t="s">
        <v>22</v>
      </c>
      <c r="D1138">
        <v>1</v>
      </c>
      <c r="E1138" t="s">
        <v>10</v>
      </c>
      <c r="F1138">
        <v>89000</v>
      </c>
      <c r="G1138">
        <v>65000</v>
      </c>
      <c r="H1138">
        <f>Table1[[#This Row],[Qty]]*Table1[[#This Row],[SellingPrice]]</f>
        <v>89000</v>
      </c>
      <c r="I1138">
        <f>Table1[[#This Row],[Qty]]*Table1[[#This Row],[CostPrice]]</f>
        <v>65000</v>
      </c>
      <c r="J1138">
        <v>23832</v>
      </c>
      <c r="K1138">
        <v>167.99999999999997</v>
      </c>
      <c r="L1138" t="s">
        <v>12</v>
      </c>
      <c r="M1138" t="s">
        <v>29</v>
      </c>
      <c r="N1138">
        <f>MONTH(Table1[[#This Row],[SaleDate]])</f>
        <v>5</v>
      </c>
      <c r="O1138" t="str">
        <f>TEXT(Table1[[#This Row],[SaleDate]],"MMM")</f>
        <v>May</v>
      </c>
    </row>
    <row r="1139" spans="1:15">
      <c r="A1139" s="1">
        <v>45063</v>
      </c>
      <c r="B1139" t="s">
        <v>25</v>
      </c>
      <c r="C1139" t="s">
        <v>21</v>
      </c>
      <c r="D1139">
        <v>1</v>
      </c>
      <c r="E1139" t="s">
        <v>7</v>
      </c>
      <c r="F1139">
        <v>33000</v>
      </c>
      <c r="G1139">
        <v>18000</v>
      </c>
      <c r="H1139">
        <f>Table1[[#This Row],[Qty]]*Table1[[#This Row],[SellingPrice]]</f>
        <v>33000</v>
      </c>
      <c r="I1139">
        <f>Table1[[#This Row],[Qty]]*Table1[[#This Row],[CostPrice]]</f>
        <v>18000</v>
      </c>
      <c r="J1139">
        <v>14895</v>
      </c>
      <c r="K1139">
        <v>104.99999999999999</v>
      </c>
      <c r="L1139" t="s">
        <v>13</v>
      </c>
      <c r="M1139" t="s">
        <v>27</v>
      </c>
      <c r="N1139">
        <f>MONTH(Table1[[#This Row],[SaleDate]])</f>
        <v>5</v>
      </c>
      <c r="O1139" t="str">
        <f>TEXT(Table1[[#This Row],[SaleDate]],"MMM")</f>
        <v>May</v>
      </c>
    </row>
    <row r="1140" spans="1:15">
      <c r="A1140" s="1">
        <v>45063</v>
      </c>
      <c r="B1140" t="s">
        <v>25</v>
      </c>
      <c r="C1140" t="s">
        <v>21</v>
      </c>
      <c r="D1140">
        <v>1</v>
      </c>
      <c r="E1140" t="s">
        <v>9</v>
      </c>
      <c r="F1140">
        <v>60000</v>
      </c>
      <c r="G1140">
        <v>31000</v>
      </c>
      <c r="H1140">
        <f>Table1[[#This Row],[Qty]]*Table1[[#This Row],[SellingPrice]]</f>
        <v>60000</v>
      </c>
      <c r="I1140">
        <f>Table1[[#This Row],[Qty]]*Table1[[#This Row],[CostPrice]]</f>
        <v>31000</v>
      </c>
      <c r="J1140">
        <v>28797</v>
      </c>
      <c r="K1140">
        <v>202.99999999999997</v>
      </c>
      <c r="L1140" t="s">
        <v>13</v>
      </c>
      <c r="M1140" t="s">
        <v>27</v>
      </c>
      <c r="N1140">
        <f>MONTH(Table1[[#This Row],[SaleDate]])</f>
        <v>5</v>
      </c>
      <c r="O1140" t="str">
        <f>TEXT(Table1[[#This Row],[SaleDate]],"MMM")</f>
        <v>May</v>
      </c>
    </row>
    <row r="1141" spans="1:15">
      <c r="A1141" s="1">
        <v>45063</v>
      </c>
      <c r="B1141" t="s">
        <v>25</v>
      </c>
      <c r="C1141" t="s">
        <v>21</v>
      </c>
      <c r="D1141">
        <v>1</v>
      </c>
      <c r="E1141" t="s">
        <v>10</v>
      </c>
      <c r="F1141">
        <v>89000</v>
      </c>
      <c r="G1141">
        <v>65000</v>
      </c>
      <c r="H1141">
        <f>Table1[[#This Row],[Qty]]*Table1[[#This Row],[SellingPrice]]</f>
        <v>89000</v>
      </c>
      <c r="I1141">
        <f>Table1[[#This Row],[Qty]]*Table1[[#This Row],[CostPrice]]</f>
        <v>65000</v>
      </c>
      <c r="J1141">
        <v>23832</v>
      </c>
      <c r="K1141">
        <v>167.99999999999997</v>
      </c>
      <c r="L1141" t="s">
        <v>13</v>
      </c>
      <c r="M1141" t="s">
        <v>27</v>
      </c>
      <c r="N1141">
        <f>MONTH(Table1[[#This Row],[SaleDate]])</f>
        <v>5</v>
      </c>
      <c r="O1141" t="str">
        <f>TEXT(Table1[[#This Row],[SaleDate]],"MMM")</f>
        <v>May</v>
      </c>
    </row>
    <row r="1142" spans="1:15">
      <c r="A1142" s="1">
        <v>45064</v>
      </c>
      <c r="B1142" t="s">
        <v>23</v>
      </c>
      <c r="C1142" t="s">
        <v>19</v>
      </c>
      <c r="D1142">
        <v>1</v>
      </c>
      <c r="E1142" t="s">
        <v>7</v>
      </c>
      <c r="F1142">
        <v>33000</v>
      </c>
      <c r="G1142">
        <v>18000</v>
      </c>
      <c r="H1142">
        <f>Table1[[#This Row],[Qty]]*Table1[[#This Row],[SellingPrice]]</f>
        <v>33000</v>
      </c>
      <c r="I1142">
        <f>Table1[[#This Row],[Qty]]*Table1[[#This Row],[CostPrice]]</f>
        <v>18000</v>
      </c>
      <c r="J1142">
        <v>14895</v>
      </c>
      <c r="K1142">
        <v>104.99999999999999</v>
      </c>
      <c r="L1142" t="s">
        <v>8</v>
      </c>
      <c r="M1142" t="s">
        <v>29</v>
      </c>
      <c r="N1142">
        <f>MONTH(Table1[[#This Row],[SaleDate]])</f>
        <v>5</v>
      </c>
      <c r="O1142" t="str">
        <f>TEXT(Table1[[#This Row],[SaleDate]],"MMM")</f>
        <v>May</v>
      </c>
    </row>
    <row r="1143" spans="1:15">
      <c r="A1143" s="1">
        <v>45064</v>
      </c>
      <c r="B1143" t="s">
        <v>23</v>
      </c>
      <c r="C1143" t="s">
        <v>19</v>
      </c>
      <c r="D1143">
        <v>1</v>
      </c>
      <c r="E1143" t="s">
        <v>9</v>
      </c>
      <c r="F1143">
        <v>60000</v>
      </c>
      <c r="G1143">
        <v>31000</v>
      </c>
      <c r="H1143">
        <f>Table1[[#This Row],[Qty]]*Table1[[#This Row],[SellingPrice]]</f>
        <v>60000</v>
      </c>
      <c r="I1143">
        <f>Table1[[#This Row],[Qty]]*Table1[[#This Row],[CostPrice]]</f>
        <v>31000</v>
      </c>
      <c r="J1143">
        <v>28797</v>
      </c>
      <c r="K1143">
        <v>202.99999999999997</v>
      </c>
      <c r="L1143" t="s">
        <v>8</v>
      </c>
      <c r="M1143" t="s">
        <v>30</v>
      </c>
      <c r="N1143">
        <f>MONTH(Table1[[#This Row],[SaleDate]])</f>
        <v>5</v>
      </c>
      <c r="O1143" t="str">
        <f>TEXT(Table1[[#This Row],[SaleDate]],"MMM")</f>
        <v>May</v>
      </c>
    </row>
    <row r="1144" spans="1:15">
      <c r="A1144" s="1">
        <v>45064</v>
      </c>
      <c r="B1144" t="s">
        <v>23</v>
      </c>
      <c r="C1144" t="s">
        <v>19</v>
      </c>
      <c r="D1144">
        <v>1</v>
      </c>
      <c r="E1144" t="s">
        <v>10</v>
      </c>
      <c r="F1144">
        <v>89000</v>
      </c>
      <c r="G1144">
        <v>65000</v>
      </c>
      <c r="H1144">
        <f>Table1[[#This Row],[Qty]]*Table1[[#This Row],[SellingPrice]]</f>
        <v>89000</v>
      </c>
      <c r="I1144">
        <f>Table1[[#This Row],[Qty]]*Table1[[#This Row],[CostPrice]]</f>
        <v>65000</v>
      </c>
      <c r="J1144">
        <v>23832</v>
      </c>
      <c r="K1144">
        <v>167.99999999999997</v>
      </c>
      <c r="L1144" t="s">
        <v>8</v>
      </c>
      <c r="M1144" t="s">
        <v>30</v>
      </c>
      <c r="N1144">
        <f>MONTH(Table1[[#This Row],[SaleDate]])</f>
        <v>5</v>
      </c>
      <c r="O1144" t="str">
        <f>TEXT(Table1[[#This Row],[SaleDate]],"MMM")</f>
        <v>May</v>
      </c>
    </row>
    <row r="1145" spans="1:15">
      <c r="A1145" s="1">
        <v>45064</v>
      </c>
      <c r="B1145" t="s">
        <v>24</v>
      </c>
      <c r="C1145" t="s">
        <v>22</v>
      </c>
      <c r="D1145">
        <v>1</v>
      </c>
      <c r="E1145" t="s">
        <v>7</v>
      </c>
      <c r="F1145">
        <v>33000</v>
      </c>
      <c r="G1145">
        <v>18000</v>
      </c>
      <c r="H1145">
        <f>Table1[[#This Row],[Qty]]*Table1[[#This Row],[SellingPrice]]</f>
        <v>33000</v>
      </c>
      <c r="I1145">
        <f>Table1[[#This Row],[Qty]]*Table1[[#This Row],[CostPrice]]</f>
        <v>18000</v>
      </c>
      <c r="J1145">
        <v>14895</v>
      </c>
      <c r="K1145">
        <v>104.99999999999999</v>
      </c>
      <c r="L1145" t="s">
        <v>12</v>
      </c>
      <c r="M1145" t="s">
        <v>28</v>
      </c>
      <c r="N1145">
        <f>MONTH(Table1[[#This Row],[SaleDate]])</f>
        <v>5</v>
      </c>
      <c r="O1145" t="str">
        <f>TEXT(Table1[[#This Row],[SaleDate]],"MMM")</f>
        <v>May</v>
      </c>
    </row>
    <row r="1146" spans="1:15">
      <c r="A1146" s="1">
        <v>45064</v>
      </c>
      <c r="B1146" t="s">
        <v>24</v>
      </c>
      <c r="C1146" t="s">
        <v>22</v>
      </c>
      <c r="D1146">
        <v>1</v>
      </c>
      <c r="E1146" t="s">
        <v>9</v>
      </c>
      <c r="F1146">
        <v>60000</v>
      </c>
      <c r="G1146">
        <v>31000</v>
      </c>
      <c r="H1146">
        <f>Table1[[#This Row],[Qty]]*Table1[[#This Row],[SellingPrice]]</f>
        <v>60000</v>
      </c>
      <c r="I1146">
        <f>Table1[[#This Row],[Qty]]*Table1[[#This Row],[CostPrice]]</f>
        <v>31000</v>
      </c>
      <c r="J1146">
        <v>28797</v>
      </c>
      <c r="K1146">
        <v>202.99999999999997</v>
      </c>
      <c r="L1146" t="s">
        <v>12</v>
      </c>
      <c r="M1146" t="s">
        <v>27</v>
      </c>
      <c r="N1146">
        <f>MONTH(Table1[[#This Row],[SaleDate]])</f>
        <v>5</v>
      </c>
      <c r="O1146" t="str">
        <f>TEXT(Table1[[#This Row],[SaleDate]],"MMM")</f>
        <v>May</v>
      </c>
    </row>
    <row r="1147" spans="1:15">
      <c r="A1147" s="1">
        <v>45064</v>
      </c>
      <c r="B1147" t="s">
        <v>24</v>
      </c>
      <c r="C1147" t="s">
        <v>22</v>
      </c>
      <c r="D1147">
        <v>1</v>
      </c>
      <c r="E1147" t="s">
        <v>10</v>
      </c>
      <c r="F1147">
        <v>89000</v>
      </c>
      <c r="G1147">
        <v>65000</v>
      </c>
      <c r="H1147">
        <f>Table1[[#This Row],[Qty]]*Table1[[#This Row],[SellingPrice]]</f>
        <v>89000</v>
      </c>
      <c r="I1147">
        <f>Table1[[#This Row],[Qty]]*Table1[[#This Row],[CostPrice]]</f>
        <v>65000</v>
      </c>
      <c r="J1147">
        <v>23832</v>
      </c>
      <c r="K1147">
        <v>167.99999999999997</v>
      </c>
      <c r="L1147" t="s">
        <v>12</v>
      </c>
      <c r="M1147" t="s">
        <v>29</v>
      </c>
      <c r="N1147">
        <f>MONTH(Table1[[#This Row],[SaleDate]])</f>
        <v>5</v>
      </c>
      <c r="O1147" t="str">
        <f>TEXT(Table1[[#This Row],[SaleDate]],"MMM")</f>
        <v>May</v>
      </c>
    </row>
    <row r="1148" spans="1:15">
      <c r="A1148" s="1">
        <v>45064</v>
      </c>
      <c r="B1148" t="s">
        <v>25</v>
      </c>
      <c r="C1148" t="s">
        <v>21</v>
      </c>
      <c r="D1148">
        <v>1</v>
      </c>
      <c r="E1148" t="s">
        <v>7</v>
      </c>
      <c r="F1148">
        <v>33000</v>
      </c>
      <c r="G1148">
        <v>18000</v>
      </c>
      <c r="H1148">
        <f>Table1[[#This Row],[Qty]]*Table1[[#This Row],[SellingPrice]]</f>
        <v>33000</v>
      </c>
      <c r="I1148">
        <f>Table1[[#This Row],[Qty]]*Table1[[#This Row],[CostPrice]]</f>
        <v>18000</v>
      </c>
      <c r="J1148">
        <v>14895</v>
      </c>
      <c r="K1148">
        <v>104.99999999999999</v>
      </c>
      <c r="L1148" t="s">
        <v>13</v>
      </c>
      <c r="M1148" t="s">
        <v>27</v>
      </c>
      <c r="N1148">
        <f>MONTH(Table1[[#This Row],[SaleDate]])</f>
        <v>5</v>
      </c>
      <c r="O1148" t="str">
        <f>TEXT(Table1[[#This Row],[SaleDate]],"MMM")</f>
        <v>May</v>
      </c>
    </row>
    <row r="1149" spans="1:15">
      <c r="A1149" s="1">
        <v>45064</v>
      </c>
      <c r="B1149" t="s">
        <v>25</v>
      </c>
      <c r="C1149" t="s">
        <v>21</v>
      </c>
      <c r="D1149">
        <v>1</v>
      </c>
      <c r="E1149" t="s">
        <v>9</v>
      </c>
      <c r="F1149">
        <v>60000</v>
      </c>
      <c r="G1149">
        <v>31000</v>
      </c>
      <c r="H1149">
        <f>Table1[[#This Row],[Qty]]*Table1[[#This Row],[SellingPrice]]</f>
        <v>60000</v>
      </c>
      <c r="I1149">
        <f>Table1[[#This Row],[Qty]]*Table1[[#This Row],[CostPrice]]</f>
        <v>31000</v>
      </c>
      <c r="J1149">
        <v>28797</v>
      </c>
      <c r="K1149">
        <v>202.99999999999997</v>
      </c>
      <c r="L1149" t="s">
        <v>13</v>
      </c>
      <c r="M1149" t="s">
        <v>30</v>
      </c>
      <c r="N1149">
        <f>MONTH(Table1[[#This Row],[SaleDate]])</f>
        <v>5</v>
      </c>
      <c r="O1149" t="str">
        <f>TEXT(Table1[[#This Row],[SaleDate]],"MMM")</f>
        <v>May</v>
      </c>
    </row>
    <row r="1150" spans="1:15">
      <c r="A1150" s="1">
        <v>45064</v>
      </c>
      <c r="B1150" t="s">
        <v>25</v>
      </c>
      <c r="C1150" t="s">
        <v>21</v>
      </c>
      <c r="D1150">
        <v>1</v>
      </c>
      <c r="E1150" t="s">
        <v>10</v>
      </c>
      <c r="F1150">
        <v>89000</v>
      </c>
      <c r="G1150">
        <v>65000</v>
      </c>
      <c r="H1150">
        <f>Table1[[#This Row],[Qty]]*Table1[[#This Row],[SellingPrice]]</f>
        <v>89000</v>
      </c>
      <c r="I1150">
        <f>Table1[[#This Row],[Qty]]*Table1[[#This Row],[CostPrice]]</f>
        <v>65000</v>
      </c>
      <c r="J1150">
        <v>23832</v>
      </c>
      <c r="K1150">
        <v>167.99999999999997</v>
      </c>
      <c r="L1150" t="s">
        <v>13</v>
      </c>
      <c r="M1150" t="s">
        <v>30</v>
      </c>
      <c r="N1150">
        <f>MONTH(Table1[[#This Row],[SaleDate]])</f>
        <v>5</v>
      </c>
      <c r="O1150" t="str">
        <f>TEXT(Table1[[#This Row],[SaleDate]],"MMM")</f>
        <v>May</v>
      </c>
    </row>
    <row r="1151" spans="1:15">
      <c r="A1151" s="1">
        <v>45065</v>
      </c>
      <c r="B1151" t="s">
        <v>23</v>
      </c>
      <c r="C1151" t="s">
        <v>19</v>
      </c>
      <c r="D1151">
        <v>1</v>
      </c>
      <c r="E1151" t="s">
        <v>7</v>
      </c>
      <c r="F1151">
        <v>33000</v>
      </c>
      <c r="G1151">
        <v>18000</v>
      </c>
      <c r="H1151">
        <f>Table1[[#This Row],[Qty]]*Table1[[#This Row],[SellingPrice]]</f>
        <v>33000</v>
      </c>
      <c r="I1151">
        <f>Table1[[#This Row],[Qty]]*Table1[[#This Row],[CostPrice]]</f>
        <v>18000</v>
      </c>
      <c r="J1151">
        <v>14895</v>
      </c>
      <c r="K1151">
        <v>104.99999999999999</v>
      </c>
      <c r="L1151" t="s">
        <v>8</v>
      </c>
      <c r="M1151" t="s">
        <v>28</v>
      </c>
      <c r="N1151">
        <f>MONTH(Table1[[#This Row],[SaleDate]])</f>
        <v>5</v>
      </c>
      <c r="O1151" t="str">
        <f>TEXT(Table1[[#This Row],[SaleDate]],"MMM")</f>
        <v>May</v>
      </c>
    </row>
    <row r="1152" spans="1:15">
      <c r="A1152" s="1">
        <v>45065</v>
      </c>
      <c r="B1152" t="s">
        <v>23</v>
      </c>
      <c r="C1152" t="s">
        <v>19</v>
      </c>
      <c r="D1152">
        <v>1</v>
      </c>
      <c r="E1152" t="s">
        <v>9</v>
      </c>
      <c r="F1152">
        <v>60000</v>
      </c>
      <c r="G1152">
        <v>31000</v>
      </c>
      <c r="H1152">
        <f>Table1[[#This Row],[Qty]]*Table1[[#This Row],[SellingPrice]]</f>
        <v>60000</v>
      </c>
      <c r="I1152">
        <f>Table1[[#This Row],[Qty]]*Table1[[#This Row],[CostPrice]]</f>
        <v>31000</v>
      </c>
      <c r="J1152">
        <v>28797</v>
      </c>
      <c r="K1152">
        <v>202.99999999999997</v>
      </c>
      <c r="L1152" t="s">
        <v>8</v>
      </c>
      <c r="M1152" t="s">
        <v>27</v>
      </c>
      <c r="N1152">
        <f>MONTH(Table1[[#This Row],[SaleDate]])</f>
        <v>5</v>
      </c>
      <c r="O1152" t="str">
        <f>TEXT(Table1[[#This Row],[SaleDate]],"MMM")</f>
        <v>May</v>
      </c>
    </row>
    <row r="1153" spans="1:15">
      <c r="A1153" s="1">
        <v>45065</v>
      </c>
      <c r="B1153" t="s">
        <v>23</v>
      </c>
      <c r="C1153" t="s">
        <v>19</v>
      </c>
      <c r="D1153">
        <v>1</v>
      </c>
      <c r="E1153" t="s">
        <v>10</v>
      </c>
      <c r="F1153">
        <v>89000</v>
      </c>
      <c r="G1153">
        <v>65000</v>
      </c>
      <c r="H1153">
        <f>Table1[[#This Row],[Qty]]*Table1[[#This Row],[SellingPrice]]</f>
        <v>89000</v>
      </c>
      <c r="I1153">
        <f>Table1[[#This Row],[Qty]]*Table1[[#This Row],[CostPrice]]</f>
        <v>65000</v>
      </c>
      <c r="J1153">
        <v>23832</v>
      </c>
      <c r="K1153">
        <v>167.99999999999997</v>
      </c>
      <c r="L1153" t="s">
        <v>8</v>
      </c>
      <c r="M1153" t="s">
        <v>27</v>
      </c>
      <c r="N1153">
        <f>MONTH(Table1[[#This Row],[SaleDate]])</f>
        <v>5</v>
      </c>
      <c r="O1153" t="str">
        <f>TEXT(Table1[[#This Row],[SaleDate]],"MMM")</f>
        <v>May</v>
      </c>
    </row>
    <row r="1154" spans="1:15">
      <c r="A1154" s="1">
        <v>45065</v>
      </c>
      <c r="B1154" t="s">
        <v>24</v>
      </c>
      <c r="C1154" t="s">
        <v>22</v>
      </c>
      <c r="D1154">
        <v>1</v>
      </c>
      <c r="E1154" t="s">
        <v>7</v>
      </c>
      <c r="F1154">
        <v>33000</v>
      </c>
      <c r="G1154">
        <v>18000</v>
      </c>
      <c r="H1154">
        <f>Table1[[#This Row],[Qty]]*Table1[[#This Row],[SellingPrice]]</f>
        <v>33000</v>
      </c>
      <c r="I1154">
        <f>Table1[[#This Row],[Qty]]*Table1[[#This Row],[CostPrice]]</f>
        <v>18000</v>
      </c>
      <c r="J1154">
        <v>14895</v>
      </c>
      <c r="K1154">
        <v>104.99999999999999</v>
      </c>
      <c r="L1154" t="s">
        <v>12</v>
      </c>
      <c r="M1154" t="s">
        <v>29</v>
      </c>
      <c r="N1154">
        <f>MONTH(Table1[[#This Row],[SaleDate]])</f>
        <v>5</v>
      </c>
      <c r="O1154" t="str">
        <f>TEXT(Table1[[#This Row],[SaleDate]],"MMM")</f>
        <v>May</v>
      </c>
    </row>
    <row r="1155" spans="1:15">
      <c r="A1155" s="1">
        <v>45065</v>
      </c>
      <c r="B1155" t="s">
        <v>24</v>
      </c>
      <c r="C1155" t="s">
        <v>22</v>
      </c>
      <c r="D1155">
        <v>1</v>
      </c>
      <c r="E1155" t="s">
        <v>9</v>
      </c>
      <c r="F1155">
        <v>60000</v>
      </c>
      <c r="G1155">
        <v>31000</v>
      </c>
      <c r="H1155">
        <f>Table1[[#This Row],[Qty]]*Table1[[#This Row],[SellingPrice]]</f>
        <v>60000</v>
      </c>
      <c r="I1155">
        <f>Table1[[#This Row],[Qty]]*Table1[[#This Row],[CostPrice]]</f>
        <v>31000</v>
      </c>
      <c r="J1155">
        <v>28797</v>
      </c>
      <c r="K1155">
        <v>202.99999999999997</v>
      </c>
      <c r="L1155" t="s">
        <v>12</v>
      </c>
      <c r="M1155" t="s">
        <v>27</v>
      </c>
      <c r="N1155">
        <f>MONTH(Table1[[#This Row],[SaleDate]])</f>
        <v>5</v>
      </c>
      <c r="O1155" t="str">
        <f>TEXT(Table1[[#This Row],[SaleDate]],"MMM")</f>
        <v>May</v>
      </c>
    </row>
    <row r="1156" spans="1:15">
      <c r="A1156" s="1">
        <v>45065</v>
      </c>
      <c r="B1156" t="s">
        <v>24</v>
      </c>
      <c r="C1156" t="s">
        <v>22</v>
      </c>
      <c r="D1156">
        <v>1</v>
      </c>
      <c r="E1156" t="s">
        <v>10</v>
      </c>
      <c r="F1156">
        <v>89000</v>
      </c>
      <c r="G1156">
        <v>65000</v>
      </c>
      <c r="H1156">
        <f>Table1[[#This Row],[Qty]]*Table1[[#This Row],[SellingPrice]]</f>
        <v>89000</v>
      </c>
      <c r="I1156">
        <f>Table1[[#This Row],[Qty]]*Table1[[#This Row],[CostPrice]]</f>
        <v>65000</v>
      </c>
      <c r="J1156">
        <v>23832</v>
      </c>
      <c r="K1156">
        <v>167.99999999999997</v>
      </c>
      <c r="L1156" t="s">
        <v>12</v>
      </c>
      <c r="M1156" t="s">
        <v>27</v>
      </c>
      <c r="N1156">
        <f>MONTH(Table1[[#This Row],[SaleDate]])</f>
        <v>5</v>
      </c>
      <c r="O1156" t="str">
        <f>TEXT(Table1[[#This Row],[SaleDate]],"MMM")</f>
        <v>May</v>
      </c>
    </row>
    <row r="1157" spans="1:15">
      <c r="A1157" s="1">
        <v>45065</v>
      </c>
      <c r="B1157" t="s">
        <v>25</v>
      </c>
      <c r="C1157" t="s">
        <v>21</v>
      </c>
      <c r="D1157">
        <v>1</v>
      </c>
      <c r="E1157" t="s">
        <v>7</v>
      </c>
      <c r="F1157">
        <v>33000</v>
      </c>
      <c r="G1157">
        <v>18000</v>
      </c>
      <c r="H1157">
        <f>Table1[[#This Row],[Qty]]*Table1[[#This Row],[SellingPrice]]</f>
        <v>33000</v>
      </c>
      <c r="I1157">
        <f>Table1[[#This Row],[Qty]]*Table1[[#This Row],[CostPrice]]</f>
        <v>18000</v>
      </c>
      <c r="J1157">
        <v>14895</v>
      </c>
      <c r="K1157">
        <v>104.99999999999999</v>
      </c>
      <c r="L1157" t="s">
        <v>13</v>
      </c>
      <c r="M1157" t="s">
        <v>30</v>
      </c>
      <c r="N1157">
        <f>MONTH(Table1[[#This Row],[SaleDate]])</f>
        <v>5</v>
      </c>
      <c r="O1157" t="str">
        <f>TEXT(Table1[[#This Row],[SaleDate]],"MMM")</f>
        <v>May</v>
      </c>
    </row>
    <row r="1158" spans="1:15">
      <c r="A1158" s="1">
        <v>45065</v>
      </c>
      <c r="B1158" t="s">
        <v>25</v>
      </c>
      <c r="C1158" t="s">
        <v>21</v>
      </c>
      <c r="D1158">
        <v>1</v>
      </c>
      <c r="E1158" t="s">
        <v>9</v>
      </c>
      <c r="F1158">
        <v>60000</v>
      </c>
      <c r="G1158">
        <v>31000</v>
      </c>
      <c r="H1158">
        <f>Table1[[#This Row],[Qty]]*Table1[[#This Row],[SellingPrice]]</f>
        <v>60000</v>
      </c>
      <c r="I1158">
        <f>Table1[[#This Row],[Qty]]*Table1[[#This Row],[CostPrice]]</f>
        <v>31000</v>
      </c>
      <c r="J1158">
        <v>28797</v>
      </c>
      <c r="K1158">
        <v>202.99999999999997</v>
      </c>
      <c r="L1158" t="s">
        <v>13</v>
      </c>
      <c r="M1158" t="s">
        <v>29</v>
      </c>
      <c r="N1158">
        <f>MONTH(Table1[[#This Row],[SaleDate]])</f>
        <v>5</v>
      </c>
      <c r="O1158" t="str">
        <f>TEXT(Table1[[#This Row],[SaleDate]],"MMM")</f>
        <v>May</v>
      </c>
    </row>
    <row r="1159" spans="1:15">
      <c r="A1159" s="1">
        <v>45065</v>
      </c>
      <c r="B1159" t="s">
        <v>25</v>
      </c>
      <c r="C1159" t="s">
        <v>21</v>
      </c>
      <c r="D1159">
        <v>1</v>
      </c>
      <c r="E1159" t="s">
        <v>10</v>
      </c>
      <c r="F1159">
        <v>89000</v>
      </c>
      <c r="G1159">
        <v>65000</v>
      </c>
      <c r="H1159">
        <f>Table1[[#This Row],[Qty]]*Table1[[#This Row],[SellingPrice]]</f>
        <v>89000</v>
      </c>
      <c r="I1159">
        <f>Table1[[#This Row],[Qty]]*Table1[[#This Row],[CostPrice]]</f>
        <v>65000</v>
      </c>
      <c r="J1159">
        <v>23832</v>
      </c>
      <c r="K1159">
        <v>167.99999999999997</v>
      </c>
      <c r="L1159" t="s">
        <v>13</v>
      </c>
      <c r="M1159" t="s">
        <v>30</v>
      </c>
      <c r="N1159">
        <f>MONTH(Table1[[#This Row],[SaleDate]])</f>
        <v>5</v>
      </c>
      <c r="O1159" t="str">
        <f>TEXT(Table1[[#This Row],[SaleDate]],"MMM")</f>
        <v>May</v>
      </c>
    </row>
    <row r="1160" spans="1:15">
      <c r="A1160" s="1">
        <v>45066</v>
      </c>
      <c r="B1160" t="s">
        <v>23</v>
      </c>
      <c r="C1160" t="s">
        <v>19</v>
      </c>
      <c r="D1160">
        <v>2</v>
      </c>
      <c r="E1160" t="s">
        <v>7</v>
      </c>
      <c r="F1160">
        <v>33000</v>
      </c>
      <c r="G1160">
        <v>18000</v>
      </c>
      <c r="H1160">
        <f>Table1[[#This Row],[Qty]]*Table1[[#This Row],[SellingPrice]]</f>
        <v>66000</v>
      </c>
      <c r="I1160">
        <f>Table1[[#This Row],[Qty]]*Table1[[#This Row],[CostPrice]]</f>
        <v>36000</v>
      </c>
      <c r="J1160">
        <v>29790</v>
      </c>
      <c r="K1160">
        <v>209.99999999999997</v>
      </c>
      <c r="L1160" t="s">
        <v>8</v>
      </c>
      <c r="M1160" t="s">
        <v>29</v>
      </c>
      <c r="N1160">
        <f>MONTH(Table1[[#This Row],[SaleDate]])</f>
        <v>5</v>
      </c>
      <c r="O1160" t="str">
        <f>TEXT(Table1[[#This Row],[SaleDate]],"MMM")</f>
        <v>May</v>
      </c>
    </row>
    <row r="1161" spans="1:15">
      <c r="A1161" s="1">
        <v>45066</v>
      </c>
      <c r="B1161" t="s">
        <v>23</v>
      </c>
      <c r="C1161" t="s">
        <v>19</v>
      </c>
      <c r="D1161">
        <v>2</v>
      </c>
      <c r="E1161" t="s">
        <v>9</v>
      </c>
      <c r="F1161">
        <v>60000</v>
      </c>
      <c r="G1161">
        <v>31000</v>
      </c>
      <c r="H1161">
        <f>Table1[[#This Row],[Qty]]*Table1[[#This Row],[SellingPrice]]</f>
        <v>120000</v>
      </c>
      <c r="I1161">
        <f>Table1[[#This Row],[Qty]]*Table1[[#This Row],[CostPrice]]</f>
        <v>62000</v>
      </c>
      <c r="J1161">
        <v>57594</v>
      </c>
      <c r="K1161">
        <v>405.99999999999994</v>
      </c>
      <c r="L1161" t="s">
        <v>8</v>
      </c>
      <c r="M1161" t="s">
        <v>30</v>
      </c>
      <c r="N1161">
        <f>MONTH(Table1[[#This Row],[SaleDate]])</f>
        <v>5</v>
      </c>
      <c r="O1161" t="str">
        <f>TEXT(Table1[[#This Row],[SaleDate]],"MMM")</f>
        <v>May</v>
      </c>
    </row>
    <row r="1162" spans="1:15">
      <c r="A1162" s="1">
        <v>45066</v>
      </c>
      <c r="B1162" t="s">
        <v>23</v>
      </c>
      <c r="C1162" t="s">
        <v>19</v>
      </c>
      <c r="D1162">
        <v>2</v>
      </c>
      <c r="E1162" t="s">
        <v>10</v>
      </c>
      <c r="F1162">
        <v>89000</v>
      </c>
      <c r="G1162">
        <v>65000</v>
      </c>
      <c r="H1162">
        <f>Table1[[#This Row],[Qty]]*Table1[[#This Row],[SellingPrice]]</f>
        <v>178000</v>
      </c>
      <c r="I1162">
        <f>Table1[[#This Row],[Qty]]*Table1[[#This Row],[CostPrice]]</f>
        <v>130000</v>
      </c>
      <c r="J1162">
        <v>47664</v>
      </c>
      <c r="K1162">
        <v>335.99999999999994</v>
      </c>
      <c r="L1162" t="s">
        <v>8</v>
      </c>
      <c r="M1162" t="s">
        <v>29</v>
      </c>
      <c r="N1162">
        <f>MONTH(Table1[[#This Row],[SaleDate]])</f>
        <v>5</v>
      </c>
      <c r="O1162" t="str">
        <f>TEXT(Table1[[#This Row],[SaleDate]],"MMM")</f>
        <v>May</v>
      </c>
    </row>
    <row r="1163" spans="1:15">
      <c r="A1163" s="1">
        <v>45066</v>
      </c>
      <c r="B1163" t="s">
        <v>26</v>
      </c>
      <c r="C1163" t="s">
        <v>20</v>
      </c>
      <c r="D1163">
        <v>2</v>
      </c>
      <c r="E1163" t="s">
        <v>7</v>
      </c>
      <c r="F1163">
        <v>33000</v>
      </c>
      <c r="G1163">
        <v>18000</v>
      </c>
      <c r="H1163">
        <f>Table1[[#This Row],[Qty]]*Table1[[#This Row],[SellingPrice]]</f>
        <v>66000</v>
      </c>
      <c r="I1163">
        <f>Table1[[#This Row],[Qty]]*Table1[[#This Row],[CostPrice]]</f>
        <v>36000</v>
      </c>
      <c r="J1163">
        <v>29790</v>
      </c>
      <c r="K1163">
        <v>209.99999999999997</v>
      </c>
      <c r="L1163" t="s">
        <v>11</v>
      </c>
      <c r="M1163" t="s">
        <v>29</v>
      </c>
      <c r="N1163">
        <f>MONTH(Table1[[#This Row],[SaleDate]])</f>
        <v>5</v>
      </c>
      <c r="O1163" t="str">
        <f>TEXT(Table1[[#This Row],[SaleDate]],"MMM")</f>
        <v>May</v>
      </c>
    </row>
    <row r="1164" spans="1:15">
      <c r="A1164" s="1">
        <v>45066</v>
      </c>
      <c r="B1164" t="s">
        <v>24</v>
      </c>
      <c r="C1164" t="s">
        <v>22</v>
      </c>
      <c r="D1164">
        <v>2</v>
      </c>
      <c r="E1164" t="s">
        <v>7</v>
      </c>
      <c r="F1164">
        <v>33000</v>
      </c>
      <c r="G1164">
        <v>18000</v>
      </c>
      <c r="H1164">
        <f>Table1[[#This Row],[Qty]]*Table1[[#This Row],[SellingPrice]]</f>
        <v>66000</v>
      </c>
      <c r="I1164">
        <f>Table1[[#This Row],[Qty]]*Table1[[#This Row],[CostPrice]]</f>
        <v>36000</v>
      </c>
      <c r="J1164">
        <v>29790</v>
      </c>
      <c r="K1164">
        <v>209.99999999999997</v>
      </c>
      <c r="L1164" t="s">
        <v>12</v>
      </c>
      <c r="M1164" t="s">
        <v>29</v>
      </c>
      <c r="N1164">
        <f>MONTH(Table1[[#This Row],[SaleDate]])</f>
        <v>5</v>
      </c>
      <c r="O1164" t="str">
        <f>TEXT(Table1[[#This Row],[SaleDate]],"MMM")</f>
        <v>May</v>
      </c>
    </row>
    <row r="1165" spans="1:15">
      <c r="A1165" s="1">
        <v>45066</v>
      </c>
      <c r="B1165" t="s">
        <v>24</v>
      </c>
      <c r="C1165" t="s">
        <v>22</v>
      </c>
      <c r="D1165">
        <v>2</v>
      </c>
      <c r="E1165" t="s">
        <v>9</v>
      </c>
      <c r="F1165">
        <v>60000</v>
      </c>
      <c r="G1165">
        <v>31000</v>
      </c>
      <c r="H1165">
        <f>Table1[[#This Row],[Qty]]*Table1[[#This Row],[SellingPrice]]</f>
        <v>120000</v>
      </c>
      <c r="I1165">
        <f>Table1[[#This Row],[Qty]]*Table1[[#This Row],[CostPrice]]</f>
        <v>62000</v>
      </c>
      <c r="J1165">
        <v>57594</v>
      </c>
      <c r="K1165">
        <v>405.99999999999994</v>
      </c>
      <c r="L1165" t="s">
        <v>12</v>
      </c>
      <c r="M1165" t="s">
        <v>27</v>
      </c>
      <c r="N1165">
        <f>MONTH(Table1[[#This Row],[SaleDate]])</f>
        <v>5</v>
      </c>
      <c r="O1165" t="str">
        <f>TEXT(Table1[[#This Row],[SaleDate]],"MMM")</f>
        <v>May</v>
      </c>
    </row>
    <row r="1166" spans="1:15">
      <c r="A1166" s="1">
        <v>45066</v>
      </c>
      <c r="B1166" t="s">
        <v>24</v>
      </c>
      <c r="C1166" t="s">
        <v>22</v>
      </c>
      <c r="D1166">
        <v>2</v>
      </c>
      <c r="E1166" t="s">
        <v>10</v>
      </c>
      <c r="F1166">
        <v>89000</v>
      </c>
      <c r="G1166">
        <v>65000</v>
      </c>
      <c r="H1166">
        <f>Table1[[#This Row],[Qty]]*Table1[[#This Row],[SellingPrice]]</f>
        <v>178000</v>
      </c>
      <c r="I1166">
        <f>Table1[[#This Row],[Qty]]*Table1[[#This Row],[CostPrice]]</f>
        <v>130000</v>
      </c>
      <c r="J1166">
        <v>47664</v>
      </c>
      <c r="K1166">
        <v>335.99999999999994</v>
      </c>
      <c r="L1166" t="s">
        <v>12</v>
      </c>
      <c r="M1166" t="s">
        <v>30</v>
      </c>
      <c r="N1166">
        <f>MONTH(Table1[[#This Row],[SaleDate]])</f>
        <v>5</v>
      </c>
      <c r="O1166" t="str">
        <f>TEXT(Table1[[#This Row],[SaleDate]],"MMM")</f>
        <v>May</v>
      </c>
    </row>
    <row r="1167" spans="1:15">
      <c r="A1167" s="1">
        <v>45066</v>
      </c>
      <c r="B1167" t="s">
        <v>25</v>
      </c>
      <c r="C1167" t="s">
        <v>21</v>
      </c>
      <c r="D1167">
        <v>2</v>
      </c>
      <c r="E1167" t="s">
        <v>7</v>
      </c>
      <c r="F1167">
        <v>33000</v>
      </c>
      <c r="G1167">
        <v>18000</v>
      </c>
      <c r="H1167">
        <f>Table1[[#This Row],[Qty]]*Table1[[#This Row],[SellingPrice]]</f>
        <v>66000</v>
      </c>
      <c r="I1167">
        <f>Table1[[#This Row],[Qty]]*Table1[[#This Row],[CostPrice]]</f>
        <v>36000</v>
      </c>
      <c r="J1167">
        <v>29790</v>
      </c>
      <c r="K1167">
        <v>209.99999999999997</v>
      </c>
      <c r="L1167" t="s">
        <v>13</v>
      </c>
      <c r="M1167" t="s">
        <v>30</v>
      </c>
      <c r="N1167">
        <f>MONTH(Table1[[#This Row],[SaleDate]])</f>
        <v>5</v>
      </c>
      <c r="O1167" t="str">
        <f>TEXT(Table1[[#This Row],[SaleDate]],"MMM")</f>
        <v>May</v>
      </c>
    </row>
    <row r="1168" spans="1:15">
      <c r="A1168" s="1">
        <v>45066</v>
      </c>
      <c r="B1168" t="s">
        <v>25</v>
      </c>
      <c r="C1168" t="s">
        <v>21</v>
      </c>
      <c r="D1168">
        <v>2</v>
      </c>
      <c r="E1168" t="s">
        <v>9</v>
      </c>
      <c r="F1168">
        <v>60000</v>
      </c>
      <c r="G1168">
        <v>31000</v>
      </c>
      <c r="H1168">
        <f>Table1[[#This Row],[Qty]]*Table1[[#This Row],[SellingPrice]]</f>
        <v>120000</v>
      </c>
      <c r="I1168">
        <f>Table1[[#This Row],[Qty]]*Table1[[#This Row],[CostPrice]]</f>
        <v>62000</v>
      </c>
      <c r="J1168">
        <v>57594</v>
      </c>
      <c r="K1168">
        <v>405.99999999999994</v>
      </c>
      <c r="L1168" t="s">
        <v>13</v>
      </c>
      <c r="M1168" t="s">
        <v>27</v>
      </c>
      <c r="N1168">
        <f>MONTH(Table1[[#This Row],[SaleDate]])</f>
        <v>5</v>
      </c>
      <c r="O1168" t="str">
        <f>TEXT(Table1[[#This Row],[SaleDate]],"MMM")</f>
        <v>May</v>
      </c>
    </row>
    <row r="1169" spans="1:15">
      <c r="A1169" s="1">
        <v>45066</v>
      </c>
      <c r="B1169" t="s">
        <v>25</v>
      </c>
      <c r="C1169" t="s">
        <v>21</v>
      </c>
      <c r="D1169">
        <v>2</v>
      </c>
      <c r="E1169" t="s">
        <v>10</v>
      </c>
      <c r="F1169">
        <v>89000</v>
      </c>
      <c r="G1169">
        <v>65000</v>
      </c>
      <c r="H1169">
        <f>Table1[[#This Row],[Qty]]*Table1[[#This Row],[SellingPrice]]</f>
        <v>178000</v>
      </c>
      <c r="I1169">
        <f>Table1[[#This Row],[Qty]]*Table1[[#This Row],[CostPrice]]</f>
        <v>130000</v>
      </c>
      <c r="J1169">
        <v>47664</v>
      </c>
      <c r="K1169">
        <v>335.99999999999994</v>
      </c>
      <c r="L1169" t="s">
        <v>13</v>
      </c>
      <c r="M1169" t="s">
        <v>30</v>
      </c>
      <c r="N1169">
        <f>MONTH(Table1[[#This Row],[SaleDate]])</f>
        <v>5</v>
      </c>
      <c r="O1169" t="str">
        <f>TEXT(Table1[[#This Row],[SaleDate]],"MMM")</f>
        <v>May</v>
      </c>
    </row>
    <row r="1170" spans="1:15">
      <c r="A1170" s="1">
        <v>45067</v>
      </c>
      <c r="B1170" t="s">
        <v>23</v>
      </c>
      <c r="C1170" t="s">
        <v>19</v>
      </c>
      <c r="D1170">
        <v>1</v>
      </c>
      <c r="E1170" t="s">
        <v>7</v>
      </c>
      <c r="F1170">
        <v>33000</v>
      </c>
      <c r="G1170">
        <v>18000</v>
      </c>
      <c r="H1170">
        <f>Table1[[#This Row],[Qty]]*Table1[[#This Row],[SellingPrice]]</f>
        <v>33000</v>
      </c>
      <c r="I1170">
        <f>Table1[[#This Row],[Qty]]*Table1[[#This Row],[CostPrice]]</f>
        <v>18000</v>
      </c>
      <c r="J1170">
        <v>14895</v>
      </c>
      <c r="K1170">
        <v>104.99999999999999</v>
      </c>
      <c r="L1170" t="s">
        <v>8</v>
      </c>
      <c r="M1170" t="s">
        <v>27</v>
      </c>
      <c r="N1170">
        <f>MONTH(Table1[[#This Row],[SaleDate]])</f>
        <v>5</v>
      </c>
      <c r="O1170" t="str">
        <f>TEXT(Table1[[#This Row],[SaleDate]],"MMM")</f>
        <v>May</v>
      </c>
    </row>
    <row r="1171" spans="1:15">
      <c r="A1171" s="1">
        <v>45067</v>
      </c>
      <c r="B1171" t="s">
        <v>23</v>
      </c>
      <c r="C1171" t="s">
        <v>19</v>
      </c>
      <c r="D1171">
        <v>1</v>
      </c>
      <c r="E1171" t="s">
        <v>9</v>
      </c>
      <c r="F1171">
        <v>60000</v>
      </c>
      <c r="G1171">
        <v>31000</v>
      </c>
      <c r="H1171">
        <f>Table1[[#This Row],[Qty]]*Table1[[#This Row],[SellingPrice]]</f>
        <v>60000</v>
      </c>
      <c r="I1171">
        <f>Table1[[#This Row],[Qty]]*Table1[[#This Row],[CostPrice]]</f>
        <v>31000</v>
      </c>
      <c r="J1171">
        <v>28797</v>
      </c>
      <c r="K1171">
        <v>202.99999999999997</v>
      </c>
      <c r="L1171" t="s">
        <v>8</v>
      </c>
      <c r="M1171" t="s">
        <v>30</v>
      </c>
      <c r="N1171">
        <f>MONTH(Table1[[#This Row],[SaleDate]])</f>
        <v>5</v>
      </c>
      <c r="O1171" t="str">
        <f>TEXT(Table1[[#This Row],[SaleDate]],"MMM")</f>
        <v>May</v>
      </c>
    </row>
    <row r="1172" spans="1:15">
      <c r="A1172" s="1">
        <v>45067</v>
      </c>
      <c r="B1172" t="s">
        <v>23</v>
      </c>
      <c r="C1172" t="s">
        <v>19</v>
      </c>
      <c r="D1172">
        <v>1</v>
      </c>
      <c r="E1172" t="s">
        <v>10</v>
      </c>
      <c r="F1172">
        <v>89000</v>
      </c>
      <c r="G1172">
        <v>65000</v>
      </c>
      <c r="H1172">
        <f>Table1[[#This Row],[Qty]]*Table1[[#This Row],[SellingPrice]]</f>
        <v>89000</v>
      </c>
      <c r="I1172">
        <f>Table1[[#This Row],[Qty]]*Table1[[#This Row],[CostPrice]]</f>
        <v>65000</v>
      </c>
      <c r="J1172">
        <v>23832</v>
      </c>
      <c r="K1172">
        <v>167.99999999999997</v>
      </c>
      <c r="L1172" t="s">
        <v>8</v>
      </c>
      <c r="M1172" t="s">
        <v>29</v>
      </c>
      <c r="N1172">
        <f>MONTH(Table1[[#This Row],[SaleDate]])</f>
        <v>5</v>
      </c>
      <c r="O1172" t="str">
        <f>TEXT(Table1[[#This Row],[SaleDate]],"MMM")</f>
        <v>May</v>
      </c>
    </row>
    <row r="1173" spans="1:15">
      <c r="A1173" s="1">
        <v>45067</v>
      </c>
      <c r="B1173" t="s">
        <v>26</v>
      </c>
      <c r="C1173" t="s">
        <v>20</v>
      </c>
      <c r="D1173">
        <v>1</v>
      </c>
      <c r="E1173" t="s">
        <v>7</v>
      </c>
      <c r="F1173">
        <v>33000</v>
      </c>
      <c r="G1173">
        <v>18000</v>
      </c>
      <c r="H1173">
        <f>Table1[[#This Row],[Qty]]*Table1[[#This Row],[SellingPrice]]</f>
        <v>33000</v>
      </c>
      <c r="I1173">
        <f>Table1[[#This Row],[Qty]]*Table1[[#This Row],[CostPrice]]</f>
        <v>18000</v>
      </c>
      <c r="J1173">
        <v>14895</v>
      </c>
      <c r="K1173">
        <v>104.99999999999999</v>
      </c>
      <c r="L1173" t="s">
        <v>11</v>
      </c>
      <c r="M1173" t="s">
        <v>29</v>
      </c>
      <c r="N1173">
        <f>MONTH(Table1[[#This Row],[SaleDate]])</f>
        <v>5</v>
      </c>
      <c r="O1173" t="str">
        <f>TEXT(Table1[[#This Row],[SaleDate]],"MMM")</f>
        <v>May</v>
      </c>
    </row>
    <row r="1174" spans="1:15">
      <c r="A1174" s="1">
        <v>45067</v>
      </c>
      <c r="B1174" t="s">
        <v>24</v>
      </c>
      <c r="C1174" t="s">
        <v>22</v>
      </c>
      <c r="D1174">
        <v>1</v>
      </c>
      <c r="E1174" t="s">
        <v>7</v>
      </c>
      <c r="F1174">
        <v>33000</v>
      </c>
      <c r="G1174">
        <v>18000</v>
      </c>
      <c r="H1174">
        <f>Table1[[#This Row],[Qty]]*Table1[[#This Row],[SellingPrice]]</f>
        <v>33000</v>
      </c>
      <c r="I1174">
        <f>Table1[[#This Row],[Qty]]*Table1[[#This Row],[CostPrice]]</f>
        <v>18000</v>
      </c>
      <c r="J1174">
        <v>14895</v>
      </c>
      <c r="K1174">
        <v>104.99999999999999</v>
      </c>
      <c r="L1174" t="s">
        <v>12</v>
      </c>
      <c r="M1174" t="s">
        <v>27</v>
      </c>
      <c r="N1174">
        <f>MONTH(Table1[[#This Row],[SaleDate]])</f>
        <v>5</v>
      </c>
      <c r="O1174" t="str">
        <f>TEXT(Table1[[#This Row],[SaleDate]],"MMM")</f>
        <v>May</v>
      </c>
    </row>
    <row r="1175" spans="1:15">
      <c r="A1175" s="1">
        <v>45067</v>
      </c>
      <c r="B1175" t="s">
        <v>24</v>
      </c>
      <c r="C1175" t="s">
        <v>22</v>
      </c>
      <c r="D1175">
        <v>1</v>
      </c>
      <c r="E1175" t="s">
        <v>9</v>
      </c>
      <c r="F1175">
        <v>60000</v>
      </c>
      <c r="G1175">
        <v>31000</v>
      </c>
      <c r="H1175">
        <f>Table1[[#This Row],[Qty]]*Table1[[#This Row],[SellingPrice]]</f>
        <v>60000</v>
      </c>
      <c r="I1175">
        <f>Table1[[#This Row],[Qty]]*Table1[[#This Row],[CostPrice]]</f>
        <v>31000</v>
      </c>
      <c r="J1175">
        <v>28797</v>
      </c>
      <c r="K1175">
        <v>202.99999999999997</v>
      </c>
      <c r="L1175" t="s">
        <v>12</v>
      </c>
      <c r="M1175" t="s">
        <v>29</v>
      </c>
      <c r="N1175">
        <f>MONTH(Table1[[#This Row],[SaleDate]])</f>
        <v>5</v>
      </c>
      <c r="O1175" t="str">
        <f>TEXT(Table1[[#This Row],[SaleDate]],"MMM")</f>
        <v>May</v>
      </c>
    </row>
    <row r="1176" spans="1:15">
      <c r="A1176" s="1">
        <v>45067</v>
      </c>
      <c r="B1176" t="s">
        <v>24</v>
      </c>
      <c r="C1176" t="s">
        <v>22</v>
      </c>
      <c r="D1176">
        <v>1</v>
      </c>
      <c r="E1176" t="s">
        <v>10</v>
      </c>
      <c r="F1176">
        <v>89000</v>
      </c>
      <c r="G1176">
        <v>65000</v>
      </c>
      <c r="H1176">
        <f>Table1[[#This Row],[Qty]]*Table1[[#This Row],[SellingPrice]]</f>
        <v>89000</v>
      </c>
      <c r="I1176">
        <f>Table1[[#This Row],[Qty]]*Table1[[#This Row],[CostPrice]]</f>
        <v>65000</v>
      </c>
      <c r="J1176">
        <v>23832</v>
      </c>
      <c r="K1176">
        <v>167.99999999999997</v>
      </c>
      <c r="L1176" t="s">
        <v>12</v>
      </c>
      <c r="M1176" t="s">
        <v>30</v>
      </c>
      <c r="N1176">
        <f>MONTH(Table1[[#This Row],[SaleDate]])</f>
        <v>5</v>
      </c>
      <c r="O1176" t="str">
        <f>TEXT(Table1[[#This Row],[SaleDate]],"MMM")</f>
        <v>May</v>
      </c>
    </row>
    <row r="1177" spans="1:15">
      <c r="A1177" s="1">
        <v>45067</v>
      </c>
      <c r="B1177" t="s">
        <v>25</v>
      </c>
      <c r="C1177" t="s">
        <v>21</v>
      </c>
      <c r="D1177">
        <v>1</v>
      </c>
      <c r="E1177" t="s">
        <v>7</v>
      </c>
      <c r="F1177">
        <v>33000</v>
      </c>
      <c r="G1177">
        <v>18000</v>
      </c>
      <c r="H1177">
        <f>Table1[[#This Row],[Qty]]*Table1[[#This Row],[SellingPrice]]</f>
        <v>33000</v>
      </c>
      <c r="I1177">
        <f>Table1[[#This Row],[Qty]]*Table1[[#This Row],[CostPrice]]</f>
        <v>18000</v>
      </c>
      <c r="J1177">
        <v>14895</v>
      </c>
      <c r="K1177">
        <v>104.99999999999999</v>
      </c>
      <c r="L1177" t="s">
        <v>13</v>
      </c>
      <c r="M1177" t="s">
        <v>30</v>
      </c>
      <c r="N1177">
        <f>MONTH(Table1[[#This Row],[SaleDate]])</f>
        <v>5</v>
      </c>
      <c r="O1177" t="str">
        <f>TEXT(Table1[[#This Row],[SaleDate]],"MMM")</f>
        <v>May</v>
      </c>
    </row>
    <row r="1178" spans="1:15">
      <c r="A1178" s="1">
        <v>45067</v>
      </c>
      <c r="B1178" t="s">
        <v>25</v>
      </c>
      <c r="C1178" t="s">
        <v>21</v>
      </c>
      <c r="D1178">
        <v>1</v>
      </c>
      <c r="E1178" t="s">
        <v>9</v>
      </c>
      <c r="F1178">
        <v>60000</v>
      </c>
      <c r="G1178">
        <v>31000</v>
      </c>
      <c r="H1178">
        <f>Table1[[#This Row],[Qty]]*Table1[[#This Row],[SellingPrice]]</f>
        <v>60000</v>
      </c>
      <c r="I1178">
        <f>Table1[[#This Row],[Qty]]*Table1[[#This Row],[CostPrice]]</f>
        <v>31000</v>
      </c>
      <c r="J1178">
        <v>28797</v>
      </c>
      <c r="K1178">
        <v>202.99999999999997</v>
      </c>
      <c r="L1178" t="s">
        <v>13</v>
      </c>
      <c r="M1178" t="s">
        <v>29</v>
      </c>
      <c r="N1178">
        <f>MONTH(Table1[[#This Row],[SaleDate]])</f>
        <v>5</v>
      </c>
      <c r="O1178" t="str">
        <f>TEXT(Table1[[#This Row],[SaleDate]],"MMM")</f>
        <v>May</v>
      </c>
    </row>
    <row r="1179" spans="1:15">
      <c r="A1179" s="1">
        <v>45067</v>
      </c>
      <c r="B1179" t="s">
        <v>25</v>
      </c>
      <c r="C1179" t="s">
        <v>21</v>
      </c>
      <c r="D1179">
        <v>1</v>
      </c>
      <c r="E1179" t="s">
        <v>10</v>
      </c>
      <c r="F1179">
        <v>89000</v>
      </c>
      <c r="G1179">
        <v>65000</v>
      </c>
      <c r="H1179">
        <f>Table1[[#This Row],[Qty]]*Table1[[#This Row],[SellingPrice]]</f>
        <v>89000</v>
      </c>
      <c r="I1179">
        <f>Table1[[#This Row],[Qty]]*Table1[[#This Row],[CostPrice]]</f>
        <v>65000</v>
      </c>
      <c r="J1179">
        <v>23832</v>
      </c>
      <c r="K1179">
        <v>167.99999999999997</v>
      </c>
      <c r="L1179" t="s">
        <v>13</v>
      </c>
      <c r="M1179" t="s">
        <v>29</v>
      </c>
      <c r="N1179">
        <f>MONTH(Table1[[#This Row],[SaleDate]])</f>
        <v>5</v>
      </c>
      <c r="O1179" t="str">
        <f>TEXT(Table1[[#This Row],[SaleDate]],"MMM")</f>
        <v>May</v>
      </c>
    </row>
    <row r="1180" spans="1:15">
      <c r="A1180" s="1">
        <v>45068</v>
      </c>
      <c r="B1180" t="s">
        <v>23</v>
      </c>
      <c r="C1180" t="s">
        <v>19</v>
      </c>
      <c r="D1180">
        <v>1</v>
      </c>
      <c r="E1180" t="s">
        <v>7</v>
      </c>
      <c r="F1180">
        <v>33000</v>
      </c>
      <c r="G1180">
        <v>18000</v>
      </c>
      <c r="H1180">
        <f>Table1[[#This Row],[Qty]]*Table1[[#This Row],[SellingPrice]]</f>
        <v>33000</v>
      </c>
      <c r="I1180">
        <f>Table1[[#This Row],[Qty]]*Table1[[#This Row],[CostPrice]]</f>
        <v>18000</v>
      </c>
      <c r="J1180">
        <v>14895</v>
      </c>
      <c r="K1180">
        <v>104.99999999999999</v>
      </c>
      <c r="L1180" t="s">
        <v>8</v>
      </c>
      <c r="M1180" t="s">
        <v>29</v>
      </c>
      <c r="N1180">
        <f>MONTH(Table1[[#This Row],[SaleDate]])</f>
        <v>5</v>
      </c>
      <c r="O1180" t="str">
        <f>TEXT(Table1[[#This Row],[SaleDate]],"MMM")</f>
        <v>May</v>
      </c>
    </row>
    <row r="1181" spans="1:15">
      <c r="A1181" s="1">
        <v>45068</v>
      </c>
      <c r="B1181" t="s">
        <v>23</v>
      </c>
      <c r="C1181" t="s">
        <v>19</v>
      </c>
      <c r="D1181">
        <v>1</v>
      </c>
      <c r="E1181" t="s">
        <v>9</v>
      </c>
      <c r="F1181">
        <v>60000</v>
      </c>
      <c r="G1181">
        <v>31000</v>
      </c>
      <c r="H1181">
        <f>Table1[[#This Row],[Qty]]*Table1[[#This Row],[SellingPrice]]</f>
        <v>60000</v>
      </c>
      <c r="I1181">
        <f>Table1[[#This Row],[Qty]]*Table1[[#This Row],[CostPrice]]</f>
        <v>31000</v>
      </c>
      <c r="J1181">
        <v>28797</v>
      </c>
      <c r="K1181">
        <v>202.99999999999997</v>
      </c>
      <c r="L1181" t="s">
        <v>8</v>
      </c>
      <c r="M1181" t="s">
        <v>29</v>
      </c>
      <c r="N1181">
        <f>MONTH(Table1[[#This Row],[SaleDate]])</f>
        <v>5</v>
      </c>
      <c r="O1181" t="str">
        <f>TEXT(Table1[[#This Row],[SaleDate]],"MMM")</f>
        <v>May</v>
      </c>
    </row>
    <row r="1182" spans="1:15">
      <c r="A1182" s="1">
        <v>45068</v>
      </c>
      <c r="B1182" t="s">
        <v>23</v>
      </c>
      <c r="C1182" t="s">
        <v>19</v>
      </c>
      <c r="D1182">
        <v>1</v>
      </c>
      <c r="E1182" t="s">
        <v>10</v>
      </c>
      <c r="F1182">
        <v>89000</v>
      </c>
      <c r="G1182">
        <v>65000</v>
      </c>
      <c r="H1182">
        <f>Table1[[#This Row],[Qty]]*Table1[[#This Row],[SellingPrice]]</f>
        <v>89000</v>
      </c>
      <c r="I1182">
        <f>Table1[[#This Row],[Qty]]*Table1[[#This Row],[CostPrice]]</f>
        <v>65000</v>
      </c>
      <c r="J1182">
        <v>23832</v>
      </c>
      <c r="K1182">
        <v>167.99999999999997</v>
      </c>
      <c r="L1182" t="s">
        <v>8</v>
      </c>
      <c r="M1182" t="s">
        <v>29</v>
      </c>
      <c r="N1182">
        <f>MONTH(Table1[[#This Row],[SaleDate]])</f>
        <v>5</v>
      </c>
      <c r="O1182" t="str">
        <f>TEXT(Table1[[#This Row],[SaleDate]],"MMM")</f>
        <v>May</v>
      </c>
    </row>
    <row r="1183" spans="1:15">
      <c r="A1183" s="1">
        <v>45068</v>
      </c>
      <c r="B1183" t="s">
        <v>26</v>
      </c>
      <c r="C1183" t="s">
        <v>20</v>
      </c>
      <c r="D1183">
        <v>1</v>
      </c>
      <c r="E1183" t="s">
        <v>7</v>
      </c>
      <c r="F1183">
        <v>33000</v>
      </c>
      <c r="G1183">
        <v>18000</v>
      </c>
      <c r="H1183">
        <f>Table1[[#This Row],[Qty]]*Table1[[#This Row],[SellingPrice]]</f>
        <v>33000</v>
      </c>
      <c r="I1183">
        <f>Table1[[#This Row],[Qty]]*Table1[[#This Row],[CostPrice]]</f>
        <v>18000</v>
      </c>
      <c r="J1183">
        <v>14895</v>
      </c>
      <c r="K1183">
        <v>104.99999999999999</v>
      </c>
      <c r="L1183" t="s">
        <v>11</v>
      </c>
      <c r="M1183" t="s">
        <v>30</v>
      </c>
      <c r="N1183">
        <f>MONTH(Table1[[#This Row],[SaleDate]])</f>
        <v>5</v>
      </c>
      <c r="O1183" t="str">
        <f>TEXT(Table1[[#This Row],[SaleDate]],"MMM")</f>
        <v>May</v>
      </c>
    </row>
    <row r="1184" spans="1:15">
      <c r="A1184" s="1">
        <v>45068</v>
      </c>
      <c r="B1184" t="s">
        <v>24</v>
      </c>
      <c r="C1184" t="s">
        <v>22</v>
      </c>
      <c r="D1184">
        <v>1</v>
      </c>
      <c r="E1184" t="s">
        <v>7</v>
      </c>
      <c r="F1184">
        <v>33000</v>
      </c>
      <c r="G1184">
        <v>18000</v>
      </c>
      <c r="H1184">
        <f>Table1[[#This Row],[Qty]]*Table1[[#This Row],[SellingPrice]]</f>
        <v>33000</v>
      </c>
      <c r="I1184">
        <f>Table1[[#This Row],[Qty]]*Table1[[#This Row],[CostPrice]]</f>
        <v>18000</v>
      </c>
      <c r="J1184">
        <v>14895</v>
      </c>
      <c r="K1184">
        <v>104.99999999999999</v>
      </c>
      <c r="L1184" t="s">
        <v>12</v>
      </c>
      <c r="M1184" t="s">
        <v>30</v>
      </c>
      <c r="N1184">
        <f>MONTH(Table1[[#This Row],[SaleDate]])</f>
        <v>5</v>
      </c>
      <c r="O1184" t="str">
        <f>TEXT(Table1[[#This Row],[SaleDate]],"MMM")</f>
        <v>May</v>
      </c>
    </row>
    <row r="1185" spans="1:15">
      <c r="A1185" s="1">
        <v>45068</v>
      </c>
      <c r="B1185" t="s">
        <v>24</v>
      </c>
      <c r="C1185" t="s">
        <v>22</v>
      </c>
      <c r="D1185">
        <v>1</v>
      </c>
      <c r="E1185" t="s">
        <v>9</v>
      </c>
      <c r="F1185">
        <v>60000</v>
      </c>
      <c r="G1185">
        <v>31000</v>
      </c>
      <c r="H1185">
        <f>Table1[[#This Row],[Qty]]*Table1[[#This Row],[SellingPrice]]</f>
        <v>60000</v>
      </c>
      <c r="I1185">
        <f>Table1[[#This Row],[Qty]]*Table1[[#This Row],[CostPrice]]</f>
        <v>31000</v>
      </c>
      <c r="J1185">
        <v>28797</v>
      </c>
      <c r="K1185">
        <v>202.99999999999997</v>
      </c>
      <c r="L1185" t="s">
        <v>12</v>
      </c>
      <c r="M1185" t="s">
        <v>30</v>
      </c>
      <c r="N1185">
        <f>MONTH(Table1[[#This Row],[SaleDate]])</f>
        <v>5</v>
      </c>
      <c r="O1185" t="str">
        <f>TEXT(Table1[[#This Row],[SaleDate]],"MMM")</f>
        <v>May</v>
      </c>
    </row>
    <row r="1186" spans="1:15">
      <c r="A1186" s="1">
        <v>45068</v>
      </c>
      <c r="B1186" t="s">
        <v>24</v>
      </c>
      <c r="C1186" t="s">
        <v>22</v>
      </c>
      <c r="D1186">
        <v>1</v>
      </c>
      <c r="E1186" t="s">
        <v>10</v>
      </c>
      <c r="F1186">
        <v>89000</v>
      </c>
      <c r="G1186">
        <v>65000</v>
      </c>
      <c r="H1186">
        <f>Table1[[#This Row],[Qty]]*Table1[[#This Row],[SellingPrice]]</f>
        <v>89000</v>
      </c>
      <c r="I1186">
        <f>Table1[[#This Row],[Qty]]*Table1[[#This Row],[CostPrice]]</f>
        <v>65000</v>
      </c>
      <c r="J1186">
        <v>23832</v>
      </c>
      <c r="K1186">
        <v>167.99999999999997</v>
      </c>
      <c r="L1186" t="s">
        <v>12</v>
      </c>
      <c r="M1186" t="s">
        <v>29</v>
      </c>
      <c r="N1186">
        <f>MONTH(Table1[[#This Row],[SaleDate]])</f>
        <v>5</v>
      </c>
      <c r="O1186" t="str">
        <f>TEXT(Table1[[#This Row],[SaleDate]],"MMM")</f>
        <v>May</v>
      </c>
    </row>
    <row r="1187" spans="1:15">
      <c r="A1187" s="1">
        <v>45068</v>
      </c>
      <c r="B1187" t="s">
        <v>25</v>
      </c>
      <c r="C1187" t="s">
        <v>21</v>
      </c>
      <c r="D1187">
        <v>1</v>
      </c>
      <c r="E1187" t="s">
        <v>7</v>
      </c>
      <c r="F1187">
        <v>33000</v>
      </c>
      <c r="G1187">
        <v>18000</v>
      </c>
      <c r="H1187">
        <f>Table1[[#This Row],[Qty]]*Table1[[#This Row],[SellingPrice]]</f>
        <v>33000</v>
      </c>
      <c r="I1187">
        <f>Table1[[#This Row],[Qty]]*Table1[[#This Row],[CostPrice]]</f>
        <v>18000</v>
      </c>
      <c r="J1187">
        <v>14895</v>
      </c>
      <c r="K1187">
        <v>104.99999999999999</v>
      </c>
      <c r="L1187" t="s">
        <v>13</v>
      </c>
      <c r="M1187" t="s">
        <v>29</v>
      </c>
      <c r="N1187">
        <f>MONTH(Table1[[#This Row],[SaleDate]])</f>
        <v>5</v>
      </c>
      <c r="O1187" t="str">
        <f>TEXT(Table1[[#This Row],[SaleDate]],"MMM")</f>
        <v>May</v>
      </c>
    </row>
    <row r="1188" spans="1:15">
      <c r="A1188" s="1">
        <v>45068</v>
      </c>
      <c r="B1188" t="s">
        <v>25</v>
      </c>
      <c r="C1188" t="s">
        <v>21</v>
      </c>
      <c r="D1188">
        <v>1</v>
      </c>
      <c r="E1188" t="s">
        <v>9</v>
      </c>
      <c r="F1188">
        <v>60000</v>
      </c>
      <c r="G1188">
        <v>31000</v>
      </c>
      <c r="H1188">
        <f>Table1[[#This Row],[Qty]]*Table1[[#This Row],[SellingPrice]]</f>
        <v>60000</v>
      </c>
      <c r="I1188">
        <f>Table1[[#This Row],[Qty]]*Table1[[#This Row],[CostPrice]]</f>
        <v>31000</v>
      </c>
      <c r="J1188">
        <v>28797</v>
      </c>
      <c r="K1188">
        <v>202.99999999999997</v>
      </c>
      <c r="L1188" t="s">
        <v>13</v>
      </c>
      <c r="M1188" t="s">
        <v>30</v>
      </c>
      <c r="N1188">
        <f>MONTH(Table1[[#This Row],[SaleDate]])</f>
        <v>5</v>
      </c>
      <c r="O1188" t="str">
        <f>TEXT(Table1[[#This Row],[SaleDate]],"MMM")</f>
        <v>May</v>
      </c>
    </row>
    <row r="1189" spans="1:15">
      <c r="A1189" s="1">
        <v>45068</v>
      </c>
      <c r="B1189" t="s">
        <v>25</v>
      </c>
      <c r="C1189" t="s">
        <v>21</v>
      </c>
      <c r="D1189">
        <v>1</v>
      </c>
      <c r="E1189" t="s">
        <v>10</v>
      </c>
      <c r="F1189">
        <v>89000</v>
      </c>
      <c r="G1189">
        <v>65000</v>
      </c>
      <c r="H1189">
        <f>Table1[[#This Row],[Qty]]*Table1[[#This Row],[SellingPrice]]</f>
        <v>89000</v>
      </c>
      <c r="I1189">
        <f>Table1[[#This Row],[Qty]]*Table1[[#This Row],[CostPrice]]</f>
        <v>65000</v>
      </c>
      <c r="J1189">
        <v>23832</v>
      </c>
      <c r="K1189">
        <v>167.99999999999997</v>
      </c>
      <c r="L1189" t="s">
        <v>13</v>
      </c>
      <c r="M1189" t="s">
        <v>27</v>
      </c>
      <c r="N1189">
        <f>MONTH(Table1[[#This Row],[SaleDate]])</f>
        <v>5</v>
      </c>
      <c r="O1189" t="str">
        <f>TEXT(Table1[[#This Row],[SaleDate]],"MMM")</f>
        <v>May</v>
      </c>
    </row>
    <row r="1190" spans="1:15">
      <c r="A1190" s="1">
        <v>45069</v>
      </c>
      <c r="B1190" t="s">
        <v>23</v>
      </c>
      <c r="C1190" t="s">
        <v>19</v>
      </c>
      <c r="D1190">
        <v>2</v>
      </c>
      <c r="E1190" t="s">
        <v>7</v>
      </c>
      <c r="F1190">
        <v>33000</v>
      </c>
      <c r="G1190">
        <v>18000</v>
      </c>
      <c r="H1190">
        <f>Table1[[#This Row],[Qty]]*Table1[[#This Row],[SellingPrice]]</f>
        <v>66000</v>
      </c>
      <c r="I1190">
        <f>Table1[[#This Row],[Qty]]*Table1[[#This Row],[CostPrice]]</f>
        <v>36000</v>
      </c>
      <c r="J1190">
        <v>29790</v>
      </c>
      <c r="K1190">
        <v>209.99999999999997</v>
      </c>
      <c r="L1190" t="s">
        <v>8</v>
      </c>
      <c r="M1190" t="s">
        <v>30</v>
      </c>
      <c r="N1190">
        <f>MONTH(Table1[[#This Row],[SaleDate]])</f>
        <v>5</v>
      </c>
      <c r="O1190" t="str">
        <f>TEXT(Table1[[#This Row],[SaleDate]],"MMM")</f>
        <v>May</v>
      </c>
    </row>
    <row r="1191" spans="1:15">
      <c r="A1191" s="1">
        <v>45069</v>
      </c>
      <c r="B1191" t="s">
        <v>23</v>
      </c>
      <c r="C1191" t="s">
        <v>19</v>
      </c>
      <c r="D1191">
        <v>2</v>
      </c>
      <c r="E1191" t="s">
        <v>9</v>
      </c>
      <c r="F1191">
        <v>60000</v>
      </c>
      <c r="G1191">
        <v>31000</v>
      </c>
      <c r="H1191">
        <f>Table1[[#This Row],[Qty]]*Table1[[#This Row],[SellingPrice]]</f>
        <v>120000</v>
      </c>
      <c r="I1191">
        <f>Table1[[#This Row],[Qty]]*Table1[[#This Row],[CostPrice]]</f>
        <v>62000</v>
      </c>
      <c r="J1191">
        <v>57594</v>
      </c>
      <c r="K1191">
        <v>405.99999999999994</v>
      </c>
      <c r="L1191" t="s">
        <v>8</v>
      </c>
      <c r="M1191" t="s">
        <v>30</v>
      </c>
      <c r="N1191">
        <f>MONTH(Table1[[#This Row],[SaleDate]])</f>
        <v>5</v>
      </c>
      <c r="O1191" t="str">
        <f>TEXT(Table1[[#This Row],[SaleDate]],"MMM")</f>
        <v>May</v>
      </c>
    </row>
    <row r="1192" spans="1:15">
      <c r="A1192" s="1">
        <v>45069</v>
      </c>
      <c r="B1192" t="s">
        <v>23</v>
      </c>
      <c r="C1192" t="s">
        <v>19</v>
      </c>
      <c r="D1192">
        <v>2</v>
      </c>
      <c r="E1192" t="s">
        <v>10</v>
      </c>
      <c r="F1192">
        <v>89000</v>
      </c>
      <c r="G1192">
        <v>65000</v>
      </c>
      <c r="H1192">
        <f>Table1[[#This Row],[Qty]]*Table1[[#This Row],[SellingPrice]]</f>
        <v>178000</v>
      </c>
      <c r="I1192">
        <f>Table1[[#This Row],[Qty]]*Table1[[#This Row],[CostPrice]]</f>
        <v>130000</v>
      </c>
      <c r="J1192">
        <v>47664</v>
      </c>
      <c r="K1192">
        <v>335.99999999999994</v>
      </c>
      <c r="L1192" t="s">
        <v>8</v>
      </c>
      <c r="M1192" t="s">
        <v>30</v>
      </c>
      <c r="N1192">
        <f>MONTH(Table1[[#This Row],[SaleDate]])</f>
        <v>5</v>
      </c>
      <c r="O1192" t="str">
        <f>TEXT(Table1[[#This Row],[SaleDate]],"MMM")</f>
        <v>May</v>
      </c>
    </row>
    <row r="1193" spans="1:15">
      <c r="A1193" s="1">
        <v>45069</v>
      </c>
      <c r="B1193" t="s">
        <v>26</v>
      </c>
      <c r="C1193" t="s">
        <v>20</v>
      </c>
      <c r="D1193">
        <v>2</v>
      </c>
      <c r="E1193" t="s">
        <v>7</v>
      </c>
      <c r="F1193">
        <v>33000</v>
      </c>
      <c r="G1193">
        <v>18000</v>
      </c>
      <c r="H1193">
        <f>Table1[[#This Row],[Qty]]*Table1[[#This Row],[SellingPrice]]</f>
        <v>66000</v>
      </c>
      <c r="I1193">
        <f>Table1[[#This Row],[Qty]]*Table1[[#This Row],[CostPrice]]</f>
        <v>36000</v>
      </c>
      <c r="J1193">
        <v>29790</v>
      </c>
      <c r="K1193">
        <v>209.99999999999997</v>
      </c>
      <c r="L1193" t="s">
        <v>11</v>
      </c>
      <c r="M1193" t="s">
        <v>29</v>
      </c>
      <c r="N1193">
        <f>MONTH(Table1[[#This Row],[SaleDate]])</f>
        <v>5</v>
      </c>
      <c r="O1193" t="str">
        <f>TEXT(Table1[[#This Row],[SaleDate]],"MMM")</f>
        <v>May</v>
      </c>
    </row>
    <row r="1194" spans="1:15">
      <c r="A1194" s="1">
        <v>45069</v>
      </c>
      <c r="B1194" t="s">
        <v>24</v>
      </c>
      <c r="C1194" t="s">
        <v>22</v>
      </c>
      <c r="D1194">
        <v>2</v>
      </c>
      <c r="E1194" t="s">
        <v>7</v>
      </c>
      <c r="F1194">
        <v>33000</v>
      </c>
      <c r="G1194">
        <v>18000</v>
      </c>
      <c r="H1194">
        <f>Table1[[#This Row],[Qty]]*Table1[[#This Row],[SellingPrice]]</f>
        <v>66000</v>
      </c>
      <c r="I1194">
        <f>Table1[[#This Row],[Qty]]*Table1[[#This Row],[CostPrice]]</f>
        <v>36000</v>
      </c>
      <c r="J1194">
        <v>29790</v>
      </c>
      <c r="K1194">
        <v>209.99999999999997</v>
      </c>
      <c r="L1194" t="s">
        <v>12</v>
      </c>
      <c r="M1194" t="s">
        <v>30</v>
      </c>
      <c r="N1194">
        <f>MONTH(Table1[[#This Row],[SaleDate]])</f>
        <v>5</v>
      </c>
      <c r="O1194" t="str">
        <f>TEXT(Table1[[#This Row],[SaleDate]],"MMM")</f>
        <v>May</v>
      </c>
    </row>
    <row r="1195" spans="1:15">
      <c r="A1195" s="1">
        <v>45069</v>
      </c>
      <c r="B1195" t="s">
        <v>24</v>
      </c>
      <c r="C1195" t="s">
        <v>22</v>
      </c>
      <c r="D1195">
        <v>2</v>
      </c>
      <c r="E1195" t="s">
        <v>9</v>
      </c>
      <c r="F1195">
        <v>60000</v>
      </c>
      <c r="G1195">
        <v>31000</v>
      </c>
      <c r="H1195">
        <f>Table1[[#This Row],[Qty]]*Table1[[#This Row],[SellingPrice]]</f>
        <v>120000</v>
      </c>
      <c r="I1195">
        <f>Table1[[#This Row],[Qty]]*Table1[[#This Row],[CostPrice]]</f>
        <v>62000</v>
      </c>
      <c r="J1195">
        <v>57594</v>
      </c>
      <c r="K1195">
        <v>405.99999999999994</v>
      </c>
      <c r="L1195" t="s">
        <v>12</v>
      </c>
      <c r="M1195" t="s">
        <v>29</v>
      </c>
      <c r="N1195">
        <f>MONTH(Table1[[#This Row],[SaleDate]])</f>
        <v>5</v>
      </c>
      <c r="O1195" t="str">
        <f>TEXT(Table1[[#This Row],[SaleDate]],"MMM")</f>
        <v>May</v>
      </c>
    </row>
    <row r="1196" spans="1:15">
      <c r="A1196" s="1">
        <v>45069</v>
      </c>
      <c r="B1196" t="s">
        <v>24</v>
      </c>
      <c r="C1196" t="s">
        <v>22</v>
      </c>
      <c r="D1196">
        <v>2</v>
      </c>
      <c r="E1196" t="s">
        <v>10</v>
      </c>
      <c r="F1196">
        <v>89000</v>
      </c>
      <c r="G1196">
        <v>65000</v>
      </c>
      <c r="H1196">
        <f>Table1[[#This Row],[Qty]]*Table1[[#This Row],[SellingPrice]]</f>
        <v>178000</v>
      </c>
      <c r="I1196">
        <f>Table1[[#This Row],[Qty]]*Table1[[#This Row],[CostPrice]]</f>
        <v>130000</v>
      </c>
      <c r="J1196">
        <v>47664</v>
      </c>
      <c r="K1196">
        <v>335.99999999999994</v>
      </c>
      <c r="L1196" t="s">
        <v>12</v>
      </c>
      <c r="M1196" t="s">
        <v>28</v>
      </c>
      <c r="N1196">
        <f>MONTH(Table1[[#This Row],[SaleDate]])</f>
        <v>5</v>
      </c>
      <c r="O1196" t="str">
        <f>TEXT(Table1[[#This Row],[SaleDate]],"MMM")</f>
        <v>May</v>
      </c>
    </row>
    <row r="1197" spans="1:15">
      <c r="A1197" s="1">
        <v>45069</v>
      </c>
      <c r="B1197" t="s">
        <v>25</v>
      </c>
      <c r="C1197" t="s">
        <v>21</v>
      </c>
      <c r="D1197">
        <v>2</v>
      </c>
      <c r="E1197" t="s">
        <v>7</v>
      </c>
      <c r="F1197">
        <v>33000</v>
      </c>
      <c r="G1197">
        <v>18000</v>
      </c>
      <c r="H1197">
        <f>Table1[[#This Row],[Qty]]*Table1[[#This Row],[SellingPrice]]</f>
        <v>66000</v>
      </c>
      <c r="I1197">
        <f>Table1[[#This Row],[Qty]]*Table1[[#This Row],[CostPrice]]</f>
        <v>36000</v>
      </c>
      <c r="J1197">
        <v>29790</v>
      </c>
      <c r="K1197">
        <v>209.99999999999997</v>
      </c>
      <c r="L1197" t="s">
        <v>13</v>
      </c>
      <c r="M1197" t="s">
        <v>30</v>
      </c>
      <c r="N1197">
        <f>MONTH(Table1[[#This Row],[SaleDate]])</f>
        <v>5</v>
      </c>
      <c r="O1197" t="str">
        <f>TEXT(Table1[[#This Row],[SaleDate]],"MMM")</f>
        <v>May</v>
      </c>
    </row>
    <row r="1198" spans="1:15">
      <c r="A1198" s="1">
        <v>45069</v>
      </c>
      <c r="B1198" t="s">
        <v>25</v>
      </c>
      <c r="C1198" t="s">
        <v>21</v>
      </c>
      <c r="D1198">
        <v>2</v>
      </c>
      <c r="E1198" t="s">
        <v>9</v>
      </c>
      <c r="F1198">
        <v>60000</v>
      </c>
      <c r="G1198">
        <v>31000</v>
      </c>
      <c r="H1198">
        <f>Table1[[#This Row],[Qty]]*Table1[[#This Row],[SellingPrice]]</f>
        <v>120000</v>
      </c>
      <c r="I1198">
        <f>Table1[[#This Row],[Qty]]*Table1[[#This Row],[CostPrice]]</f>
        <v>62000</v>
      </c>
      <c r="J1198">
        <v>57594</v>
      </c>
      <c r="K1198">
        <v>405.99999999999994</v>
      </c>
      <c r="L1198" t="s">
        <v>13</v>
      </c>
      <c r="M1198" t="s">
        <v>29</v>
      </c>
      <c r="N1198">
        <f>MONTH(Table1[[#This Row],[SaleDate]])</f>
        <v>5</v>
      </c>
      <c r="O1198" t="str">
        <f>TEXT(Table1[[#This Row],[SaleDate]],"MMM")</f>
        <v>May</v>
      </c>
    </row>
    <row r="1199" spans="1:15">
      <c r="A1199" s="1">
        <v>45069</v>
      </c>
      <c r="B1199" t="s">
        <v>25</v>
      </c>
      <c r="C1199" t="s">
        <v>21</v>
      </c>
      <c r="D1199">
        <v>2</v>
      </c>
      <c r="E1199" t="s">
        <v>10</v>
      </c>
      <c r="F1199">
        <v>89000</v>
      </c>
      <c r="G1199">
        <v>65000</v>
      </c>
      <c r="H1199">
        <f>Table1[[#This Row],[Qty]]*Table1[[#This Row],[SellingPrice]]</f>
        <v>178000</v>
      </c>
      <c r="I1199">
        <f>Table1[[#This Row],[Qty]]*Table1[[#This Row],[CostPrice]]</f>
        <v>130000</v>
      </c>
      <c r="J1199">
        <v>47664</v>
      </c>
      <c r="K1199">
        <v>335.99999999999994</v>
      </c>
      <c r="L1199" t="s">
        <v>13</v>
      </c>
      <c r="M1199" t="s">
        <v>30</v>
      </c>
      <c r="N1199">
        <f>MONTH(Table1[[#This Row],[SaleDate]])</f>
        <v>5</v>
      </c>
      <c r="O1199" t="str">
        <f>TEXT(Table1[[#This Row],[SaleDate]],"MMM")</f>
        <v>May</v>
      </c>
    </row>
    <row r="1200" spans="1:15">
      <c r="A1200" s="1">
        <v>45070</v>
      </c>
      <c r="B1200" t="s">
        <v>23</v>
      </c>
      <c r="C1200" t="s">
        <v>19</v>
      </c>
      <c r="D1200">
        <v>1</v>
      </c>
      <c r="E1200" t="s">
        <v>7</v>
      </c>
      <c r="F1200">
        <v>33000</v>
      </c>
      <c r="G1200">
        <v>18000</v>
      </c>
      <c r="H1200">
        <f>Table1[[#This Row],[Qty]]*Table1[[#This Row],[SellingPrice]]</f>
        <v>33000</v>
      </c>
      <c r="I1200">
        <f>Table1[[#This Row],[Qty]]*Table1[[#This Row],[CostPrice]]</f>
        <v>18000</v>
      </c>
      <c r="J1200">
        <v>14895</v>
      </c>
      <c r="K1200">
        <v>104.99999999999999</v>
      </c>
      <c r="L1200" t="s">
        <v>8</v>
      </c>
      <c r="M1200" t="s">
        <v>27</v>
      </c>
      <c r="N1200">
        <f>MONTH(Table1[[#This Row],[SaleDate]])</f>
        <v>5</v>
      </c>
      <c r="O1200" t="str">
        <f>TEXT(Table1[[#This Row],[SaleDate]],"MMM")</f>
        <v>May</v>
      </c>
    </row>
    <row r="1201" spans="1:15">
      <c r="A1201" s="1">
        <v>45070</v>
      </c>
      <c r="B1201" t="s">
        <v>23</v>
      </c>
      <c r="C1201" t="s">
        <v>19</v>
      </c>
      <c r="D1201">
        <v>1</v>
      </c>
      <c r="E1201" t="s">
        <v>9</v>
      </c>
      <c r="F1201">
        <v>60000</v>
      </c>
      <c r="G1201">
        <v>31000</v>
      </c>
      <c r="H1201">
        <f>Table1[[#This Row],[Qty]]*Table1[[#This Row],[SellingPrice]]</f>
        <v>60000</v>
      </c>
      <c r="I1201">
        <f>Table1[[#This Row],[Qty]]*Table1[[#This Row],[CostPrice]]</f>
        <v>31000</v>
      </c>
      <c r="J1201">
        <v>28797</v>
      </c>
      <c r="K1201">
        <v>202.99999999999997</v>
      </c>
      <c r="L1201" t="s">
        <v>8</v>
      </c>
      <c r="M1201" t="s">
        <v>30</v>
      </c>
      <c r="N1201">
        <f>MONTH(Table1[[#This Row],[SaleDate]])</f>
        <v>5</v>
      </c>
      <c r="O1201" t="str">
        <f>TEXT(Table1[[#This Row],[SaleDate]],"MMM")</f>
        <v>May</v>
      </c>
    </row>
    <row r="1202" spans="1:15">
      <c r="A1202" s="1">
        <v>45070</v>
      </c>
      <c r="B1202" t="s">
        <v>23</v>
      </c>
      <c r="C1202" t="s">
        <v>19</v>
      </c>
      <c r="D1202">
        <v>1</v>
      </c>
      <c r="E1202" t="s">
        <v>10</v>
      </c>
      <c r="F1202">
        <v>89000</v>
      </c>
      <c r="G1202">
        <v>65000</v>
      </c>
      <c r="H1202">
        <f>Table1[[#This Row],[Qty]]*Table1[[#This Row],[SellingPrice]]</f>
        <v>89000</v>
      </c>
      <c r="I1202">
        <f>Table1[[#This Row],[Qty]]*Table1[[#This Row],[CostPrice]]</f>
        <v>65000</v>
      </c>
      <c r="J1202">
        <v>23832</v>
      </c>
      <c r="K1202">
        <v>167.99999999999997</v>
      </c>
      <c r="L1202" t="s">
        <v>8</v>
      </c>
      <c r="M1202" t="s">
        <v>27</v>
      </c>
      <c r="N1202">
        <f>MONTH(Table1[[#This Row],[SaleDate]])</f>
        <v>5</v>
      </c>
      <c r="O1202" t="str">
        <f>TEXT(Table1[[#This Row],[SaleDate]],"MMM")</f>
        <v>May</v>
      </c>
    </row>
    <row r="1203" spans="1:15">
      <c r="A1203" s="1">
        <v>45070</v>
      </c>
      <c r="B1203" t="s">
        <v>26</v>
      </c>
      <c r="C1203" t="s">
        <v>20</v>
      </c>
      <c r="D1203">
        <v>1</v>
      </c>
      <c r="E1203" t="s">
        <v>7</v>
      </c>
      <c r="F1203">
        <v>33000</v>
      </c>
      <c r="G1203">
        <v>18000</v>
      </c>
      <c r="H1203">
        <f>Table1[[#This Row],[Qty]]*Table1[[#This Row],[SellingPrice]]</f>
        <v>33000</v>
      </c>
      <c r="I1203">
        <f>Table1[[#This Row],[Qty]]*Table1[[#This Row],[CostPrice]]</f>
        <v>18000</v>
      </c>
      <c r="J1203">
        <v>14895</v>
      </c>
      <c r="K1203">
        <v>104.99999999999999</v>
      </c>
      <c r="L1203" t="s">
        <v>11</v>
      </c>
      <c r="M1203" t="s">
        <v>29</v>
      </c>
      <c r="N1203">
        <f>MONTH(Table1[[#This Row],[SaleDate]])</f>
        <v>5</v>
      </c>
      <c r="O1203" t="str">
        <f>TEXT(Table1[[#This Row],[SaleDate]],"MMM")</f>
        <v>May</v>
      </c>
    </row>
    <row r="1204" spans="1:15">
      <c r="A1204" s="1">
        <v>45070</v>
      </c>
      <c r="B1204" t="s">
        <v>24</v>
      </c>
      <c r="C1204" t="s">
        <v>22</v>
      </c>
      <c r="D1204">
        <v>1</v>
      </c>
      <c r="E1204" t="s">
        <v>7</v>
      </c>
      <c r="F1204">
        <v>33000</v>
      </c>
      <c r="G1204">
        <v>18000</v>
      </c>
      <c r="H1204">
        <f>Table1[[#This Row],[Qty]]*Table1[[#This Row],[SellingPrice]]</f>
        <v>33000</v>
      </c>
      <c r="I1204">
        <f>Table1[[#This Row],[Qty]]*Table1[[#This Row],[CostPrice]]</f>
        <v>18000</v>
      </c>
      <c r="J1204">
        <v>14895</v>
      </c>
      <c r="K1204">
        <v>104.99999999999999</v>
      </c>
      <c r="L1204" t="s">
        <v>12</v>
      </c>
      <c r="M1204" t="s">
        <v>30</v>
      </c>
      <c r="N1204">
        <f>MONTH(Table1[[#This Row],[SaleDate]])</f>
        <v>5</v>
      </c>
      <c r="O1204" t="str">
        <f>TEXT(Table1[[#This Row],[SaleDate]],"MMM")</f>
        <v>May</v>
      </c>
    </row>
    <row r="1205" spans="1:15">
      <c r="A1205" s="1">
        <v>45070</v>
      </c>
      <c r="B1205" t="s">
        <v>24</v>
      </c>
      <c r="C1205" t="s">
        <v>22</v>
      </c>
      <c r="D1205">
        <v>1</v>
      </c>
      <c r="E1205" t="s">
        <v>9</v>
      </c>
      <c r="F1205">
        <v>60000</v>
      </c>
      <c r="G1205">
        <v>31000</v>
      </c>
      <c r="H1205">
        <f>Table1[[#This Row],[Qty]]*Table1[[#This Row],[SellingPrice]]</f>
        <v>60000</v>
      </c>
      <c r="I1205">
        <f>Table1[[#This Row],[Qty]]*Table1[[#This Row],[CostPrice]]</f>
        <v>31000</v>
      </c>
      <c r="J1205">
        <v>28797</v>
      </c>
      <c r="K1205">
        <v>202.99999999999997</v>
      </c>
      <c r="L1205" t="s">
        <v>12</v>
      </c>
      <c r="M1205" t="s">
        <v>30</v>
      </c>
      <c r="N1205">
        <f>MONTH(Table1[[#This Row],[SaleDate]])</f>
        <v>5</v>
      </c>
      <c r="O1205" t="str">
        <f>TEXT(Table1[[#This Row],[SaleDate]],"MMM")</f>
        <v>May</v>
      </c>
    </row>
    <row r="1206" spans="1:15">
      <c r="A1206" s="1">
        <v>45070</v>
      </c>
      <c r="B1206" t="s">
        <v>24</v>
      </c>
      <c r="C1206" t="s">
        <v>22</v>
      </c>
      <c r="D1206">
        <v>1</v>
      </c>
      <c r="E1206" t="s">
        <v>10</v>
      </c>
      <c r="F1206">
        <v>89000</v>
      </c>
      <c r="G1206">
        <v>65000</v>
      </c>
      <c r="H1206">
        <f>Table1[[#This Row],[Qty]]*Table1[[#This Row],[SellingPrice]]</f>
        <v>89000</v>
      </c>
      <c r="I1206">
        <f>Table1[[#This Row],[Qty]]*Table1[[#This Row],[CostPrice]]</f>
        <v>65000</v>
      </c>
      <c r="J1206">
        <v>23832</v>
      </c>
      <c r="K1206">
        <v>167.99999999999997</v>
      </c>
      <c r="L1206" t="s">
        <v>12</v>
      </c>
      <c r="M1206" t="s">
        <v>27</v>
      </c>
      <c r="N1206">
        <f>MONTH(Table1[[#This Row],[SaleDate]])</f>
        <v>5</v>
      </c>
      <c r="O1206" t="str">
        <f>TEXT(Table1[[#This Row],[SaleDate]],"MMM")</f>
        <v>May</v>
      </c>
    </row>
    <row r="1207" spans="1:15">
      <c r="A1207" s="1">
        <v>45070</v>
      </c>
      <c r="B1207" t="s">
        <v>25</v>
      </c>
      <c r="C1207" t="s">
        <v>21</v>
      </c>
      <c r="D1207">
        <v>1</v>
      </c>
      <c r="E1207" t="s">
        <v>7</v>
      </c>
      <c r="F1207">
        <v>33000</v>
      </c>
      <c r="G1207">
        <v>18000</v>
      </c>
      <c r="H1207">
        <f>Table1[[#This Row],[Qty]]*Table1[[#This Row],[SellingPrice]]</f>
        <v>33000</v>
      </c>
      <c r="I1207">
        <f>Table1[[#This Row],[Qty]]*Table1[[#This Row],[CostPrice]]</f>
        <v>18000</v>
      </c>
      <c r="J1207">
        <v>14895</v>
      </c>
      <c r="K1207">
        <v>104.99999999999999</v>
      </c>
      <c r="L1207" t="s">
        <v>13</v>
      </c>
      <c r="M1207" t="s">
        <v>30</v>
      </c>
      <c r="N1207">
        <f>MONTH(Table1[[#This Row],[SaleDate]])</f>
        <v>5</v>
      </c>
      <c r="O1207" t="str">
        <f>TEXT(Table1[[#This Row],[SaleDate]],"MMM")</f>
        <v>May</v>
      </c>
    </row>
    <row r="1208" spans="1:15">
      <c r="A1208" s="1">
        <v>45070</v>
      </c>
      <c r="B1208" t="s">
        <v>25</v>
      </c>
      <c r="C1208" t="s">
        <v>21</v>
      </c>
      <c r="D1208">
        <v>1</v>
      </c>
      <c r="E1208" t="s">
        <v>9</v>
      </c>
      <c r="F1208">
        <v>60000</v>
      </c>
      <c r="G1208">
        <v>31000</v>
      </c>
      <c r="H1208">
        <f>Table1[[#This Row],[Qty]]*Table1[[#This Row],[SellingPrice]]</f>
        <v>60000</v>
      </c>
      <c r="I1208">
        <f>Table1[[#This Row],[Qty]]*Table1[[#This Row],[CostPrice]]</f>
        <v>31000</v>
      </c>
      <c r="J1208">
        <v>28797</v>
      </c>
      <c r="K1208">
        <v>202.99999999999997</v>
      </c>
      <c r="L1208" t="s">
        <v>13</v>
      </c>
      <c r="M1208" t="s">
        <v>29</v>
      </c>
      <c r="N1208">
        <f>MONTH(Table1[[#This Row],[SaleDate]])</f>
        <v>5</v>
      </c>
      <c r="O1208" t="str">
        <f>TEXT(Table1[[#This Row],[SaleDate]],"MMM")</f>
        <v>May</v>
      </c>
    </row>
    <row r="1209" spans="1:15">
      <c r="A1209" s="1">
        <v>45070</v>
      </c>
      <c r="B1209" t="s">
        <v>25</v>
      </c>
      <c r="C1209" t="s">
        <v>21</v>
      </c>
      <c r="D1209">
        <v>1</v>
      </c>
      <c r="E1209" t="s">
        <v>10</v>
      </c>
      <c r="F1209">
        <v>89000</v>
      </c>
      <c r="G1209">
        <v>65000</v>
      </c>
      <c r="H1209">
        <f>Table1[[#This Row],[Qty]]*Table1[[#This Row],[SellingPrice]]</f>
        <v>89000</v>
      </c>
      <c r="I1209">
        <f>Table1[[#This Row],[Qty]]*Table1[[#This Row],[CostPrice]]</f>
        <v>65000</v>
      </c>
      <c r="J1209">
        <v>23832</v>
      </c>
      <c r="K1209">
        <v>167.99999999999997</v>
      </c>
      <c r="L1209" t="s">
        <v>13</v>
      </c>
      <c r="M1209" t="s">
        <v>28</v>
      </c>
      <c r="N1209">
        <f>MONTH(Table1[[#This Row],[SaleDate]])</f>
        <v>5</v>
      </c>
      <c r="O1209" t="str">
        <f>TEXT(Table1[[#This Row],[SaleDate]],"MMM")</f>
        <v>May</v>
      </c>
    </row>
    <row r="1210" spans="1:15">
      <c r="A1210" s="1">
        <v>45071</v>
      </c>
      <c r="B1210" t="s">
        <v>23</v>
      </c>
      <c r="C1210" t="s">
        <v>19</v>
      </c>
      <c r="D1210">
        <v>1</v>
      </c>
      <c r="E1210" t="s">
        <v>7</v>
      </c>
      <c r="F1210">
        <v>33000</v>
      </c>
      <c r="G1210">
        <v>18000</v>
      </c>
      <c r="H1210">
        <f>Table1[[#This Row],[Qty]]*Table1[[#This Row],[SellingPrice]]</f>
        <v>33000</v>
      </c>
      <c r="I1210">
        <f>Table1[[#This Row],[Qty]]*Table1[[#This Row],[CostPrice]]</f>
        <v>18000</v>
      </c>
      <c r="J1210">
        <v>14895</v>
      </c>
      <c r="K1210">
        <v>104.99999999999999</v>
      </c>
      <c r="L1210" t="s">
        <v>8</v>
      </c>
      <c r="M1210" t="s">
        <v>30</v>
      </c>
      <c r="N1210">
        <f>MONTH(Table1[[#This Row],[SaleDate]])</f>
        <v>5</v>
      </c>
      <c r="O1210" t="str">
        <f>TEXT(Table1[[#This Row],[SaleDate]],"MMM")</f>
        <v>May</v>
      </c>
    </row>
    <row r="1211" spans="1:15">
      <c r="A1211" s="1">
        <v>45071</v>
      </c>
      <c r="B1211" t="s">
        <v>23</v>
      </c>
      <c r="C1211" t="s">
        <v>19</v>
      </c>
      <c r="D1211">
        <v>1</v>
      </c>
      <c r="E1211" t="s">
        <v>9</v>
      </c>
      <c r="F1211">
        <v>60000</v>
      </c>
      <c r="G1211">
        <v>31000</v>
      </c>
      <c r="H1211">
        <f>Table1[[#This Row],[Qty]]*Table1[[#This Row],[SellingPrice]]</f>
        <v>60000</v>
      </c>
      <c r="I1211">
        <f>Table1[[#This Row],[Qty]]*Table1[[#This Row],[CostPrice]]</f>
        <v>31000</v>
      </c>
      <c r="J1211">
        <v>28797</v>
      </c>
      <c r="K1211">
        <v>202.99999999999997</v>
      </c>
      <c r="L1211" t="s">
        <v>8</v>
      </c>
      <c r="M1211" t="s">
        <v>27</v>
      </c>
      <c r="N1211">
        <f>MONTH(Table1[[#This Row],[SaleDate]])</f>
        <v>5</v>
      </c>
      <c r="O1211" t="str">
        <f>TEXT(Table1[[#This Row],[SaleDate]],"MMM")</f>
        <v>May</v>
      </c>
    </row>
    <row r="1212" spans="1:15">
      <c r="A1212" s="1">
        <v>45071</v>
      </c>
      <c r="B1212" t="s">
        <v>23</v>
      </c>
      <c r="C1212" t="s">
        <v>19</v>
      </c>
      <c r="D1212">
        <v>1</v>
      </c>
      <c r="E1212" t="s">
        <v>10</v>
      </c>
      <c r="F1212">
        <v>89000</v>
      </c>
      <c r="G1212">
        <v>65000</v>
      </c>
      <c r="H1212">
        <f>Table1[[#This Row],[Qty]]*Table1[[#This Row],[SellingPrice]]</f>
        <v>89000</v>
      </c>
      <c r="I1212">
        <f>Table1[[#This Row],[Qty]]*Table1[[#This Row],[CostPrice]]</f>
        <v>65000</v>
      </c>
      <c r="J1212">
        <v>23832</v>
      </c>
      <c r="K1212">
        <v>167.99999999999997</v>
      </c>
      <c r="L1212" t="s">
        <v>8</v>
      </c>
      <c r="M1212" t="s">
        <v>29</v>
      </c>
      <c r="N1212">
        <f>MONTH(Table1[[#This Row],[SaleDate]])</f>
        <v>5</v>
      </c>
      <c r="O1212" t="str">
        <f>TEXT(Table1[[#This Row],[SaleDate]],"MMM")</f>
        <v>May</v>
      </c>
    </row>
    <row r="1213" spans="1:15">
      <c r="A1213" s="1">
        <v>45071</v>
      </c>
      <c r="B1213" t="s">
        <v>26</v>
      </c>
      <c r="C1213" t="s">
        <v>20</v>
      </c>
      <c r="D1213">
        <v>1</v>
      </c>
      <c r="E1213" t="s">
        <v>7</v>
      </c>
      <c r="F1213">
        <v>33000</v>
      </c>
      <c r="G1213">
        <v>18000</v>
      </c>
      <c r="H1213">
        <f>Table1[[#This Row],[Qty]]*Table1[[#This Row],[SellingPrice]]</f>
        <v>33000</v>
      </c>
      <c r="I1213">
        <f>Table1[[#This Row],[Qty]]*Table1[[#This Row],[CostPrice]]</f>
        <v>18000</v>
      </c>
      <c r="J1213">
        <v>14895</v>
      </c>
      <c r="K1213">
        <v>104.99999999999999</v>
      </c>
      <c r="L1213" t="s">
        <v>11</v>
      </c>
      <c r="M1213" t="s">
        <v>30</v>
      </c>
      <c r="N1213">
        <f>MONTH(Table1[[#This Row],[SaleDate]])</f>
        <v>5</v>
      </c>
      <c r="O1213" t="str">
        <f>TEXT(Table1[[#This Row],[SaleDate]],"MMM")</f>
        <v>May</v>
      </c>
    </row>
    <row r="1214" spans="1:15">
      <c r="A1214" s="1">
        <v>45071</v>
      </c>
      <c r="B1214" t="s">
        <v>24</v>
      </c>
      <c r="C1214" t="s">
        <v>22</v>
      </c>
      <c r="D1214">
        <v>1</v>
      </c>
      <c r="E1214" t="s">
        <v>7</v>
      </c>
      <c r="F1214">
        <v>33000</v>
      </c>
      <c r="G1214">
        <v>18000</v>
      </c>
      <c r="H1214">
        <f>Table1[[#This Row],[Qty]]*Table1[[#This Row],[SellingPrice]]</f>
        <v>33000</v>
      </c>
      <c r="I1214">
        <f>Table1[[#This Row],[Qty]]*Table1[[#This Row],[CostPrice]]</f>
        <v>18000</v>
      </c>
      <c r="J1214">
        <v>14895</v>
      </c>
      <c r="K1214">
        <v>104.99999999999999</v>
      </c>
      <c r="L1214" t="s">
        <v>12</v>
      </c>
      <c r="M1214" t="s">
        <v>28</v>
      </c>
      <c r="N1214">
        <f>MONTH(Table1[[#This Row],[SaleDate]])</f>
        <v>5</v>
      </c>
      <c r="O1214" t="str">
        <f>TEXT(Table1[[#This Row],[SaleDate]],"MMM")</f>
        <v>May</v>
      </c>
    </row>
    <row r="1215" spans="1:15">
      <c r="A1215" s="1">
        <v>45071</v>
      </c>
      <c r="B1215" t="s">
        <v>24</v>
      </c>
      <c r="C1215" t="s">
        <v>22</v>
      </c>
      <c r="D1215">
        <v>1</v>
      </c>
      <c r="E1215" t="s">
        <v>10</v>
      </c>
      <c r="F1215">
        <v>89000</v>
      </c>
      <c r="G1215">
        <v>65000</v>
      </c>
      <c r="H1215">
        <f>Table1[[#This Row],[Qty]]*Table1[[#This Row],[SellingPrice]]</f>
        <v>89000</v>
      </c>
      <c r="I1215">
        <f>Table1[[#This Row],[Qty]]*Table1[[#This Row],[CostPrice]]</f>
        <v>65000</v>
      </c>
      <c r="J1215">
        <v>23832</v>
      </c>
      <c r="K1215">
        <v>167.99999999999997</v>
      </c>
      <c r="L1215" t="s">
        <v>12</v>
      </c>
      <c r="M1215" t="s">
        <v>27</v>
      </c>
      <c r="N1215">
        <f>MONTH(Table1[[#This Row],[SaleDate]])</f>
        <v>5</v>
      </c>
      <c r="O1215" t="str">
        <f>TEXT(Table1[[#This Row],[SaleDate]],"MMM")</f>
        <v>May</v>
      </c>
    </row>
    <row r="1216" spans="1:15">
      <c r="A1216" s="1">
        <v>45071</v>
      </c>
      <c r="B1216" t="s">
        <v>25</v>
      </c>
      <c r="C1216" t="s">
        <v>21</v>
      </c>
      <c r="D1216">
        <v>1</v>
      </c>
      <c r="E1216" t="s">
        <v>7</v>
      </c>
      <c r="F1216">
        <v>33000</v>
      </c>
      <c r="G1216">
        <v>18000</v>
      </c>
      <c r="H1216">
        <f>Table1[[#This Row],[Qty]]*Table1[[#This Row],[SellingPrice]]</f>
        <v>33000</v>
      </c>
      <c r="I1216">
        <f>Table1[[#This Row],[Qty]]*Table1[[#This Row],[CostPrice]]</f>
        <v>18000</v>
      </c>
      <c r="J1216">
        <v>14895</v>
      </c>
      <c r="K1216">
        <v>104.99999999999999</v>
      </c>
      <c r="L1216" t="s">
        <v>13</v>
      </c>
      <c r="M1216" t="s">
        <v>28</v>
      </c>
      <c r="N1216">
        <f>MONTH(Table1[[#This Row],[SaleDate]])</f>
        <v>5</v>
      </c>
      <c r="O1216" t="str">
        <f>TEXT(Table1[[#This Row],[SaleDate]],"MMM")</f>
        <v>May</v>
      </c>
    </row>
    <row r="1217" spans="1:15">
      <c r="A1217" s="1">
        <v>45071</v>
      </c>
      <c r="B1217" t="s">
        <v>25</v>
      </c>
      <c r="C1217" t="s">
        <v>21</v>
      </c>
      <c r="D1217">
        <v>1</v>
      </c>
      <c r="E1217" t="s">
        <v>9</v>
      </c>
      <c r="F1217">
        <v>60000</v>
      </c>
      <c r="G1217">
        <v>31000</v>
      </c>
      <c r="H1217">
        <f>Table1[[#This Row],[Qty]]*Table1[[#This Row],[SellingPrice]]</f>
        <v>60000</v>
      </c>
      <c r="I1217">
        <f>Table1[[#This Row],[Qty]]*Table1[[#This Row],[CostPrice]]</f>
        <v>31000</v>
      </c>
      <c r="J1217">
        <v>28797</v>
      </c>
      <c r="K1217">
        <v>202.99999999999997</v>
      </c>
      <c r="L1217" t="s">
        <v>13</v>
      </c>
      <c r="M1217" t="s">
        <v>29</v>
      </c>
      <c r="N1217">
        <f>MONTH(Table1[[#This Row],[SaleDate]])</f>
        <v>5</v>
      </c>
      <c r="O1217" t="str">
        <f>TEXT(Table1[[#This Row],[SaleDate]],"MMM")</f>
        <v>May</v>
      </c>
    </row>
    <row r="1218" spans="1:15">
      <c r="A1218" s="1">
        <v>45071</v>
      </c>
      <c r="B1218" t="s">
        <v>25</v>
      </c>
      <c r="C1218" t="s">
        <v>21</v>
      </c>
      <c r="D1218">
        <v>1</v>
      </c>
      <c r="E1218" t="s">
        <v>10</v>
      </c>
      <c r="F1218">
        <v>89000</v>
      </c>
      <c r="G1218">
        <v>65000</v>
      </c>
      <c r="H1218">
        <f>Table1[[#This Row],[Qty]]*Table1[[#This Row],[SellingPrice]]</f>
        <v>89000</v>
      </c>
      <c r="I1218">
        <f>Table1[[#This Row],[Qty]]*Table1[[#This Row],[CostPrice]]</f>
        <v>65000</v>
      </c>
      <c r="J1218">
        <v>23832</v>
      </c>
      <c r="K1218">
        <v>167.99999999999997</v>
      </c>
      <c r="L1218" t="s">
        <v>13</v>
      </c>
      <c r="M1218" t="s">
        <v>28</v>
      </c>
      <c r="N1218">
        <f>MONTH(Table1[[#This Row],[SaleDate]])</f>
        <v>5</v>
      </c>
      <c r="O1218" t="str">
        <f>TEXT(Table1[[#This Row],[SaleDate]],"MMM")</f>
        <v>May</v>
      </c>
    </row>
    <row r="1219" spans="1:15">
      <c r="A1219" s="1">
        <v>45072</v>
      </c>
      <c r="B1219" t="s">
        <v>23</v>
      </c>
      <c r="C1219" t="s">
        <v>19</v>
      </c>
      <c r="D1219">
        <v>1</v>
      </c>
      <c r="E1219" t="s">
        <v>7</v>
      </c>
      <c r="F1219">
        <v>33000</v>
      </c>
      <c r="G1219">
        <v>18000</v>
      </c>
      <c r="H1219">
        <f>Table1[[#This Row],[Qty]]*Table1[[#This Row],[SellingPrice]]</f>
        <v>33000</v>
      </c>
      <c r="I1219">
        <f>Table1[[#This Row],[Qty]]*Table1[[#This Row],[CostPrice]]</f>
        <v>18000</v>
      </c>
      <c r="J1219">
        <v>14895</v>
      </c>
      <c r="K1219">
        <v>104.99999999999999</v>
      </c>
      <c r="L1219" t="s">
        <v>8</v>
      </c>
      <c r="M1219" t="s">
        <v>30</v>
      </c>
      <c r="N1219">
        <f>MONTH(Table1[[#This Row],[SaleDate]])</f>
        <v>5</v>
      </c>
      <c r="O1219" t="str">
        <f>TEXT(Table1[[#This Row],[SaleDate]],"MMM")</f>
        <v>May</v>
      </c>
    </row>
    <row r="1220" spans="1:15">
      <c r="A1220" s="1">
        <v>45072</v>
      </c>
      <c r="B1220" t="s">
        <v>23</v>
      </c>
      <c r="C1220" t="s">
        <v>19</v>
      </c>
      <c r="D1220">
        <v>1</v>
      </c>
      <c r="E1220" t="s">
        <v>9</v>
      </c>
      <c r="F1220">
        <v>60000</v>
      </c>
      <c r="G1220">
        <v>31000</v>
      </c>
      <c r="H1220">
        <f>Table1[[#This Row],[Qty]]*Table1[[#This Row],[SellingPrice]]</f>
        <v>60000</v>
      </c>
      <c r="I1220">
        <f>Table1[[#This Row],[Qty]]*Table1[[#This Row],[CostPrice]]</f>
        <v>31000</v>
      </c>
      <c r="J1220">
        <v>28797</v>
      </c>
      <c r="K1220">
        <v>202.99999999999997</v>
      </c>
      <c r="L1220" t="s">
        <v>8</v>
      </c>
      <c r="M1220" t="s">
        <v>30</v>
      </c>
      <c r="N1220">
        <f>MONTH(Table1[[#This Row],[SaleDate]])</f>
        <v>5</v>
      </c>
      <c r="O1220" t="str">
        <f>TEXT(Table1[[#This Row],[SaleDate]],"MMM")</f>
        <v>May</v>
      </c>
    </row>
    <row r="1221" spans="1:15">
      <c r="A1221" s="1">
        <v>45072</v>
      </c>
      <c r="B1221" t="s">
        <v>23</v>
      </c>
      <c r="C1221" t="s">
        <v>19</v>
      </c>
      <c r="D1221">
        <v>1</v>
      </c>
      <c r="E1221" t="s">
        <v>10</v>
      </c>
      <c r="F1221">
        <v>89000</v>
      </c>
      <c r="G1221">
        <v>65000</v>
      </c>
      <c r="H1221">
        <f>Table1[[#This Row],[Qty]]*Table1[[#This Row],[SellingPrice]]</f>
        <v>89000</v>
      </c>
      <c r="I1221">
        <f>Table1[[#This Row],[Qty]]*Table1[[#This Row],[CostPrice]]</f>
        <v>65000</v>
      </c>
      <c r="J1221">
        <v>23832</v>
      </c>
      <c r="K1221">
        <v>167.99999999999997</v>
      </c>
      <c r="L1221" t="s">
        <v>8</v>
      </c>
      <c r="M1221" t="s">
        <v>29</v>
      </c>
      <c r="N1221">
        <f>MONTH(Table1[[#This Row],[SaleDate]])</f>
        <v>5</v>
      </c>
      <c r="O1221" t="str">
        <f>TEXT(Table1[[#This Row],[SaleDate]],"MMM")</f>
        <v>May</v>
      </c>
    </row>
    <row r="1222" spans="1:15">
      <c r="A1222" s="1">
        <v>45072</v>
      </c>
      <c r="B1222" t="s">
        <v>26</v>
      </c>
      <c r="C1222" t="s">
        <v>20</v>
      </c>
      <c r="D1222">
        <v>1</v>
      </c>
      <c r="E1222" t="s">
        <v>7</v>
      </c>
      <c r="F1222">
        <v>33000</v>
      </c>
      <c r="G1222">
        <v>18000</v>
      </c>
      <c r="H1222">
        <f>Table1[[#This Row],[Qty]]*Table1[[#This Row],[SellingPrice]]</f>
        <v>33000</v>
      </c>
      <c r="I1222">
        <f>Table1[[#This Row],[Qty]]*Table1[[#This Row],[CostPrice]]</f>
        <v>18000</v>
      </c>
      <c r="J1222">
        <v>14895</v>
      </c>
      <c r="K1222">
        <v>104.99999999999999</v>
      </c>
      <c r="L1222" t="s">
        <v>11</v>
      </c>
      <c r="M1222" t="s">
        <v>27</v>
      </c>
      <c r="N1222">
        <f>MONTH(Table1[[#This Row],[SaleDate]])</f>
        <v>5</v>
      </c>
      <c r="O1222" t="str">
        <f>TEXT(Table1[[#This Row],[SaleDate]],"MMM")</f>
        <v>May</v>
      </c>
    </row>
    <row r="1223" spans="1:15">
      <c r="A1223" s="1">
        <v>45072</v>
      </c>
      <c r="B1223" t="s">
        <v>24</v>
      </c>
      <c r="C1223" t="s">
        <v>22</v>
      </c>
      <c r="D1223">
        <v>1</v>
      </c>
      <c r="E1223" t="s">
        <v>7</v>
      </c>
      <c r="F1223">
        <v>33000</v>
      </c>
      <c r="G1223">
        <v>18000</v>
      </c>
      <c r="H1223">
        <f>Table1[[#This Row],[Qty]]*Table1[[#This Row],[SellingPrice]]</f>
        <v>33000</v>
      </c>
      <c r="I1223">
        <f>Table1[[#This Row],[Qty]]*Table1[[#This Row],[CostPrice]]</f>
        <v>18000</v>
      </c>
      <c r="J1223">
        <v>14895</v>
      </c>
      <c r="K1223">
        <v>104.99999999999999</v>
      </c>
      <c r="L1223" t="s">
        <v>12</v>
      </c>
      <c r="M1223" t="s">
        <v>27</v>
      </c>
      <c r="N1223">
        <f>MONTH(Table1[[#This Row],[SaleDate]])</f>
        <v>5</v>
      </c>
      <c r="O1223" t="str">
        <f>TEXT(Table1[[#This Row],[SaleDate]],"MMM")</f>
        <v>May</v>
      </c>
    </row>
    <row r="1224" spans="1:15">
      <c r="A1224" s="1">
        <v>45072</v>
      </c>
      <c r="B1224" t="s">
        <v>24</v>
      </c>
      <c r="C1224" t="s">
        <v>22</v>
      </c>
      <c r="D1224">
        <v>1</v>
      </c>
      <c r="E1224" t="s">
        <v>10</v>
      </c>
      <c r="F1224">
        <v>89000</v>
      </c>
      <c r="G1224">
        <v>65000</v>
      </c>
      <c r="H1224">
        <f>Table1[[#This Row],[Qty]]*Table1[[#This Row],[SellingPrice]]</f>
        <v>89000</v>
      </c>
      <c r="I1224">
        <f>Table1[[#This Row],[Qty]]*Table1[[#This Row],[CostPrice]]</f>
        <v>65000</v>
      </c>
      <c r="J1224">
        <v>23832</v>
      </c>
      <c r="K1224">
        <v>167.99999999999997</v>
      </c>
      <c r="L1224" t="s">
        <v>12</v>
      </c>
      <c r="M1224" t="s">
        <v>27</v>
      </c>
      <c r="N1224">
        <f>MONTH(Table1[[#This Row],[SaleDate]])</f>
        <v>5</v>
      </c>
      <c r="O1224" t="str">
        <f>TEXT(Table1[[#This Row],[SaleDate]],"MMM")</f>
        <v>May</v>
      </c>
    </row>
    <row r="1225" spans="1:15">
      <c r="A1225" s="1">
        <v>45072</v>
      </c>
      <c r="B1225" t="s">
        <v>25</v>
      </c>
      <c r="C1225" t="s">
        <v>21</v>
      </c>
      <c r="D1225">
        <v>1</v>
      </c>
      <c r="E1225" t="s">
        <v>7</v>
      </c>
      <c r="F1225">
        <v>33000</v>
      </c>
      <c r="G1225">
        <v>18000</v>
      </c>
      <c r="H1225">
        <f>Table1[[#This Row],[Qty]]*Table1[[#This Row],[SellingPrice]]</f>
        <v>33000</v>
      </c>
      <c r="I1225">
        <f>Table1[[#This Row],[Qty]]*Table1[[#This Row],[CostPrice]]</f>
        <v>18000</v>
      </c>
      <c r="J1225">
        <v>14895</v>
      </c>
      <c r="K1225">
        <v>104.99999999999999</v>
      </c>
      <c r="L1225" t="s">
        <v>13</v>
      </c>
      <c r="M1225" t="s">
        <v>29</v>
      </c>
      <c r="N1225">
        <f>MONTH(Table1[[#This Row],[SaleDate]])</f>
        <v>5</v>
      </c>
      <c r="O1225" t="str">
        <f>TEXT(Table1[[#This Row],[SaleDate]],"MMM")</f>
        <v>May</v>
      </c>
    </row>
    <row r="1226" spans="1:15">
      <c r="A1226" s="1">
        <v>45072</v>
      </c>
      <c r="B1226" t="s">
        <v>25</v>
      </c>
      <c r="C1226" t="s">
        <v>21</v>
      </c>
      <c r="D1226">
        <v>1</v>
      </c>
      <c r="E1226" t="s">
        <v>9</v>
      </c>
      <c r="F1226">
        <v>60000</v>
      </c>
      <c r="G1226">
        <v>31000</v>
      </c>
      <c r="H1226">
        <f>Table1[[#This Row],[Qty]]*Table1[[#This Row],[SellingPrice]]</f>
        <v>60000</v>
      </c>
      <c r="I1226">
        <f>Table1[[#This Row],[Qty]]*Table1[[#This Row],[CostPrice]]</f>
        <v>31000</v>
      </c>
      <c r="J1226">
        <v>28797</v>
      </c>
      <c r="K1226">
        <v>202.99999999999997</v>
      </c>
      <c r="L1226" t="s">
        <v>13</v>
      </c>
      <c r="M1226" t="s">
        <v>30</v>
      </c>
      <c r="N1226">
        <f>MONTH(Table1[[#This Row],[SaleDate]])</f>
        <v>5</v>
      </c>
      <c r="O1226" t="str">
        <f>TEXT(Table1[[#This Row],[SaleDate]],"MMM")</f>
        <v>May</v>
      </c>
    </row>
    <row r="1227" spans="1:15">
      <c r="A1227" s="1">
        <v>45072</v>
      </c>
      <c r="B1227" t="s">
        <v>25</v>
      </c>
      <c r="C1227" t="s">
        <v>21</v>
      </c>
      <c r="D1227">
        <v>1</v>
      </c>
      <c r="E1227" t="s">
        <v>10</v>
      </c>
      <c r="F1227">
        <v>89000</v>
      </c>
      <c r="G1227">
        <v>65000</v>
      </c>
      <c r="H1227">
        <f>Table1[[#This Row],[Qty]]*Table1[[#This Row],[SellingPrice]]</f>
        <v>89000</v>
      </c>
      <c r="I1227">
        <f>Table1[[#This Row],[Qty]]*Table1[[#This Row],[CostPrice]]</f>
        <v>65000</v>
      </c>
      <c r="J1227">
        <v>23832</v>
      </c>
      <c r="K1227">
        <v>167.99999999999997</v>
      </c>
      <c r="L1227" t="s">
        <v>13</v>
      </c>
      <c r="M1227" t="s">
        <v>27</v>
      </c>
      <c r="N1227">
        <f>MONTH(Table1[[#This Row],[SaleDate]])</f>
        <v>5</v>
      </c>
      <c r="O1227" t="str">
        <f>TEXT(Table1[[#This Row],[SaleDate]],"MMM")</f>
        <v>May</v>
      </c>
    </row>
    <row r="1228" spans="1:15">
      <c r="A1228" s="1">
        <v>45073</v>
      </c>
      <c r="B1228" t="s">
        <v>23</v>
      </c>
      <c r="C1228" t="s">
        <v>19</v>
      </c>
      <c r="D1228">
        <v>2</v>
      </c>
      <c r="E1228" t="s">
        <v>7</v>
      </c>
      <c r="F1228">
        <v>33000</v>
      </c>
      <c r="G1228">
        <v>18000</v>
      </c>
      <c r="H1228">
        <f>Table1[[#This Row],[Qty]]*Table1[[#This Row],[SellingPrice]]</f>
        <v>66000</v>
      </c>
      <c r="I1228">
        <f>Table1[[#This Row],[Qty]]*Table1[[#This Row],[CostPrice]]</f>
        <v>36000</v>
      </c>
      <c r="J1228">
        <v>29790</v>
      </c>
      <c r="K1228">
        <v>209.99999999999997</v>
      </c>
      <c r="L1228" t="s">
        <v>8</v>
      </c>
      <c r="M1228" t="s">
        <v>27</v>
      </c>
      <c r="N1228">
        <f>MONTH(Table1[[#This Row],[SaleDate]])</f>
        <v>5</v>
      </c>
      <c r="O1228" t="str">
        <f>TEXT(Table1[[#This Row],[SaleDate]],"MMM")</f>
        <v>May</v>
      </c>
    </row>
    <row r="1229" spans="1:15">
      <c r="A1229" s="1">
        <v>45073</v>
      </c>
      <c r="B1229" t="s">
        <v>23</v>
      </c>
      <c r="C1229" t="s">
        <v>19</v>
      </c>
      <c r="D1229">
        <v>2</v>
      </c>
      <c r="E1229" t="s">
        <v>9</v>
      </c>
      <c r="F1229">
        <v>60000</v>
      </c>
      <c r="G1229">
        <v>31000</v>
      </c>
      <c r="H1229">
        <f>Table1[[#This Row],[Qty]]*Table1[[#This Row],[SellingPrice]]</f>
        <v>120000</v>
      </c>
      <c r="I1229">
        <f>Table1[[#This Row],[Qty]]*Table1[[#This Row],[CostPrice]]</f>
        <v>62000</v>
      </c>
      <c r="J1229">
        <v>57594</v>
      </c>
      <c r="K1229">
        <v>405.99999999999994</v>
      </c>
      <c r="L1229" t="s">
        <v>8</v>
      </c>
      <c r="M1229" t="s">
        <v>28</v>
      </c>
      <c r="N1229">
        <f>MONTH(Table1[[#This Row],[SaleDate]])</f>
        <v>5</v>
      </c>
      <c r="O1229" t="str">
        <f>TEXT(Table1[[#This Row],[SaleDate]],"MMM")</f>
        <v>May</v>
      </c>
    </row>
    <row r="1230" spans="1:15">
      <c r="A1230" s="1">
        <v>45073</v>
      </c>
      <c r="B1230" t="s">
        <v>23</v>
      </c>
      <c r="C1230" t="s">
        <v>19</v>
      </c>
      <c r="D1230">
        <v>2</v>
      </c>
      <c r="E1230" t="s">
        <v>10</v>
      </c>
      <c r="F1230">
        <v>89000</v>
      </c>
      <c r="G1230">
        <v>65000</v>
      </c>
      <c r="H1230">
        <f>Table1[[#This Row],[Qty]]*Table1[[#This Row],[SellingPrice]]</f>
        <v>178000</v>
      </c>
      <c r="I1230">
        <f>Table1[[#This Row],[Qty]]*Table1[[#This Row],[CostPrice]]</f>
        <v>130000</v>
      </c>
      <c r="J1230">
        <v>47664</v>
      </c>
      <c r="K1230">
        <v>335.99999999999994</v>
      </c>
      <c r="L1230" t="s">
        <v>8</v>
      </c>
      <c r="M1230" t="s">
        <v>30</v>
      </c>
      <c r="N1230">
        <f>MONTH(Table1[[#This Row],[SaleDate]])</f>
        <v>5</v>
      </c>
      <c r="O1230" t="str">
        <f>TEXT(Table1[[#This Row],[SaleDate]],"MMM")</f>
        <v>May</v>
      </c>
    </row>
    <row r="1231" spans="1:15">
      <c r="A1231" s="1">
        <v>45073</v>
      </c>
      <c r="B1231" t="s">
        <v>26</v>
      </c>
      <c r="C1231" t="s">
        <v>20</v>
      </c>
      <c r="D1231">
        <v>2</v>
      </c>
      <c r="E1231" t="s">
        <v>7</v>
      </c>
      <c r="F1231">
        <v>33000</v>
      </c>
      <c r="G1231">
        <v>18000</v>
      </c>
      <c r="H1231">
        <f>Table1[[#This Row],[Qty]]*Table1[[#This Row],[SellingPrice]]</f>
        <v>66000</v>
      </c>
      <c r="I1231">
        <f>Table1[[#This Row],[Qty]]*Table1[[#This Row],[CostPrice]]</f>
        <v>36000</v>
      </c>
      <c r="J1231">
        <v>29790</v>
      </c>
      <c r="K1231">
        <v>209.99999999999997</v>
      </c>
      <c r="L1231" t="s">
        <v>11</v>
      </c>
      <c r="M1231" t="s">
        <v>30</v>
      </c>
      <c r="N1231">
        <f>MONTH(Table1[[#This Row],[SaleDate]])</f>
        <v>5</v>
      </c>
      <c r="O1231" t="str">
        <f>TEXT(Table1[[#This Row],[SaleDate]],"MMM")</f>
        <v>May</v>
      </c>
    </row>
    <row r="1232" spans="1:15">
      <c r="A1232" s="1">
        <v>45073</v>
      </c>
      <c r="B1232" t="s">
        <v>24</v>
      </c>
      <c r="C1232" t="s">
        <v>22</v>
      </c>
      <c r="D1232">
        <v>2</v>
      </c>
      <c r="E1232" t="s">
        <v>7</v>
      </c>
      <c r="F1232">
        <v>33000</v>
      </c>
      <c r="G1232">
        <v>18000</v>
      </c>
      <c r="H1232">
        <f>Table1[[#This Row],[Qty]]*Table1[[#This Row],[SellingPrice]]</f>
        <v>66000</v>
      </c>
      <c r="I1232">
        <f>Table1[[#This Row],[Qty]]*Table1[[#This Row],[CostPrice]]</f>
        <v>36000</v>
      </c>
      <c r="J1232">
        <v>29790</v>
      </c>
      <c r="K1232">
        <v>209.99999999999997</v>
      </c>
      <c r="L1232" t="s">
        <v>12</v>
      </c>
      <c r="M1232" t="s">
        <v>30</v>
      </c>
      <c r="N1232">
        <f>MONTH(Table1[[#This Row],[SaleDate]])</f>
        <v>5</v>
      </c>
      <c r="O1232" t="str">
        <f>TEXT(Table1[[#This Row],[SaleDate]],"MMM")</f>
        <v>May</v>
      </c>
    </row>
    <row r="1233" spans="1:15">
      <c r="A1233" s="1">
        <v>45073</v>
      </c>
      <c r="B1233" t="s">
        <v>24</v>
      </c>
      <c r="C1233" t="s">
        <v>22</v>
      </c>
      <c r="D1233">
        <v>2</v>
      </c>
      <c r="E1233" t="s">
        <v>10</v>
      </c>
      <c r="F1233">
        <v>89000</v>
      </c>
      <c r="G1233">
        <v>65000</v>
      </c>
      <c r="H1233">
        <f>Table1[[#This Row],[Qty]]*Table1[[#This Row],[SellingPrice]]</f>
        <v>178000</v>
      </c>
      <c r="I1233">
        <f>Table1[[#This Row],[Qty]]*Table1[[#This Row],[CostPrice]]</f>
        <v>130000</v>
      </c>
      <c r="J1233">
        <v>47664</v>
      </c>
      <c r="K1233">
        <v>335.99999999999994</v>
      </c>
      <c r="L1233" t="s">
        <v>12</v>
      </c>
      <c r="M1233" t="s">
        <v>30</v>
      </c>
      <c r="N1233">
        <f>MONTH(Table1[[#This Row],[SaleDate]])</f>
        <v>5</v>
      </c>
      <c r="O1233" t="str">
        <f>TEXT(Table1[[#This Row],[SaleDate]],"MMM")</f>
        <v>May</v>
      </c>
    </row>
    <row r="1234" spans="1:15">
      <c r="A1234" s="1">
        <v>45073</v>
      </c>
      <c r="B1234" t="s">
        <v>25</v>
      </c>
      <c r="C1234" t="s">
        <v>21</v>
      </c>
      <c r="D1234">
        <v>2</v>
      </c>
      <c r="E1234" t="s">
        <v>7</v>
      </c>
      <c r="F1234">
        <v>33000</v>
      </c>
      <c r="G1234">
        <v>18000</v>
      </c>
      <c r="H1234">
        <f>Table1[[#This Row],[Qty]]*Table1[[#This Row],[SellingPrice]]</f>
        <v>66000</v>
      </c>
      <c r="I1234">
        <f>Table1[[#This Row],[Qty]]*Table1[[#This Row],[CostPrice]]</f>
        <v>36000</v>
      </c>
      <c r="J1234">
        <v>29790</v>
      </c>
      <c r="K1234">
        <v>209.99999999999997</v>
      </c>
      <c r="L1234" t="s">
        <v>13</v>
      </c>
      <c r="M1234" t="s">
        <v>30</v>
      </c>
      <c r="N1234">
        <f>MONTH(Table1[[#This Row],[SaleDate]])</f>
        <v>5</v>
      </c>
      <c r="O1234" t="str">
        <f>TEXT(Table1[[#This Row],[SaleDate]],"MMM")</f>
        <v>May</v>
      </c>
    </row>
    <row r="1235" spans="1:15">
      <c r="A1235" s="1">
        <v>45073</v>
      </c>
      <c r="B1235" t="s">
        <v>25</v>
      </c>
      <c r="C1235" t="s">
        <v>21</v>
      </c>
      <c r="D1235">
        <v>2</v>
      </c>
      <c r="E1235" t="s">
        <v>9</v>
      </c>
      <c r="F1235">
        <v>60000</v>
      </c>
      <c r="G1235">
        <v>31000</v>
      </c>
      <c r="H1235">
        <f>Table1[[#This Row],[Qty]]*Table1[[#This Row],[SellingPrice]]</f>
        <v>120000</v>
      </c>
      <c r="I1235">
        <f>Table1[[#This Row],[Qty]]*Table1[[#This Row],[CostPrice]]</f>
        <v>62000</v>
      </c>
      <c r="J1235">
        <v>57594</v>
      </c>
      <c r="K1235">
        <v>405.99999999999994</v>
      </c>
      <c r="L1235" t="s">
        <v>13</v>
      </c>
      <c r="M1235" t="s">
        <v>30</v>
      </c>
      <c r="N1235">
        <f>MONTH(Table1[[#This Row],[SaleDate]])</f>
        <v>5</v>
      </c>
      <c r="O1235" t="str">
        <f>TEXT(Table1[[#This Row],[SaleDate]],"MMM")</f>
        <v>May</v>
      </c>
    </row>
    <row r="1236" spans="1:15">
      <c r="A1236" s="1">
        <v>45073</v>
      </c>
      <c r="B1236" t="s">
        <v>25</v>
      </c>
      <c r="C1236" t="s">
        <v>21</v>
      </c>
      <c r="D1236">
        <v>2</v>
      </c>
      <c r="E1236" t="s">
        <v>10</v>
      </c>
      <c r="F1236">
        <v>89000</v>
      </c>
      <c r="G1236">
        <v>65000</v>
      </c>
      <c r="H1236">
        <f>Table1[[#This Row],[Qty]]*Table1[[#This Row],[SellingPrice]]</f>
        <v>178000</v>
      </c>
      <c r="I1236">
        <f>Table1[[#This Row],[Qty]]*Table1[[#This Row],[CostPrice]]</f>
        <v>130000</v>
      </c>
      <c r="J1236">
        <v>47664</v>
      </c>
      <c r="K1236">
        <v>335.99999999999994</v>
      </c>
      <c r="L1236" t="s">
        <v>13</v>
      </c>
      <c r="M1236" t="s">
        <v>30</v>
      </c>
      <c r="N1236">
        <f>MONTH(Table1[[#This Row],[SaleDate]])</f>
        <v>5</v>
      </c>
      <c r="O1236" t="str">
        <f>TEXT(Table1[[#This Row],[SaleDate]],"MMM")</f>
        <v>May</v>
      </c>
    </row>
    <row r="1237" spans="1:15">
      <c r="A1237" s="1">
        <v>45074</v>
      </c>
      <c r="B1237" t="s">
        <v>23</v>
      </c>
      <c r="C1237" t="s">
        <v>19</v>
      </c>
      <c r="D1237">
        <v>1</v>
      </c>
      <c r="E1237" t="s">
        <v>7</v>
      </c>
      <c r="F1237">
        <v>33000</v>
      </c>
      <c r="G1237">
        <v>18000</v>
      </c>
      <c r="H1237">
        <f>Table1[[#This Row],[Qty]]*Table1[[#This Row],[SellingPrice]]</f>
        <v>33000</v>
      </c>
      <c r="I1237">
        <f>Table1[[#This Row],[Qty]]*Table1[[#This Row],[CostPrice]]</f>
        <v>18000</v>
      </c>
      <c r="J1237">
        <v>14895</v>
      </c>
      <c r="K1237">
        <v>104.99999999999999</v>
      </c>
      <c r="L1237" t="s">
        <v>8</v>
      </c>
      <c r="M1237" t="s">
        <v>27</v>
      </c>
      <c r="N1237">
        <f>MONTH(Table1[[#This Row],[SaleDate]])</f>
        <v>5</v>
      </c>
      <c r="O1237" t="str">
        <f>TEXT(Table1[[#This Row],[SaleDate]],"MMM")</f>
        <v>May</v>
      </c>
    </row>
    <row r="1238" spans="1:15">
      <c r="A1238" s="1">
        <v>45074</v>
      </c>
      <c r="B1238" t="s">
        <v>23</v>
      </c>
      <c r="C1238" t="s">
        <v>19</v>
      </c>
      <c r="D1238">
        <v>1</v>
      </c>
      <c r="E1238" t="s">
        <v>9</v>
      </c>
      <c r="F1238">
        <v>60000</v>
      </c>
      <c r="G1238">
        <v>31000</v>
      </c>
      <c r="H1238">
        <f>Table1[[#This Row],[Qty]]*Table1[[#This Row],[SellingPrice]]</f>
        <v>60000</v>
      </c>
      <c r="I1238">
        <f>Table1[[#This Row],[Qty]]*Table1[[#This Row],[CostPrice]]</f>
        <v>31000</v>
      </c>
      <c r="J1238">
        <v>28797</v>
      </c>
      <c r="K1238">
        <v>202.99999999999997</v>
      </c>
      <c r="L1238" t="s">
        <v>8</v>
      </c>
      <c r="M1238" t="s">
        <v>28</v>
      </c>
      <c r="N1238">
        <f>MONTH(Table1[[#This Row],[SaleDate]])</f>
        <v>5</v>
      </c>
      <c r="O1238" t="str">
        <f>TEXT(Table1[[#This Row],[SaleDate]],"MMM")</f>
        <v>May</v>
      </c>
    </row>
    <row r="1239" spans="1:15">
      <c r="A1239" s="1">
        <v>45074</v>
      </c>
      <c r="B1239" t="s">
        <v>23</v>
      </c>
      <c r="C1239" t="s">
        <v>19</v>
      </c>
      <c r="D1239">
        <v>1</v>
      </c>
      <c r="E1239" t="s">
        <v>10</v>
      </c>
      <c r="F1239">
        <v>89000</v>
      </c>
      <c r="G1239">
        <v>65000</v>
      </c>
      <c r="H1239">
        <f>Table1[[#This Row],[Qty]]*Table1[[#This Row],[SellingPrice]]</f>
        <v>89000</v>
      </c>
      <c r="I1239">
        <f>Table1[[#This Row],[Qty]]*Table1[[#This Row],[CostPrice]]</f>
        <v>65000</v>
      </c>
      <c r="J1239">
        <v>23832</v>
      </c>
      <c r="K1239">
        <v>167.99999999999997</v>
      </c>
      <c r="L1239" t="s">
        <v>8</v>
      </c>
      <c r="M1239" t="s">
        <v>30</v>
      </c>
      <c r="N1239">
        <f>MONTH(Table1[[#This Row],[SaleDate]])</f>
        <v>5</v>
      </c>
      <c r="O1239" t="str">
        <f>TEXT(Table1[[#This Row],[SaleDate]],"MMM")</f>
        <v>May</v>
      </c>
    </row>
    <row r="1240" spans="1:15">
      <c r="A1240" s="1">
        <v>45074</v>
      </c>
      <c r="B1240" t="s">
        <v>26</v>
      </c>
      <c r="C1240" t="s">
        <v>20</v>
      </c>
      <c r="D1240">
        <v>1</v>
      </c>
      <c r="E1240" t="s">
        <v>7</v>
      </c>
      <c r="F1240">
        <v>33000</v>
      </c>
      <c r="G1240">
        <v>18000</v>
      </c>
      <c r="H1240">
        <f>Table1[[#This Row],[Qty]]*Table1[[#This Row],[SellingPrice]]</f>
        <v>33000</v>
      </c>
      <c r="I1240">
        <f>Table1[[#This Row],[Qty]]*Table1[[#This Row],[CostPrice]]</f>
        <v>18000</v>
      </c>
      <c r="J1240">
        <v>14895</v>
      </c>
      <c r="K1240">
        <v>104.99999999999999</v>
      </c>
      <c r="L1240" t="s">
        <v>11</v>
      </c>
      <c r="M1240" t="s">
        <v>30</v>
      </c>
      <c r="N1240">
        <f>MONTH(Table1[[#This Row],[SaleDate]])</f>
        <v>5</v>
      </c>
      <c r="O1240" t="str">
        <f>TEXT(Table1[[#This Row],[SaleDate]],"MMM")</f>
        <v>May</v>
      </c>
    </row>
    <row r="1241" spans="1:15">
      <c r="A1241" s="1">
        <v>45074</v>
      </c>
      <c r="B1241" t="s">
        <v>24</v>
      </c>
      <c r="C1241" t="s">
        <v>22</v>
      </c>
      <c r="D1241">
        <v>1</v>
      </c>
      <c r="E1241" t="s">
        <v>7</v>
      </c>
      <c r="F1241">
        <v>33000</v>
      </c>
      <c r="G1241">
        <v>18000</v>
      </c>
      <c r="H1241">
        <f>Table1[[#This Row],[Qty]]*Table1[[#This Row],[SellingPrice]]</f>
        <v>33000</v>
      </c>
      <c r="I1241">
        <f>Table1[[#This Row],[Qty]]*Table1[[#This Row],[CostPrice]]</f>
        <v>18000</v>
      </c>
      <c r="J1241">
        <v>14895</v>
      </c>
      <c r="K1241">
        <v>104.99999999999999</v>
      </c>
      <c r="L1241" t="s">
        <v>12</v>
      </c>
      <c r="M1241" t="s">
        <v>30</v>
      </c>
      <c r="N1241">
        <f>MONTH(Table1[[#This Row],[SaleDate]])</f>
        <v>5</v>
      </c>
      <c r="O1241" t="str">
        <f>TEXT(Table1[[#This Row],[SaleDate]],"MMM")</f>
        <v>May</v>
      </c>
    </row>
    <row r="1242" spans="1:15">
      <c r="A1242" s="1">
        <v>45074</v>
      </c>
      <c r="B1242" t="s">
        <v>24</v>
      </c>
      <c r="C1242" t="s">
        <v>22</v>
      </c>
      <c r="D1242">
        <v>1</v>
      </c>
      <c r="E1242" t="s">
        <v>10</v>
      </c>
      <c r="F1242">
        <v>89000</v>
      </c>
      <c r="G1242">
        <v>65000</v>
      </c>
      <c r="H1242">
        <f>Table1[[#This Row],[Qty]]*Table1[[#This Row],[SellingPrice]]</f>
        <v>89000</v>
      </c>
      <c r="I1242">
        <f>Table1[[#This Row],[Qty]]*Table1[[#This Row],[CostPrice]]</f>
        <v>65000</v>
      </c>
      <c r="J1242">
        <v>23832</v>
      </c>
      <c r="K1242">
        <v>167.99999999999997</v>
      </c>
      <c r="L1242" t="s">
        <v>12</v>
      </c>
      <c r="M1242" t="s">
        <v>29</v>
      </c>
      <c r="N1242">
        <f>MONTH(Table1[[#This Row],[SaleDate]])</f>
        <v>5</v>
      </c>
      <c r="O1242" t="str">
        <f>TEXT(Table1[[#This Row],[SaleDate]],"MMM")</f>
        <v>May</v>
      </c>
    </row>
    <row r="1243" spans="1:15">
      <c r="A1243" s="1">
        <v>45074</v>
      </c>
      <c r="B1243" t="s">
        <v>25</v>
      </c>
      <c r="C1243" t="s">
        <v>21</v>
      </c>
      <c r="D1243">
        <v>1</v>
      </c>
      <c r="E1243" t="s">
        <v>7</v>
      </c>
      <c r="F1243">
        <v>33000</v>
      </c>
      <c r="G1243">
        <v>18000</v>
      </c>
      <c r="H1243">
        <f>Table1[[#This Row],[Qty]]*Table1[[#This Row],[SellingPrice]]</f>
        <v>33000</v>
      </c>
      <c r="I1243">
        <f>Table1[[#This Row],[Qty]]*Table1[[#This Row],[CostPrice]]</f>
        <v>18000</v>
      </c>
      <c r="J1243">
        <v>14895</v>
      </c>
      <c r="K1243">
        <v>104.99999999999999</v>
      </c>
      <c r="L1243" t="s">
        <v>13</v>
      </c>
      <c r="M1243" t="s">
        <v>29</v>
      </c>
      <c r="N1243">
        <f>MONTH(Table1[[#This Row],[SaleDate]])</f>
        <v>5</v>
      </c>
      <c r="O1243" t="str">
        <f>TEXT(Table1[[#This Row],[SaleDate]],"MMM")</f>
        <v>May</v>
      </c>
    </row>
    <row r="1244" spans="1:15">
      <c r="A1244" s="1">
        <v>45074</v>
      </c>
      <c r="B1244" t="s">
        <v>25</v>
      </c>
      <c r="C1244" t="s">
        <v>21</v>
      </c>
      <c r="D1244">
        <v>1</v>
      </c>
      <c r="E1244" t="s">
        <v>9</v>
      </c>
      <c r="F1244">
        <v>60000</v>
      </c>
      <c r="G1244">
        <v>31000</v>
      </c>
      <c r="H1244">
        <f>Table1[[#This Row],[Qty]]*Table1[[#This Row],[SellingPrice]]</f>
        <v>60000</v>
      </c>
      <c r="I1244">
        <f>Table1[[#This Row],[Qty]]*Table1[[#This Row],[CostPrice]]</f>
        <v>31000</v>
      </c>
      <c r="J1244">
        <v>28797</v>
      </c>
      <c r="K1244">
        <v>202.99999999999997</v>
      </c>
      <c r="L1244" t="s">
        <v>13</v>
      </c>
      <c r="M1244" t="s">
        <v>28</v>
      </c>
      <c r="N1244">
        <f>MONTH(Table1[[#This Row],[SaleDate]])</f>
        <v>5</v>
      </c>
      <c r="O1244" t="str">
        <f>TEXT(Table1[[#This Row],[SaleDate]],"MMM")</f>
        <v>May</v>
      </c>
    </row>
    <row r="1245" spans="1:15">
      <c r="A1245" s="1">
        <v>45074</v>
      </c>
      <c r="B1245" t="s">
        <v>25</v>
      </c>
      <c r="C1245" t="s">
        <v>21</v>
      </c>
      <c r="D1245">
        <v>1</v>
      </c>
      <c r="E1245" t="s">
        <v>10</v>
      </c>
      <c r="F1245">
        <v>89000</v>
      </c>
      <c r="G1245">
        <v>65000</v>
      </c>
      <c r="H1245">
        <f>Table1[[#This Row],[Qty]]*Table1[[#This Row],[SellingPrice]]</f>
        <v>89000</v>
      </c>
      <c r="I1245">
        <f>Table1[[#This Row],[Qty]]*Table1[[#This Row],[CostPrice]]</f>
        <v>65000</v>
      </c>
      <c r="J1245">
        <v>23832</v>
      </c>
      <c r="K1245">
        <v>167.99999999999997</v>
      </c>
      <c r="L1245" t="s">
        <v>13</v>
      </c>
      <c r="M1245" t="s">
        <v>30</v>
      </c>
      <c r="N1245">
        <f>MONTH(Table1[[#This Row],[SaleDate]])</f>
        <v>5</v>
      </c>
      <c r="O1245" t="str">
        <f>TEXT(Table1[[#This Row],[SaleDate]],"MMM")</f>
        <v>May</v>
      </c>
    </row>
    <row r="1246" spans="1:15">
      <c r="A1246" s="1">
        <v>45075</v>
      </c>
      <c r="B1246" t="s">
        <v>23</v>
      </c>
      <c r="C1246" t="s">
        <v>19</v>
      </c>
      <c r="D1246">
        <v>1</v>
      </c>
      <c r="E1246" t="s">
        <v>7</v>
      </c>
      <c r="F1246">
        <v>33000</v>
      </c>
      <c r="G1246">
        <v>18000</v>
      </c>
      <c r="H1246">
        <f>Table1[[#This Row],[Qty]]*Table1[[#This Row],[SellingPrice]]</f>
        <v>33000</v>
      </c>
      <c r="I1246">
        <f>Table1[[#This Row],[Qty]]*Table1[[#This Row],[CostPrice]]</f>
        <v>18000</v>
      </c>
      <c r="J1246">
        <v>14895</v>
      </c>
      <c r="K1246">
        <v>104.99999999999999</v>
      </c>
      <c r="L1246" t="s">
        <v>8</v>
      </c>
      <c r="M1246" t="s">
        <v>28</v>
      </c>
      <c r="N1246">
        <f>MONTH(Table1[[#This Row],[SaleDate]])</f>
        <v>5</v>
      </c>
      <c r="O1246" t="str">
        <f>TEXT(Table1[[#This Row],[SaleDate]],"MMM")</f>
        <v>May</v>
      </c>
    </row>
    <row r="1247" spans="1:15">
      <c r="A1247" s="1">
        <v>45075</v>
      </c>
      <c r="B1247" t="s">
        <v>23</v>
      </c>
      <c r="C1247" t="s">
        <v>19</v>
      </c>
      <c r="D1247">
        <v>1</v>
      </c>
      <c r="E1247" t="s">
        <v>9</v>
      </c>
      <c r="F1247">
        <v>60000</v>
      </c>
      <c r="G1247">
        <v>31000</v>
      </c>
      <c r="H1247">
        <f>Table1[[#This Row],[Qty]]*Table1[[#This Row],[SellingPrice]]</f>
        <v>60000</v>
      </c>
      <c r="I1247">
        <f>Table1[[#This Row],[Qty]]*Table1[[#This Row],[CostPrice]]</f>
        <v>31000</v>
      </c>
      <c r="J1247">
        <v>28797</v>
      </c>
      <c r="K1247">
        <v>202.99999999999997</v>
      </c>
      <c r="L1247" t="s">
        <v>8</v>
      </c>
      <c r="M1247" t="s">
        <v>30</v>
      </c>
      <c r="N1247">
        <f>MONTH(Table1[[#This Row],[SaleDate]])</f>
        <v>5</v>
      </c>
      <c r="O1247" t="str">
        <f>TEXT(Table1[[#This Row],[SaleDate]],"MMM")</f>
        <v>May</v>
      </c>
    </row>
    <row r="1248" spans="1:15">
      <c r="A1248" s="1">
        <v>45075</v>
      </c>
      <c r="B1248" t="s">
        <v>23</v>
      </c>
      <c r="C1248" t="s">
        <v>19</v>
      </c>
      <c r="D1248">
        <v>1</v>
      </c>
      <c r="E1248" t="s">
        <v>10</v>
      </c>
      <c r="F1248">
        <v>89000</v>
      </c>
      <c r="G1248">
        <v>65000</v>
      </c>
      <c r="H1248">
        <f>Table1[[#This Row],[Qty]]*Table1[[#This Row],[SellingPrice]]</f>
        <v>89000</v>
      </c>
      <c r="I1248">
        <f>Table1[[#This Row],[Qty]]*Table1[[#This Row],[CostPrice]]</f>
        <v>65000</v>
      </c>
      <c r="J1248">
        <v>23832</v>
      </c>
      <c r="K1248">
        <v>167.99999999999997</v>
      </c>
      <c r="L1248" t="s">
        <v>8</v>
      </c>
      <c r="M1248" t="s">
        <v>29</v>
      </c>
      <c r="N1248">
        <f>MONTH(Table1[[#This Row],[SaleDate]])</f>
        <v>5</v>
      </c>
      <c r="O1248" t="str">
        <f>TEXT(Table1[[#This Row],[SaleDate]],"MMM")</f>
        <v>May</v>
      </c>
    </row>
    <row r="1249" spans="1:15">
      <c r="A1249" s="1">
        <v>45075</v>
      </c>
      <c r="B1249" t="s">
        <v>26</v>
      </c>
      <c r="C1249" t="s">
        <v>20</v>
      </c>
      <c r="D1249">
        <v>1</v>
      </c>
      <c r="E1249" t="s">
        <v>7</v>
      </c>
      <c r="F1249">
        <v>33000</v>
      </c>
      <c r="G1249">
        <v>18000</v>
      </c>
      <c r="H1249">
        <f>Table1[[#This Row],[Qty]]*Table1[[#This Row],[SellingPrice]]</f>
        <v>33000</v>
      </c>
      <c r="I1249">
        <f>Table1[[#This Row],[Qty]]*Table1[[#This Row],[CostPrice]]</f>
        <v>18000</v>
      </c>
      <c r="J1249">
        <v>14895</v>
      </c>
      <c r="K1249">
        <v>104.99999999999999</v>
      </c>
      <c r="L1249" t="s">
        <v>11</v>
      </c>
      <c r="M1249" t="s">
        <v>30</v>
      </c>
      <c r="N1249">
        <f>MONTH(Table1[[#This Row],[SaleDate]])</f>
        <v>5</v>
      </c>
      <c r="O1249" t="str">
        <f>TEXT(Table1[[#This Row],[SaleDate]],"MMM")</f>
        <v>May</v>
      </c>
    </row>
    <row r="1250" spans="1:15">
      <c r="A1250" s="1">
        <v>45075</v>
      </c>
      <c r="B1250" t="s">
        <v>24</v>
      </c>
      <c r="C1250" t="s">
        <v>22</v>
      </c>
      <c r="D1250">
        <v>1</v>
      </c>
      <c r="E1250" t="s">
        <v>7</v>
      </c>
      <c r="F1250">
        <v>33000</v>
      </c>
      <c r="G1250">
        <v>18000</v>
      </c>
      <c r="H1250">
        <f>Table1[[#This Row],[Qty]]*Table1[[#This Row],[SellingPrice]]</f>
        <v>33000</v>
      </c>
      <c r="I1250">
        <f>Table1[[#This Row],[Qty]]*Table1[[#This Row],[CostPrice]]</f>
        <v>18000</v>
      </c>
      <c r="J1250">
        <v>14895</v>
      </c>
      <c r="K1250">
        <v>104.99999999999999</v>
      </c>
      <c r="L1250" t="s">
        <v>12</v>
      </c>
      <c r="M1250" t="s">
        <v>30</v>
      </c>
      <c r="N1250">
        <f>MONTH(Table1[[#This Row],[SaleDate]])</f>
        <v>5</v>
      </c>
      <c r="O1250" t="str">
        <f>TEXT(Table1[[#This Row],[SaleDate]],"MMM")</f>
        <v>May</v>
      </c>
    </row>
    <row r="1251" spans="1:15">
      <c r="A1251" s="1">
        <v>45075</v>
      </c>
      <c r="B1251" t="s">
        <v>24</v>
      </c>
      <c r="C1251" t="s">
        <v>22</v>
      </c>
      <c r="D1251">
        <v>1</v>
      </c>
      <c r="E1251" t="s">
        <v>9</v>
      </c>
      <c r="F1251">
        <v>60000</v>
      </c>
      <c r="G1251">
        <v>31000</v>
      </c>
      <c r="H1251">
        <f>Table1[[#This Row],[Qty]]*Table1[[#This Row],[SellingPrice]]</f>
        <v>60000</v>
      </c>
      <c r="I1251">
        <f>Table1[[#This Row],[Qty]]*Table1[[#This Row],[CostPrice]]</f>
        <v>31000</v>
      </c>
      <c r="J1251">
        <v>28797</v>
      </c>
      <c r="K1251">
        <v>202.99999999999997</v>
      </c>
      <c r="L1251" t="s">
        <v>12</v>
      </c>
      <c r="M1251" t="s">
        <v>29</v>
      </c>
      <c r="N1251">
        <f>MONTH(Table1[[#This Row],[SaleDate]])</f>
        <v>5</v>
      </c>
      <c r="O1251" t="str">
        <f>TEXT(Table1[[#This Row],[SaleDate]],"MMM")</f>
        <v>May</v>
      </c>
    </row>
    <row r="1252" spans="1:15">
      <c r="A1252" s="1">
        <v>45075</v>
      </c>
      <c r="B1252" t="s">
        <v>24</v>
      </c>
      <c r="C1252" t="s">
        <v>22</v>
      </c>
      <c r="D1252">
        <v>1</v>
      </c>
      <c r="E1252" t="s">
        <v>10</v>
      </c>
      <c r="F1252">
        <v>89000</v>
      </c>
      <c r="G1252">
        <v>65000</v>
      </c>
      <c r="H1252">
        <f>Table1[[#This Row],[Qty]]*Table1[[#This Row],[SellingPrice]]</f>
        <v>89000</v>
      </c>
      <c r="I1252">
        <f>Table1[[#This Row],[Qty]]*Table1[[#This Row],[CostPrice]]</f>
        <v>65000</v>
      </c>
      <c r="J1252">
        <v>23832</v>
      </c>
      <c r="K1252">
        <v>167.99999999999997</v>
      </c>
      <c r="L1252" t="s">
        <v>12</v>
      </c>
      <c r="M1252" t="s">
        <v>27</v>
      </c>
      <c r="N1252">
        <f>MONTH(Table1[[#This Row],[SaleDate]])</f>
        <v>5</v>
      </c>
      <c r="O1252" t="str">
        <f>TEXT(Table1[[#This Row],[SaleDate]],"MMM")</f>
        <v>May</v>
      </c>
    </row>
    <row r="1253" spans="1:15">
      <c r="A1253" s="1">
        <v>45075</v>
      </c>
      <c r="B1253" t="s">
        <v>25</v>
      </c>
      <c r="C1253" t="s">
        <v>21</v>
      </c>
      <c r="D1253">
        <v>1</v>
      </c>
      <c r="E1253" t="s">
        <v>7</v>
      </c>
      <c r="F1253">
        <v>33000</v>
      </c>
      <c r="G1253">
        <v>18000</v>
      </c>
      <c r="H1253">
        <f>Table1[[#This Row],[Qty]]*Table1[[#This Row],[SellingPrice]]</f>
        <v>33000</v>
      </c>
      <c r="I1253">
        <f>Table1[[#This Row],[Qty]]*Table1[[#This Row],[CostPrice]]</f>
        <v>18000</v>
      </c>
      <c r="J1253">
        <v>14895</v>
      </c>
      <c r="K1253">
        <v>104.99999999999999</v>
      </c>
      <c r="L1253" t="s">
        <v>13</v>
      </c>
      <c r="M1253" t="s">
        <v>30</v>
      </c>
      <c r="N1253">
        <f>MONTH(Table1[[#This Row],[SaleDate]])</f>
        <v>5</v>
      </c>
      <c r="O1253" t="str">
        <f>TEXT(Table1[[#This Row],[SaleDate]],"MMM")</f>
        <v>May</v>
      </c>
    </row>
    <row r="1254" spans="1:15">
      <c r="A1254" s="1">
        <v>45075</v>
      </c>
      <c r="B1254" t="s">
        <v>25</v>
      </c>
      <c r="C1254" t="s">
        <v>21</v>
      </c>
      <c r="D1254">
        <v>1</v>
      </c>
      <c r="E1254" t="s">
        <v>9</v>
      </c>
      <c r="F1254">
        <v>60000</v>
      </c>
      <c r="G1254">
        <v>31000</v>
      </c>
      <c r="H1254">
        <f>Table1[[#This Row],[Qty]]*Table1[[#This Row],[SellingPrice]]</f>
        <v>60000</v>
      </c>
      <c r="I1254">
        <f>Table1[[#This Row],[Qty]]*Table1[[#This Row],[CostPrice]]</f>
        <v>31000</v>
      </c>
      <c r="J1254">
        <v>28797</v>
      </c>
      <c r="K1254">
        <v>202.99999999999997</v>
      </c>
      <c r="L1254" t="s">
        <v>13</v>
      </c>
      <c r="M1254" t="s">
        <v>29</v>
      </c>
      <c r="N1254">
        <f>MONTH(Table1[[#This Row],[SaleDate]])</f>
        <v>5</v>
      </c>
      <c r="O1254" t="str">
        <f>TEXT(Table1[[#This Row],[SaleDate]],"MMM")</f>
        <v>May</v>
      </c>
    </row>
    <row r="1255" spans="1:15">
      <c r="A1255" s="1">
        <v>45075</v>
      </c>
      <c r="B1255" t="s">
        <v>25</v>
      </c>
      <c r="C1255" t="s">
        <v>21</v>
      </c>
      <c r="D1255">
        <v>1</v>
      </c>
      <c r="E1255" t="s">
        <v>10</v>
      </c>
      <c r="F1255">
        <v>89000</v>
      </c>
      <c r="G1255">
        <v>65000</v>
      </c>
      <c r="H1255">
        <f>Table1[[#This Row],[Qty]]*Table1[[#This Row],[SellingPrice]]</f>
        <v>89000</v>
      </c>
      <c r="I1255">
        <f>Table1[[#This Row],[Qty]]*Table1[[#This Row],[CostPrice]]</f>
        <v>65000</v>
      </c>
      <c r="J1255">
        <v>23832</v>
      </c>
      <c r="K1255">
        <v>167.99999999999997</v>
      </c>
      <c r="L1255" t="s">
        <v>13</v>
      </c>
      <c r="M1255" t="s">
        <v>29</v>
      </c>
      <c r="N1255">
        <f>MONTH(Table1[[#This Row],[SaleDate]])</f>
        <v>5</v>
      </c>
      <c r="O1255" t="str">
        <f>TEXT(Table1[[#This Row],[SaleDate]],"MMM")</f>
        <v>May</v>
      </c>
    </row>
    <row r="1256" spans="1:15">
      <c r="A1256" s="1">
        <v>45076</v>
      </c>
      <c r="B1256" t="s">
        <v>23</v>
      </c>
      <c r="C1256" t="s">
        <v>19</v>
      </c>
      <c r="D1256">
        <v>1</v>
      </c>
      <c r="E1256" t="s">
        <v>7</v>
      </c>
      <c r="F1256">
        <v>33000</v>
      </c>
      <c r="G1256">
        <v>18000</v>
      </c>
      <c r="H1256">
        <f>Table1[[#This Row],[Qty]]*Table1[[#This Row],[SellingPrice]]</f>
        <v>33000</v>
      </c>
      <c r="I1256">
        <f>Table1[[#This Row],[Qty]]*Table1[[#This Row],[CostPrice]]</f>
        <v>18000</v>
      </c>
      <c r="J1256">
        <v>14895</v>
      </c>
      <c r="K1256">
        <v>104.99999999999999</v>
      </c>
      <c r="L1256" t="s">
        <v>8</v>
      </c>
      <c r="M1256" t="s">
        <v>27</v>
      </c>
      <c r="N1256">
        <f>MONTH(Table1[[#This Row],[SaleDate]])</f>
        <v>5</v>
      </c>
      <c r="O1256" t="str">
        <f>TEXT(Table1[[#This Row],[SaleDate]],"MMM")</f>
        <v>May</v>
      </c>
    </row>
    <row r="1257" spans="1:15">
      <c r="A1257" s="1">
        <v>45076</v>
      </c>
      <c r="B1257" t="s">
        <v>23</v>
      </c>
      <c r="C1257" t="s">
        <v>19</v>
      </c>
      <c r="D1257">
        <v>1</v>
      </c>
      <c r="E1257" t="s">
        <v>9</v>
      </c>
      <c r="F1257">
        <v>60000</v>
      </c>
      <c r="G1257">
        <v>31000</v>
      </c>
      <c r="H1257">
        <f>Table1[[#This Row],[Qty]]*Table1[[#This Row],[SellingPrice]]</f>
        <v>60000</v>
      </c>
      <c r="I1257">
        <f>Table1[[#This Row],[Qty]]*Table1[[#This Row],[CostPrice]]</f>
        <v>31000</v>
      </c>
      <c r="J1257">
        <v>28797</v>
      </c>
      <c r="K1257">
        <v>202.99999999999997</v>
      </c>
      <c r="L1257" t="s">
        <v>8</v>
      </c>
      <c r="M1257" t="s">
        <v>29</v>
      </c>
      <c r="N1257">
        <f>MONTH(Table1[[#This Row],[SaleDate]])</f>
        <v>5</v>
      </c>
      <c r="O1257" t="str">
        <f>TEXT(Table1[[#This Row],[SaleDate]],"MMM")</f>
        <v>May</v>
      </c>
    </row>
    <row r="1258" spans="1:15">
      <c r="A1258" s="1">
        <v>45076</v>
      </c>
      <c r="B1258" t="s">
        <v>23</v>
      </c>
      <c r="C1258" t="s">
        <v>19</v>
      </c>
      <c r="D1258">
        <v>1</v>
      </c>
      <c r="E1258" t="s">
        <v>10</v>
      </c>
      <c r="F1258">
        <v>89000</v>
      </c>
      <c r="G1258">
        <v>65000</v>
      </c>
      <c r="H1258">
        <f>Table1[[#This Row],[Qty]]*Table1[[#This Row],[SellingPrice]]</f>
        <v>89000</v>
      </c>
      <c r="I1258">
        <f>Table1[[#This Row],[Qty]]*Table1[[#This Row],[CostPrice]]</f>
        <v>65000</v>
      </c>
      <c r="J1258">
        <v>23832</v>
      </c>
      <c r="K1258">
        <v>167.99999999999997</v>
      </c>
      <c r="L1258" t="s">
        <v>8</v>
      </c>
      <c r="M1258" t="s">
        <v>29</v>
      </c>
      <c r="N1258">
        <f>MONTH(Table1[[#This Row],[SaleDate]])</f>
        <v>5</v>
      </c>
      <c r="O1258" t="str">
        <f>TEXT(Table1[[#This Row],[SaleDate]],"MMM")</f>
        <v>May</v>
      </c>
    </row>
    <row r="1259" spans="1:15">
      <c r="A1259" s="1">
        <v>45076</v>
      </c>
      <c r="B1259" t="s">
        <v>26</v>
      </c>
      <c r="C1259" t="s">
        <v>20</v>
      </c>
      <c r="D1259">
        <v>1</v>
      </c>
      <c r="E1259" t="s">
        <v>7</v>
      </c>
      <c r="F1259">
        <v>33000</v>
      </c>
      <c r="G1259">
        <v>18000</v>
      </c>
      <c r="H1259">
        <f>Table1[[#This Row],[Qty]]*Table1[[#This Row],[SellingPrice]]</f>
        <v>33000</v>
      </c>
      <c r="I1259">
        <f>Table1[[#This Row],[Qty]]*Table1[[#This Row],[CostPrice]]</f>
        <v>18000</v>
      </c>
      <c r="J1259">
        <v>14895</v>
      </c>
      <c r="K1259">
        <v>104.99999999999999</v>
      </c>
      <c r="L1259" t="s">
        <v>11</v>
      </c>
      <c r="M1259" t="s">
        <v>27</v>
      </c>
      <c r="N1259">
        <f>MONTH(Table1[[#This Row],[SaleDate]])</f>
        <v>5</v>
      </c>
      <c r="O1259" t="str">
        <f>TEXT(Table1[[#This Row],[SaleDate]],"MMM")</f>
        <v>May</v>
      </c>
    </row>
    <row r="1260" spans="1:15">
      <c r="A1260" s="1">
        <v>45076</v>
      </c>
      <c r="B1260" t="s">
        <v>24</v>
      </c>
      <c r="C1260" t="s">
        <v>22</v>
      </c>
      <c r="D1260">
        <v>1</v>
      </c>
      <c r="E1260" t="s">
        <v>7</v>
      </c>
      <c r="F1260">
        <v>33000</v>
      </c>
      <c r="G1260">
        <v>18000</v>
      </c>
      <c r="H1260">
        <f>Table1[[#This Row],[Qty]]*Table1[[#This Row],[SellingPrice]]</f>
        <v>33000</v>
      </c>
      <c r="I1260">
        <f>Table1[[#This Row],[Qty]]*Table1[[#This Row],[CostPrice]]</f>
        <v>18000</v>
      </c>
      <c r="J1260">
        <v>14895</v>
      </c>
      <c r="K1260">
        <v>104.99999999999999</v>
      </c>
      <c r="L1260" t="s">
        <v>12</v>
      </c>
      <c r="M1260" t="s">
        <v>28</v>
      </c>
      <c r="N1260">
        <f>MONTH(Table1[[#This Row],[SaleDate]])</f>
        <v>5</v>
      </c>
      <c r="O1260" t="str">
        <f>TEXT(Table1[[#This Row],[SaleDate]],"MMM")</f>
        <v>May</v>
      </c>
    </row>
    <row r="1261" spans="1:15">
      <c r="A1261" s="1">
        <v>45076</v>
      </c>
      <c r="B1261" t="s">
        <v>24</v>
      </c>
      <c r="C1261" t="s">
        <v>22</v>
      </c>
      <c r="D1261">
        <v>1</v>
      </c>
      <c r="E1261" t="s">
        <v>10</v>
      </c>
      <c r="F1261">
        <v>89000</v>
      </c>
      <c r="G1261">
        <v>65000</v>
      </c>
      <c r="H1261">
        <f>Table1[[#This Row],[Qty]]*Table1[[#This Row],[SellingPrice]]</f>
        <v>89000</v>
      </c>
      <c r="I1261">
        <f>Table1[[#This Row],[Qty]]*Table1[[#This Row],[CostPrice]]</f>
        <v>65000</v>
      </c>
      <c r="J1261">
        <v>23832</v>
      </c>
      <c r="K1261">
        <v>167.99999999999997</v>
      </c>
      <c r="L1261" t="s">
        <v>12</v>
      </c>
      <c r="M1261" t="s">
        <v>30</v>
      </c>
      <c r="N1261">
        <f>MONTH(Table1[[#This Row],[SaleDate]])</f>
        <v>5</v>
      </c>
      <c r="O1261" t="str">
        <f>TEXT(Table1[[#This Row],[SaleDate]],"MMM")</f>
        <v>May</v>
      </c>
    </row>
    <row r="1262" spans="1:15">
      <c r="A1262" s="1">
        <v>45076</v>
      </c>
      <c r="B1262" t="s">
        <v>25</v>
      </c>
      <c r="C1262" t="s">
        <v>21</v>
      </c>
      <c r="D1262">
        <v>1</v>
      </c>
      <c r="E1262" t="s">
        <v>7</v>
      </c>
      <c r="F1262">
        <v>33000</v>
      </c>
      <c r="G1262">
        <v>18000</v>
      </c>
      <c r="H1262">
        <f>Table1[[#This Row],[Qty]]*Table1[[#This Row],[SellingPrice]]</f>
        <v>33000</v>
      </c>
      <c r="I1262">
        <f>Table1[[#This Row],[Qty]]*Table1[[#This Row],[CostPrice]]</f>
        <v>18000</v>
      </c>
      <c r="J1262">
        <v>14895</v>
      </c>
      <c r="K1262">
        <v>104.99999999999999</v>
      </c>
      <c r="L1262" t="s">
        <v>13</v>
      </c>
      <c r="M1262" t="s">
        <v>30</v>
      </c>
      <c r="N1262">
        <f>MONTH(Table1[[#This Row],[SaleDate]])</f>
        <v>5</v>
      </c>
      <c r="O1262" t="str">
        <f>TEXT(Table1[[#This Row],[SaleDate]],"MMM")</f>
        <v>May</v>
      </c>
    </row>
    <row r="1263" spans="1:15">
      <c r="A1263" s="1">
        <v>45076</v>
      </c>
      <c r="B1263" t="s">
        <v>25</v>
      </c>
      <c r="C1263" t="s">
        <v>21</v>
      </c>
      <c r="D1263">
        <v>1</v>
      </c>
      <c r="E1263" t="s">
        <v>9</v>
      </c>
      <c r="F1263">
        <v>60000</v>
      </c>
      <c r="G1263">
        <v>31000</v>
      </c>
      <c r="H1263">
        <f>Table1[[#This Row],[Qty]]*Table1[[#This Row],[SellingPrice]]</f>
        <v>60000</v>
      </c>
      <c r="I1263">
        <f>Table1[[#This Row],[Qty]]*Table1[[#This Row],[CostPrice]]</f>
        <v>31000</v>
      </c>
      <c r="J1263">
        <v>28797</v>
      </c>
      <c r="K1263">
        <v>202.99999999999997</v>
      </c>
      <c r="L1263" t="s">
        <v>13</v>
      </c>
      <c r="M1263" t="s">
        <v>30</v>
      </c>
      <c r="N1263">
        <f>MONTH(Table1[[#This Row],[SaleDate]])</f>
        <v>5</v>
      </c>
      <c r="O1263" t="str">
        <f>TEXT(Table1[[#This Row],[SaleDate]],"MMM")</f>
        <v>May</v>
      </c>
    </row>
    <row r="1264" spans="1:15">
      <c r="A1264" s="1">
        <v>45076</v>
      </c>
      <c r="B1264" t="s">
        <v>25</v>
      </c>
      <c r="C1264" t="s">
        <v>21</v>
      </c>
      <c r="D1264">
        <v>1</v>
      </c>
      <c r="E1264" t="s">
        <v>10</v>
      </c>
      <c r="F1264">
        <v>89000</v>
      </c>
      <c r="G1264">
        <v>65000</v>
      </c>
      <c r="H1264">
        <f>Table1[[#This Row],[Qty]]*Table1[[#This Row],[SellingPrice]]</f>
        <v>89000</v>
      </c>
      <c r="I1264">
        <f>Table1[[#This Row],[Qty]]*Table1[[#This Row],[CostPrice]]</f>
        <v>65000</v>
      </c>
      <c r="J1264">
        <v>23832</v>
      </c>
      <c r="K1264">
        <v>167.99999999999997</v>
      </c>
      <c r="L1264" t="s">
        <v>13</v>
      </c>
      <c r="M1264" t="s">
        <v>27</v>
      </c>
      <c r="N1264">
        <f>MONTH(Table1[[#This Row],[SaleDate]])</f>
        <v>5</v>
      </c>
      <c r="O1264" t="str">
        <f>TEXT(Table1[[#This Row],[SaleDate]],"MMM")</f>
        <v>May</v>
      </c>
    </row>
    <row r="1265" spans="1:15">
      <c r="A1265" s="1">
        <v>45077</v>
      </c>
      <c r="B1265" t="s">
        <v>23</v>
      </c>
      <c r="C1265" t="s">
        <v>19</v>
      </c>
      <c r="D1265">
        <v>1</v>
      </c>
      <c r="E1265" t="s">
        <v>7</v>
      </c>
      <c r="F1265">
        <v>33000</v>
      </c>
      <c r="G1265">
        <v>18000</v>
      </c>
      <c r="H1265">
        <f>Table1[[#This Row],[Qty]]*Table1[[#This Row],[SellingPrice]]</f>
        <v>33000</v>
      </c>
      <c r="I1265">
        <f>Table1[[#This Row],[Qty]]*Table1[[#This Row],[CostPrice]]</f>
        <v>18000</v>
      </c>
      <c r="J1265">
        <v>14895</v>
      </c>
      <c r="K1265">
        <v>104.99999999999999</v>
      </c>
      <c r="L1265" t="s">
        <v>8</v>
      </c>
      <c r="M1265" t="s">
        <v>30</v>
      </c>
      <c r="N1265">
        <f>MONTH(Table1[[#This Row],[SaleDate]])</f>
        <v>5</v>
      </c>
      <c r="O1265" t="str">
        <f>TEXT(Table1[[#This Row],[SaleDate]],"MMM")</f>
        <v>May</v>
      </c>
    </row>
    <row r="1266" spans="1:15">
      <c r="A1266" s="1">
        <v>45077</v>
      </c>
      <c r="B1266" t="s">
        <v>23</v>
      </c>
      <c r="C1266" t="s">
        <v>19</v>
      </c>
      <c r="D1266">
        <v>1</v>
      </c>
      <c r="E1266" t="s">
        <v>9</v>
      </c>
      <c r="F1266">
        <v>60000</v>
      </c>
      <c r="G1266">
        <v>31000</v>
      </c>
      <c r="H1266">
        <f>Table1[[#This Row],[Qty]]*Table1[[#This Row],[SellingPrice]]</f>
        <v>60000</v>
      </c>
      <c r="I1266">
        <f>Table1[[#This Row],[Qty]]*Table1[[#This Row],[CostPrice]]</f>
        <v>31000</v>
      </c>
      <c r="J1266">
        <v>28797</v>
      </c>
      <c r="K1266">
        <v>202.99999999999997</v>
      </c>
      <c r="L1266" t="s">
        <v>8</v>
      </c>
      <c r="M1266" t="s">
        <v>27</v>
      </c>
      <c r="N1266">
        <f>MONTH(Table1[[#This Row],[SaleDate]])</f>
        <v>5</v>
      </c>
      <c r="O1266" t="str">
        <f>TEXT(Table1[[#This Row],[SaleDate]],"MMM")</f>
        <v>May</v>
      </c>
    </row>
    <row r="1267" spans="1:15">
      <c r="A1267" s="1">
        <v>45077</v>
      </c>
      <c r="B1267" t="s">
        <v>23</v>
      </c>
      <c r="C1267" t="s">
        <v>19</v>
      </c>
      <c r="D1267">
        <v>1</v>
      </c>
      <c r="E1267" t="s">
        <v>10</v>
      </c>
      <c r="F1267">
        <v>89000</v>
      </c>
      <c r="G1267">
        <v>65000</v>
      </c>
      <c r="H1267">
        <f>Table1[[#This Row],[Qty]]*Table1[[#This Row],[SellingPrice]]</f>
        <v>89000</v>
      </c>
      <c r="I1267">
        <f>Table1[[#This Row],[Qty]]*Table1[[#This Row],[CostPrice]]</f>
        <v>65000</v>
      </c>
      <c r="J1267">
        <v>23832</v>
      </c>
      <c r="K1267">
        <v>167.99999999999997</v>
      </c>
      <c r="L1267" t="s">
        <v>8</v>
      </c>
      <c r="M1267" t="s">
        <v>29</v>
      </c>
      <c r="N1267">
        <f>MONTH(Table1[[#This Row],[SaleDate]])</f>
        <v>5</v>
      </c>
      <c r="O1267" t="str">
        <f>TEXT(Table1[[#This Row],[SaleDate]],"MMM")</f>
        <v>May</v>
      </c>
    </row>
    <row r="1268" spans="1:15">
      <c r="A1268" s="1">
        <v>45077</v>
      </c>
      <c r="B1268" t="s">
        <v>26</v>
      </c>
      <c r="C1268" t="s">
        <v>20</v>
      </c>
      <c r="D1268">
        <v>1</v>
      </c>
      <c r="E1268" t="s">
        <v>7</v>
      </c>
      <c r="F1268">
        <v>33000</v>
      </c>
      <c r="G1268">
        <v>18000</v>
      </c>
      <c r="H1268">
        <f>Table1[[#This Row],[Qty]]*Table1[[#This Row],[SellingPrice]]</f>
        <v>33000</v>
      </c>
      <c r="I1268">
        <f>Table1[[#This Row],[Qty]]*Table1[[#This Row],[CostPrice]]</f>
        <v>18000</v>
      </c>
      <c r="J1268">
        <v>14895</v>
      </c>
      <c r="K1268">
        <v>104.99999999999999</v>
      </c>
      <c r="L1268" t="s">
        <v>11</v>
      </c>
      <c r="M1268" t="s">
        <v>30</v>
      </c>
      <c r="N1268">
        <f>MONTH(Table1[[#This Row],[SaleDate]])</f>
        <v>5</v>
      </c>
      <c r="O1268" t="str">
        <f>TEXT(Table1[[#This Row],[SaleDate]],"MMM")</f>
        <v>May</v>
      </c>
    </row>
    <row r="1269" spans="1:15">
      <c r="A1269" s="1">
        <v>45077</v>
      </c>
      <c r="B1269" t="s">
        <v>24</v>
      </c>
      <c r="C1269" t="s">
        <v>22</v>
      </c>
      <c r="D1269">
        <v>1</v>
      </c>
      <c r="E1269" t="s">
        <v>7</v>
      </c>
      <c r="F1269">
        <v>33000</v>
      </c>
      <c r="G1269">
        <v>18000</v>
      </c>
      <c r="H1269">
        <f>Table1[[#This Row],[Qty]]*Table1[[#This Row],[SellingPrice]]</f>
        <v>33000</v>
      </c>
      <c r="I1269">
        <f>Table1[[#This Row],[Qty]]*Table1[[#This Row],[CostPrice]]</f>
        <v>18000</v>
      </c>
      <c r="J1269">
        <v>14895</v>
      </c>
      <c r="K1269">
        <v>104.99999999999999</v>
      </c>
      <c r="L1269" t="s">
        <v>12</v>
      </c>
      <c r="M1269" t="s">
        <v>30</v>
      </c>
      <c r="N1269">
        <f>MONTH(Table1[[#This Row],[SaleDate]])</f>
        <v>5</v>
      </c>
      <c r="O1269" t="str">
        <f>TEXT(Table1[[#This Row],[SaleDate]],"MMM")</f>
        <v>May</v>
      </c>
    </row>
    <row r="1270" spans="1:15">
      <c r="A1270" s="1">
        <v>45077</v>
      </c>
      <c r="B1270" t="s">
        <v>24</v>
      </c>
      <c r="C1270" t="s">
        <v>22</v>
      </c>
      <c r="D1270">
        <v>1</v>
      </c>
      <c r="E1270" t="s">
        <v>9</v>
      </c>
      <c r="F1270">
        <v>60000</v>
      </c>
      <c r="G1270">
        <v>31000</v>
      </c>
      <c r="H1270">
        <f>Table1[[#This Row],[Qty]]*Table1[[#This Row],[SellingPrice]]</f>
        <v>60000</v>
      </c>
      <c r="I1270">
        <f>Table1[[#This Row],[Qty]]*Table1[[#This Row],[CostPrice]]</f>
        <v>31000</v>
      </c>
      <c r="J1270">
        <v>28797</v>
      </c>
      <c r="K1270">
        <v>202.99999999999997</v>
      </c>
      <c r="L1270" t="s">
        <v>12</v>
      </c>
      <c r="M1270" t="s">
        <v>27</v>
      </c>
      <c r="N1270">
        <f>MONTH(Table1[[#This Row],[SaleDate]])</f>
        <v>5</v>
      </c>
      <c r="O1270" t="str">
        <f>TEXT(Table1[[#This Row],[SaleDate]],"MMM")</f>
        <v>May</v>
      </c>
    </row>
    <row r="1271" spans="1:15">
      <c r="A1271" s="1">
        <v>45077</v>
      </c>
      <c r="B1271" t="s">
        <v>24</v>
      </c>
      <c r="C1271" t="s">
        <v>22</v>
      </c>
      <c r="D1271">
        <v>1</v>
      </c>
      <c r="E1271" t="s">
        <v>10</v>
      </c>
      <c r="F1271">
        <v>89000</v>
      </c>
      <c r="G1271">
        <v>65000</v>
      </c>
      <c r="H1271">
        <f>Table1[[#This Row],[Qty]]*Table1[[#This Row],[SellingPrice]]</f>
        <v>89000</v>
      </c>
      <c r="I1271">
        <f>Table1[[#This Row],[Qty]]*Table1[[#This Row],[CostPrice]]</f>
        <v>65000</v>
      </c>
      <c r="J1271">
        <v>23832</v>
      </c>
      <c r="K1271">
        <v>167.99999999999997</v>
      </c>
      <c r="L1271" t="s">
        <v>12</v>
      </c>
      <c r="M1271" t="s">
        <v>29</v>
      </c>
      <c r="N1271">
        <f>MONTH(Table1[[#This Row],[SaleDate]])</f>
        <v>5</v>
      </c>
      <c r="O1271" t="str">
        <f>TEXT(Table1[[#This Row],[SaleDate]],"MMM")</f>
        <v>May</v>
      </c>
    </row>
    <row r="1272" spans="1:15">
      <c r="A1272" s="1">
        <v>45077</v>
      </c>
      <c r="B1272" t="s">
        <v>25</v>
      </c>
      <c r="C1272" t="s">
        <v>21</v>
      </c>
      <c r="D1272">
        <v>1</v>
      </c>
      <c r="E1272" t="s">
        <v>7</v>
      </c>
      <c r="F1272">
        <v>33000</v>
      </c>
      <c r="G1272">
        <v>18000</v>
      </c>
      <c r="H1272">
        <f>Table1[[#This Row],[Qty]]*Table1[[#This Row],[SellingPrice]]</f>
        <v>33000</v>
      </c>
      <c r="I1272">
        <f>Table1[[#This Row],[Qty]]*Table1[[#This Row],[CostPrice]]</f>
        <v>18000</v>
      </c>
      <c r="J1272">
        <v>14895</v>
      </c>
      <c r="K1272">
        <v>104.99999999999999</v>
      </c>
      <c r="L1272" t="s">
        <v>13</v>
      </c>
      <c r="M1272" t="s">
        <v>27</v>
      </c>
      <c r="N1272">
        <f>MONTH(Table1[[#This Row],[SaleDate]])</f>
        <v>5</v>
      </c>
      <c r="O1272" t="str">
        <f>TEXT(Table1[[#This Row],[SaleDate]],"MMM")</f>
        <v>May</v>
      </c>
    </row>
    <row r="1273" spans="1:15">
      <c r="A1273" s="1">
        <v>45077</v>
      </c>
      <c r="B1273" t="s">
        <v>25</v>
      </c>
      <c r="C1273" t="s">
        <v>21</v>
      </c>
      <c r="D1273">
        <v>1</v>
      </c>
      <c r="E1273" t="s">
        <v>9</v>
      </c>
      <c r="F1273">
        <v>60000</v>
      </c>
      <c r="G1273">
        <v>31000</v>
      </c>
      <c r="H1273">
        <f>Table1[[#This Row],[Qty]]*Table1[[#This Row],[SellingPrice]]</f>
        <v>60000</v>
      </c>
      <c r="I1273">
        <f>Table1[[#This Row],[Qty]]*Table1[[#This Row],[CostPrice]]</f>
        <v>31000</v>
      </c>
      <c r="J1273">
        <v>28797</v>
      </c>
      <c r="K1273">
        <v>202.99999999999997</v>
      </c>
      <c r="L1273" t="s">
        <v>13</v>
      </c>
      <c r="M1273" t="s">
        <v>29</v>
      </c>
      <c r="N1273">
        <f>MONTH(Table1[[#This Row],[SaleDate]])</f>
        <v>5</v>
      </c>
      <c r="O1273" t="str">
        <f>TEXT(Table1[[#This Row],[SaleDate]],"MMM")</f>
        <v>May</v>
      </c>
    </row>
    <row r="1274" spans="1:15">
      <c r="A1274" s="1">
        <v>45077</v>
      </c>
      <c r="B1274" t="s">
        <v>25</v>
      </c>
      <c r="C1274" t="s">
        <v>21</v>
      </c>
      <c r="D1274">
        <v>1</v>
      </c>
      <c r="E1274" t="s">
        <v>10</v>
      </c>
      <c r="F1274">
        <v>89000</v>
      </c>
      <c r="G1274">
        <v>65000</v>
      </c>
      <c r="H1274">
        <f>Table1[[#This Row],[Qty]]*Table1[[#This Row],[SellingPrice]]</f>
        <v>89000</v>
      </c>
      <c r="I1274">
        <f>Table1[[#This Row],[Qty]]*Table1[[#This Row],[CostPrice]]</f>
        <v>65000</v>
      </c>
      <c r="J1274">
        <v>23832</v>
      </c>
      <c r="K1274">
        <v>167.99999999999997</v>
      </c>
      <c r="L1274" t="s">
        <v>13</v>
      </c>
      <c r="M1274" t="s">
        <v>27</v>
      </c>
      <c r="N1274">
        <f>MONTH(Table1[[#This Row],[SaleDate]])</f>
        <v>5</v>
      </c>
      <c r="O1274" t="str">
        <f>TEXT(Table1[[#This Row],[SaleDate]],"MMM")</f>
        <v>May</v>
      </c>
    </row>
    <row r="1275" spans="1:15">
      <c r="A1275" s="1">
        <v>45078</v>
      </c>
      <c r="B1275" t="s">
        <v>23</v>
      </c>
      <c r="C1275" t="s">
        <v>19</v>
      </c>
      <c r="D1275">
        <v>1</v>
      </c>
      <c r="E1275" t="s">
        <v>7</v>
      </c>
      <c r="F1275">
        <v>33000</v>
      </c>
      <c r="G1275">
        <v>18000</v>
      </c>
      <c r="H1275">
        <f>Table1[[#This Row],[Qty]]*Table1[[#This Row],[SellingPrice]]</f>
        <v>33000</v>
      </c>
      <c r="I1275">
        <f>Table1[[#This Row],[Qty]]*Table1[[#This Row],[CostPrice]]</f>
        <v>18000</v>
      </c>
      <c r="J1275">
        <v>14895</v>
      </c>
      <c r="K1275">
        <v>104.99999999999999</v>
      </c>
      <c r="L1275" t="s">
        <v>8</v>
      </c>
      <c r="M1275" t="s">
        <v>29</v>
      </c>
      <c r="N1275">
        <f>MONTH(Table1[[#This Row],[SaleDate]])</f>
        <v>6</v>
      </c>
      <c r="O1275" t="str">
        <f>TEXT(Table1[[#This Row],[SaleDate]],"MMM")</f>
        <v>Jun</v>
      </c>
    </row>
    <row r="1276" spans="1:15">
      <c r="A1276" s="1">
        <v>45078</v>
      </c>
      <c r="B1276" t="s">
        <v>23</v>
      </c>
      <c r="C1276" t="s">
        <v>19</v>
      </c>
      <c r="D1276">
        <v>1</v>
      </c>
      <c r="E1276" t="s">
        <v>9</v>
      </c>
      <c r="F1276">
        <v>60000</v>
      </c>
      <c r="G1276">
        <v>31000</v>
      </c>
      <c r="H1276">
        <f>Table1[[#This Row],[Qty]]*Table1[[#This Row],[SellingPrice]]</f>
        <v>60000</v>
      </c>
      <c r="I1276">
        <f>Table1[[#This Row],[Qty]]*Table1[[#This Row],[CostPrice]]</f>
        <v>31000</v>
      </c>
      <c r="J1276">
        <v>28797</v>
      </c>
      <c r="K1276">
        <v>202.99999999999997</v>
      </c>
      <c r="L1276" t="s">
        <v>8</v>
      </c>
      <c r="M1276" t="s">
        <v>30</v>
      </c>
      <c r="N1276">
        <f>MONTH(Table1[[#This Row],[SaleDate]])</f>
        <v>6</v>
      </c>
      <c r="O1276" t="str">
        <f>TEXT(Table1[[#This Row],[SaleDate]],"MMM")</f>
        <v>Jun</v>
      </c>
    </row>
    <row r="1277" spans="1:15">
      <c r="A1277" s="1">
        <v>45078</v>
      </c>
      <c r="B1277" t="s">
        <v>23</v>
      </c>
      <c r="C1277" t="s">
        <v>19</v>
      </c>
      <c r="D1277">
        <v>1</v>
      </c>
      <c r="E1277" t="s">
        <v>10</v>
      </c>
      <c r="F1277">
        <v>89000</v>
      </c>
      <c r="G1277">
        <v>65000</v>
      </c>
      <c r="H1277">
        <f>Table1[[#This Row],[Qty]]*Table1[[#This Row],[SellingPrice]]</f>
        <v>89000</v>
      </c>
      <c r="I1277">
        <f>Table1[[#This Row],[Qty]]*Table1[[#This Row],[CostPrice]]</f>
        <v>65000</v>
      </c>
      <c r="J1277">
        <v>23832</v>
      </c>
      <c r="K1277">
        <v>167.99999999999997</v>
      </c>
      <c r="L1277" t="s">
        <v>8</v>
      </c>
      <c r="M1277" t="s">
        <v>27</v>
      </c>
      <c r="N1277">
        <f>MONTH(Table1[[#This Row],[SaleDate]])</f>
        <v>6</v>
      </c>
      <c r="O1277" t="str">
        <f>TEXT(Table1[[#This Row],[SaleDate]],"MMM")</f>
        <v>Jun</v>
      </c>
    </row>
    <row r="1278" spans="1:15">
      <c r="A1278" s="1">
        <v>45078</v>
      </c>
      <c r="B1278" t="s">
        <v>26</v>
      </c>
      <c r="C1278" t="s">
        <v>20</v>
      </c>
      <c r="D1278">
        <v>1</v>
      </c>
      <c r="E1278" t="s">
        <v>7</v>
      </c>
      <c r="F1278">
        <v>33000</v>
      </c>
      <c r="G1278">
        <v>18000</v>
      </c>
      <c r="H1278">
        <f>Table1[[#This Row],[Qty]]*Table1[[#This Row],[SellingPrice]]</f>
        <v>33000</v>
      </c>
      <c r="I1278">
        <f>Table1[[#This Row],[Qty]]*Table1[[#This Row],[CostPrice]]</f>
        <v>18000</v>
      </c>
      <c r="J1278">
        <v>14895</v>
      </c>
      <c r="K1278">
        <v>104.99999999999999</v>
      </c>
      <c r="L1278" t="s">
        <v>11</v>
      </c>
      <c r="M1278" t="s">
        <v>29</v>
      </c>
      <c r="N1278">
        <f>MONTH(Table1[[#This Row],[SaleDate]])</f>
        <v>6</v>
      </c>
      <c r="O1278" t="str">
        <f>TEXT(Table1[[#This Row],[SaleDate]],"MMM")</f>
        <v>Jun</v>
      </c>
    </row>
    <row r="1279" spans="1:15">
      <c r="A1279" s="1">
        <v>45078</v>
      </c>
      <c r="B1279" t="s">
        <v>24</v>
      </c>
      <c r="C1279" t="s">
        <v>22</v>
      </c>
      <c r="D1279">
        <v>1</v>
      </c>
      <c r="E1279" t="s">
        <v>7</v>
      </c>
      <c r="F1279">
        <v>33000</v>
      </c>
      <c r="G1279">
        <v>18000</v>
      </c>
      <c r="H1279">
        <f>Table1[[#This Row],[Qty]]*Table1[[#This Row],[SellingPrice]]</f>
        <v>33000</v>
      </c>
      <c r="I1279">
        <f>Table1[[#This Row],[Qty]]*Table1[[#This Row],[CostPrice]]</f>
        <v>18000</v>
      </c>
      <c r="J1279">
        <v>14895</v>
      </c>
      <c r="K1279">
        <v>104.99999999999999</v>
      </c>
      <c r="L1279" t="s">
        <v>12</v>
      </c>
      <c r="M1279" t="s">
        <v>27</v>
      </c>
      <c r="N1279">
        <f>MONTH(Table1[[#This Row],[SaleDate]])</f>
        <v>6</v>
      </c>
      <c r="O1279" t="str">
        <f>TEXT(Table1[[#This Row],[SaleDate]],"MMM")</f>
        <v>Jun</v>
      </c>
    </row>
    <row r="1280" spans="1:15">
      <c r="A1280" s="1">
        <v>45078</v>
      </c>
      <c r="B1280" t="s">
        <v>24</v>
      </c>
      <c r="C1280" t="s">
        <v>22</v>
      </c>
      <c r="D1280">
        <v>1</v>
      </c>
      <c r="E1280" t="s">
        <v>10</v>
      </c>
      <c r="F1280">
        <v>89000</v>
      </c>
      <c r="G1280">
        <v>65000</v>
      </c>
      <c r="H1280">
        <f>Table1[[#This Row],[Qty]]*Table1[[#This Row],[SellingPrice]]</f>
        <v>89000</v>
      </c>
      <c r="I1280">
        <f>Table1[[#This Row],[Qty]]*Table1[[#This Row],[CostPrice]]</f>
        <v>65000</v>
      </c>
      <c r="J1280">
        <v>23832</v>
      </c>
      <c r="K1280">
        <v>167.99999999999997</v>
      </c>
      <c r="L1280" t="s">
        <v>12</v>
      </c>
      <c r="M1280" t="s">
        <v>29</v>
      </c>
      <c r="N1280">
        <f>MONTH(Table1[[#This Row],[SaleDate]])</f>
        <v>6</v>
      </c>
      <c r="O1280" t="str">
        <f>TEXT(Table1[[#This Row],[SaleDate]],"MMM")</f>
        <v>Jun</v>
      </c>
    </row>
    <row r="1281" spans="1:15">
      <c r="A1281" s="1">
        <v>45078</v>
      </c>
      <c r="B1281" t="s">
        <v>25</v>
      </c>
      <c r="C1281" t="s">
        <v>21</v>
      </c>
      <c r="D1281">
        <v>1</v>
      </c>
      <c r="E1281" t="s">
        <v>7</v>
      </c>
      <c r="F1281">
        <v>33000</v>
      </c>
      <c r="G1281">
        <v>18000</v>
      </c>
      <c r="H1281">
        <f>Table1[[#This Row],[Qty]]*Table1[[#This Row],[SellingPrice]]</f>
        <v>33000</v>
      </c>
      <c r="I1281">
        <f>Table1[[#This Row],[Qty]]*Table1[[#This Row],[CostPrice]]</f>
        <v>18000</v>
      </c>
      <c r="J1281">
        <v>14895</v>
      </c>
      <c r="K1281">
        <v>104.99999999999999</v>
      </c>
      <c r="L1281" t="s">
        <v>13</v>
      </c>
      <c r="M1281" t="s">
        <v>27</v>
      </c>
      <c r="N1281">
        <f>MONTH(Table1[[#This Row],[SaleDate]])</f>
        <v>6</v>
      </c>
      <c r="O1281" t="str">
        <f>TEXT(Table1[[#This Row],[SaleDate]],"MMM")</f>
        <v>Jun</v>
      </c>
    </row>
    <row r="1282" spans="1:15">
      <c r="A1282" s="1">
        <v>45078</v>
      </c>
      <c r="B1282" t="s">
        <v>25</v>
      </c>
      <c r="C1282" t="s">
        <v>21</v>
      </c>
      <c r="D1282">
        <v>1</v>
      </c>
      <c r="E1282" t="s">
        <v>9</v>
      </c>
      <c r="F1282">
        <v>60000</v>
      </c>
      <c r="G1282">
        <v>31000</v>
      </c>
      <c r="H1282">
        <f>Table1[[#This Row],[Qty]]*Table1[[#This Row],[SellingPrice]]</f>
        <v>60000</v>
      </c>
      <c r="I1282">
        <f>Table1[[#This Row],[Qty]]*Table1[[#This Row],[CostPrice]]</f>
        <v>31000</v>
      </c>
      <c r="J1282">
        <v>28797</v>
      </c>
      <c r="K1282">
        <v>202.99999999999997</v>
      </c>
      <c r="L1282" t="s">
        <v>13</v>
      </c>
      <c r="M1282" t="s">
        <v>27</v>
      </c>
      <c r="N1282">
        <f>MONTH(Table1[[#This Row],[SaleDate]])</f>
        <v>6</v>
      </c>
      <c r="O1282" t="str">
        <f>TEXT(Table1[[#This Row],[SaleDate]],"MMM")</f>
        <v>Jun</v>
      </c>
    </row>
    <row r="1283" spans="1:15">
      <c r="A1283" s="1">
        <v>45078</v>
      </c>
      <c r="B1283" t="s">
        <v>25</v>
      </c>
      <c r="C1283" t="s">
        <v>21</v>
      </c>
      <c r="D1283">
        <v>1</v>
      </c>
      <c r="E1283" t="s">
        <v>10</v>
      </c>
      <c r="F1283">
        <v>89000</v>
      </c>
      <c r="G1283">
        <v>65000</v>
      </c>
      <c r="H1283">
        <f>Table1[[#This Row],[Qty]]*Table1[[#This Row],[SellingPrice]]</f>
        <v>89000</v>
      </c>
      <c r="I1283">
        <f>Table1[[#This Row],[Qty]]*Table1[[#This Row],[CostPrice]]</f>
        <v>65000</v>
      </c>
      <c r="J1283">
        <v>23832</v>
      </c>
      <c r="K1283">
        <v>167.99999999999997</v>
      </c>
      <c r="L1283" t="s">
        <v>13</v>
      </c>
      <c r="M1283" t="s">
        <v>28</v>
      </c>
      <c r="N1283">
        <f>MONTH(Table1[[#This Row],[SaleDate]])</f>
        <v>6</v>
      </c>
      <c r="O1283" t="str">
        <f>TEXT(Table1[[#This Row],[SaleDate]],"MMM")</f>
        <v>Jun</v>
      </c>
    </row>
    <row r="1284" spans="1:15">
      <c r="A1284" s="1">
        <v>45079</v>
      </c>
      <c r="B1284" t="s">
        <v>23</v>
      </c>
      <c r="C1284" t="s">
        <v>19</v>
      </c>
      <c r="D1284">
        <v>1</v>
      </c>
      <c r="E1284" t="s">
        <v>7</v>
      </c>
      <c r="F1284">
        <v>33000</v>
      </c>
      <c r="G1284">
        <v>18000</v>
      </c>
      <c r="H1284">
        <f>Table1[[#This Row],[Qty]]*Table1[[#This Row],[SellingPrice]]</f>
        <v>33000</v>
      </c>
      <c r="I1284">
        <f>Table1[[#This Row],[Qty]]*Table1[[#This Row],[CostPrice]]</f>
        <v>18000</v>
      </c>
      <c r="J1284">
        <v>14895</v>
      </c>
      <c r="K1284">
        <v>104.99999999999999</v>
      </c>
      <c r="L1284" t="s">
        <v>8</v>
      </c>
      <c r="M1284" t="s">
        <v>29</v>
      </c>
      <c r="N1284">
        <f>MONTH(Table1[[#This Row],[SaleDate]])</f>
        <v>6</v>
      </c>
      <c r="O1284" t="str">
        <f>TEXT(Table1[[#This Row],[SaleDate]],"MMM")</f>
        <v>Jun</v>
      </c>
    </row>
    <row r="1285" spans="1:15">
      <c r="A1285" s="1">
        <v>45079</v>
      </c>
      <c r="B1285" t="s">
        <v>23</v>
      </c>
      <c r="C1285" t="s">
        <v>19</v>
      </c>
      <c r="D1285">
        <v>1</v>
      </c>
      <c r="E1285" t="s">
        <v>9</v>
      </c>
      <c r="F1285">
        <v>60000</v>
      </c>
      <c r="G1285">
        <v>31000</v>
      </c>
      <c r="H1285">
        <f>Table1[[#This Row],[Qty]]*Table1[[#This Row],[SellingPrice]]</f>
        <v>60000</v>
      </c>
      <c r="I1285">
        <f>Table1[[#This Row],[Qty]]*Table1[[#This Row],[CostPrice]]</f>
        <v>31000</v>
      </c>
      <c r="J1285">
        <v>28797</v>
      </c>
      <c r="K1285">
        <v>202.99999999999997</v>
      </c>
      <c r="L1285" t="s">
        <v>8</v>
      </c>
      <c r="M1285" t="s">
        <v>29</v>
      </c>
      <c r="N1285">
        <f>MONTH(Table1[[#This Row],[SaleDate]])</f>
        <v>6</v>
      </c>
      <c r="O1285" t="str">
        <f>TEXT(Table1[[#This Row],[SaleDate]],"MMM")</f>
        <v>Jun</v>
      </c>
    </row>
    <row r="1286" spans="1:15">
      <c r="A1286" s="1">
        <v>45079</v>
      </c>
      <c r="B1286" t="s">
        <v>23</v>
      </c>
      <c r="C1286" t="s">
        <v>19</v>
      </c>
      <c r="D1286">
        <v>1</v>
      </c>
      <c r="E1286" t="s">
        <v>10</v>
      </c>
      <c r="F1286">
        <v>89000</v>
      </c>
      <c r="G1286">
        <v>65000</v>
      </c>
      <c r="H1286">
        <f>Table1[[#This Row],[Qty]]*Table1[[#This Row],[SellingPrice]]</f>
        <v>89000</v>
      </c>
      <c r="I1286">
        <f>Table1[[#This Row],[Qty]]*Table1[[#This Row],[CostPrice]]</f>
        <v>65000</v>
      </c>
      <c r="J1286">
        <v>23832</v>
      </c>
      <c r="K1286">
        <v>167.99999999999997</v>
      </c>
      <c r="L1286" t="s">
        <v>8</v>
      </c>
      <c r="M1286" t="s">
        <v>28</v>
      </c>
      <c r="N1286">
        <f>MONTH(Table1[[#This Row],[SaleDate]])</f>
        <v>6</v>
      </c>
      <c r="O1286" t="str">
        <f>TEXT(Table1[[#This Row],[SaleDate]],"MMM")</f>
        <v>Jun</v>
      </c>
    </row>
    <row r="1287" spans="1:15">
      <c r="A1287" s="1">
        <v>45079</v>
      </c>
      <c r="B1287" t="s">
        <v>26</v>
      </c>
      <c r="C1287" t="s">
        <v>20</v>
      </c>
      <c r="D1287">
        <v>1</v>
      </c>
      <c r="E1287" t="s">
        <v>7</v>
      </c>
      <c r="F1287">
        <v>33000</v>
      </c>
      <c r="G1287">
        <v>18000</v>
      </c>
      <c r="H1287">
        <f>Table1[[#This Row],[Qty]]*Table1[[#This Row],[SellingPrice]]</f>
        <v>33000</v>
      </c>
      <c r="I1287">
        <f>Table1[[#This Row],[Qty]]*Table1[[#This Row],[CostPrice]]</f>
        <v>18000</v>
      </c>
      <c r="J1287">
        <v>14895</v>
      </c>
      <c r="K1287">
        <v>104.99999999999999</v>
      </c>
      <c r="L1287" t="s">
        <v>11</v>
      </c>
      <c r="M1287" t="s">
        <v>29</v>
      </c>
      <c r="N1287">
        <f>MONTH(Table1[[#This Row],[SaleDate]])</f>
        <v>6</v>
      </c>
      <c r="O1287" t="str">
        <f>TEXT(Table1[[#This Row],[SaleDate]],"MMM")</f>
        <v>Jun</v>
      </c>
    </row>
    <row r="1288" spans="1:15">
      <c r="A1288" s="1">
        <v>45079</v>
      </c>
      <c r="B1288" t="s">
        <v>24</v>
      </c>
      <c r="C1288" t="s">
        <v>22</v>
      </c>
      <c r="D1288">
        <v>1</v>
      </c>
      <c r="E1288" t="s">
        <v>7</v>
      </c>
      <c r="F1288">
        <v>33000</v>
      </c>
      <c r="G1288">
        <v>18000</v>
      </c>
      <c r="H1288">
        <f>Table1[[#This Row],[Qty]]*Table1[[#This Row],[SellingPrice]]</f>
        <v>33000</v>
      </c>
      <c r="I1288">
        <f>Table1[[#This Row],[Qty]]*Table1[[#This Row],[CostPrice]]</f>
        <v>18000</v>
      </c>
      <c r="J1288">
        <v>14895</v>
      </c>
      <c r="K1288">
        <v>104.99999999999999</v>
      </c>
      <c r="L1288" t="s">
        <v>12</v>
      </c>
      <c r="M1288" t="s">
        <v>29</v>
      </c>
      <c r="N1288">
        <f>MONTH(Table1[[#This Row],[SaleDate]])</f>
        <v>6</v>
      </c>
      <c r="O1288" t="str">
        <f>TEXT(Table1[[#This Row],[SaleDate]],"MMM")</f>
        <v>Jun</v>
      </c>
    </row>
    <row r="1289" spans="1:15">
      <c r="A1289" s="1">
        <v>45079</v>
      </c>
      <c r="B1289" t="s">
        <v>24</v>
      </c>
      <c r="C1289" t="s">
        <v>22</v>
      </c>
      <c r="D1289">
        <v>1</v>
      </c>
      <c r="E1289" t="s">
        <v>9</v>
      </c>
      <c r="F1289">
        <v>60000</v>
      </c>
      <c r="G1289">
        <v>31000</v>
      </c>
      <c r="H1289">
        <f>Table1[[#This Row],[Qty]]*Table1[[#This Row],[SellingPrice]]</f>
        <v>60000</v>
      </c>
      <c r="I1289">
        <f>Table1[[#This Row],[Qty]]*Table1[[#This Row],[CostPrice]]</f>
        <v>31000</v>
      </c>
      <c r="J1289">
        <v>28797</v>
      </c>
      <c r="K1289">
        <v>202.99999999999997</v>
      </c>
      <c r="L1289" t="s">
        <v>12</v>
      </c>
      <c r="M1289" t="s">
        <v>30</v>
      </c>
      <c r="N1289">
        <f>MONTH(Table1[[#This Row],[SaleDate]])</f>
        <v>6</v>
      </c>
      <c r="O1289" t="str">
        <f>TEXT(Table1[[#This Row],[SaleDate]],"MMM")</f>
        <v>Jun</v>
      </c>
    </row>
    <row r="1290" spans="1:15">
      <c r="A1290" s="1">
        <v>45079</v>
      </c>
      <c r="B1290" t="s">
        <v>24</v>
      </c>
      <c r="C1290" t="s">
        <v>22</v>
      </c>
      <c r="D1290">
        <v>1</v>
      </c>
      <c r="E1290" t="s">
        <v>10</v>
      </c>
      <c r="F1290">
        <v>89000</v>
      </c>
      <c r="G1290">
        <v>65000</v>
      </c>
      <c r="H1290">
        <f>Table1[[#This Row],[Qty]]*Table1[[#This Row],[SellingPrice]]</f>
        <v>89000</v>
      </c>
      <c r="I1290">
        <f>Table1[[#This Row],[Qty]]*Table1[[#This Row],[CostPrice]]</f>
        <v>65000</v>
      </c>
      <c r="J1290">
        <v>23832</v>
      </c>
      <c r="K1290">
        <v>167.99999999999997</v>
      </c>
      <c r="L1290" t="s">
        <v>12</v>
      </c>
      <c r="M1290" t="s">
        <v>30</v>
      </c>
      <c r="N1290">
        <f>MONTH(Table1[[#This Row],[SaleDate]])</f>
        <v>6</v>
      </c>
      <c r="O1290" t="str">
        <f>TEXT(Table1[[#This Row],[SaleDate]],"MMM")</f>
        <v>Jun</v>
      </c>
    </row>
    <row r="1291" spans="1:15">
      <c r="A1291" s="1">
        <v>45079</v>
      </c>
      <c r="B1291" t="s">
        <v>25</v>
      </c>
      <c r="C1291" t="s">
        <v>21</v>
      </c>
      <c r="D1291">
        <v>1</v>
      </c>
      <c r="E1291" t="s">
        <v>7</v>
      </c>
      <c r="F1291">
        <v>33000</v>
      </c>
      <c r="G1291">
        <v>18000</v>
      </c>
      <c r="H1291">
        <f>Table1[[#This Row],[Qty]]*Table1[[#This Row],[SellingPrice]]</f>
        <v>33000</v>
      </c>
      <c r="I1291">
        <f>Table1[[#This Row],[Qty]]*Table1[[#This Row],[CostPrice]]</f>
        <v>18000</v>
      </c>
      <c r="J1291">
        <v>14895</v>
      </c>
      <c r="K1291">
        <v>104.99999999999999</v>
      </c>
      <c r="L1291" t="s">
        <v>13</v>
      </c>
      <c r="M1291" t="s">
        <v>29</v>
      </c>
      <c r="N1291">
        <f>MONTH(Table1[[#This Row],[SaleDate]])</f>
        <v>6</v>
      </c>
      <c r="O1291" t="str">
        <f>TEXT(Table1[[#This Row],[SaleDate]],"MMM")</f>
        <v>Jun</v>
      </c>
    </row>
    <row r="1292" spans="1:15">
      <c r="A1292" s="1">
        <v>45079</v>
      </c>
      <c r="B1292" t="s">
        <v>25</v>
      </c>
      <c r="C1292" t="s">
        <v>21</v>
      </c>
      <c r="D1292">
        <v>1</v>
      </c>
      <c r="E1292" t="s">
        <v>9</v>
      </c>
      <c r="F1292">
        <v>60000</v>
      </c>
      <c r="G1292">
        <v>31000</v>
      </c>
      <c r="H1292">
        <f>Table1[[#This Row],[Qty]]*Table1[[#This Row],[SellingPrice]]</f>
        <v>60000</v>
      </c>
      <c r="I1292">
        <f>Table1[[#This Row],[Qty]]*Table1[[#This Row],[CostPrice]]</f>
        <v>31000</v>
      </c>
      <c r="J1292">
        <v>28797</v>
      </c>
      <c r="K1292">
        <v>202.99999999999997</v>
      </c>
      <c r="L1292" t="s">
        <v>13</v>
      </c>
      <c r="M1292" t="s">
        <v>29</v>
      </c>
      <c r="N1292">
        <f>MONTH(Table1[[#This Row],[SaleDate]])</f>
        <v>6</v>
      </c>
      <c r="O1292" t="str">
        <f>TEXT(Table1[[#This Row],[SaleDate]],"MMM")</f>
        <v>Jun</v>
      </c>
    </row>
    <row r="1293" spans="1:15">
      <c r="A1293" s="1">
        <v>45079</v>
      </c>
      <c r="B1293" t="s">
        <v>25</v>
      </c>
      <c r="C1293" t="s">
        <v>21</v>
      </c>
      <c r="D1293">
        <v>1</v>
      </c>
      <c r="E1293" t="s">
        <v>10</v>
      </c>
      <c r="F1293">
        <v>89000</v>
      </c>
      <c r="G1293">
        <v>65000</v>
      </c>
      <c r="H1293">
        <f>Table1[[#This Row],[Qty]]*Table1[[#This Row],[SellingPrice]]</f>
        <v>89000</v>
      </c>
      <c r="I1293">
        <f>Table1[[#This Row],[Qty]]*Table1[[#This Row],[CostPrice]]</f>
        <v>65000</v>
      </c>
      <c r="J1293">
        <v>23832</v>
      </c>
      <c r="K1293">
        <v>167.99999999999997</v>
      </c>
      <c r="L1293" t="s">
        <v>13</v>
      </c>
      <c r="M1293" t="s">
        <v>29</v>
      </c>
      <c r="N1293">
        <f>MONTH(Table1[[#This Row],[SaleDate]])</f>
        <v>6</v>
      </c>
      <c r="O1293" t="str">
        <f>TEXT(Table1[[#This Row],[SaleDate]],"MMM")</f>
        <v>Jun</v>
      </c>
    </row>
    <row r="1294" spans="1:15">
      <c r="A1294" s="1">
        <v>45080</v>
      </c>
      <c r="B1294" t="s">
        <v>23</v>
      </c>
      <c r="C1294" t="s">
        <v>19</v>
      </c>
      <c r="D1294">
        <v>1</v>
      </c>
      <c r="E1294" t="s">
        <v>7</v>
      </c>
      <c r="F1294">
        <v>33000</v>
      </c>
      <c r="G1294">
        <v>18000</v>
      </c>
      <c r="H1294">
        <f>Table1[[#This Row],[Qty]]*Table1[[#This Row],[SellingPrice]]</f>
        <v>33000</v>
      </c>
      <c r="I1294">
        <f>Table1[[#This Row],[Qty]]*Table1[[#This Row],[CostPrice]]</f>
        <v>18000</v>
      </c>
      <c r="J1294">
        <v>14895</v>
      </c>
      <c r="K1294">
        <v>104.99999999999999</v>
      </c>
      <c r="L1294" t="s">
        <v>8</v>
      </c>
      <c r="M1294" t="s">
        <v>29</v>
      </c>
      <c r="N1294">
        <f>MONTH(Table1[[#This Row],[SaleDate]])</f>
        <v>6</v>
      </c>
      <c r="O1294" t="str">
        <f>TEXT(Table1[[#This Row],[SaleDate]],"MMM")</f>
        <v>Jun</v>
      </c>
    </row>
    <row r="1295" spans="1:15">
      <c r="A1295" s="1">
        <v>45080</v>
      </c>
      <c r="B1295" t="s">
        <v>23</v>
      </c>
      <c r="C1295" t="s">
        <v>19</v>
      </c>
      <c r="D1295">
        <v>1</v>
      </c>
      <c r="E1295" t="s">
        <v>9</v>
      </c>
      <c r="F1295">
        <v>60000</v>
      </c>
      <c r="G1295">
        <v>31000</v>
      </c>
      <c r="H1295">
        <f>Table1[[#This Row],[Qty]]*Table1[[#This Row],[SellingPrice]]</f>
        <v>60000</v>
      </c>
      <c r="I1295">
        <f>Table1[[#This Row],[Qty]]*Table1[[#This Row],[CostPrice]]</f>
        <v>31000</v>
      </c>
      <c r="J1295">
        <v>28797</v>
      </c>
      <c r="K1295">
        <v>202.99999999999997</v>
      </c>
      <c r="L1295" t="s">
        <v>8</v>
      </c>
      <c r="M1295" t="s">
        <v>29</v>
      </c>
      <c r="N1295">
        <f>MONTH(Table1[[#This Row],[SaleDate]])</f>
        <v>6</v>
      </c>
      <c r="O1295" t="str">
        <f>TEXT(Table1[[#This Row],[SaleDate]],"MMM")</f>
        <v>Jun</v>
      </c>
    </row>
    <row r="1296" spans="1:15">
      <c r="A1296" s="1">
        <v>45080</v>
      </c>
      <c r="B1296" t="s">
        <v>23</v>
      </c>
      <c r="C1296" t="s">
        <v>19</v>
      </c>
      <c r="D1296">
        <v>1</v>
      </c>
      <c r="E1296" t="s">
        <v>10</v>
      </c>
      <c r="F1296">
        <v>89000</v>
      </c>
      <c r="G1296">
        <v>65000</v>
      </c>
      <c r="H1296">
        <f>Table1[[#This Row],[Qty]]*Table1[[#This Row],[SellingPrice]]</f>
        <v>89000</v>
      </c>
      <c r="I1296">
        <f>Table1[[#This Row],[Qty]]*Table1[[#This Row],[CostPrice]]</f>
        <v>65000</v>
      </c>
      <c r="J1296">
        <v>23832</v>
      </c>
      <c r="K1296">
        <v>167.99999999999997</v>
      </c>
      <c r="L1296" t="s">
        <v>8</v>
      </c>
      <c r="M1296" t="s">
        <v>27</v>
      </c>
      <c r="N1296">
        <f>MONTH(Table1[[#This Row],[SaleDate]])</f>
        <v>6</v>
      </c>
      <c r="O1296" t="str">
        <f>TEXT(Table1[[#This Row],[SaleDate]],"MMM")</f>
        <v>Jun</v>
      </c>
    </row>
    <row r="1297" spans="1:15">
      <c r="A1297" s="1">
        <v>45080</v>
      </c>
      <c r="B1297" t="s">
        <v>24</v>
      </c>
      <c r="C1297" t="s">
        <v>22</v>
      </c>
      <c r="D1297">
        <v>1</v>
      </c>
      <c r="E1297" t="s">
        <v>7</v>
      </c>
      <c r="F1297">
        <v>33000</v>
      </c>
      <c r="G1297">
        <v>18000</v>
      </c>
      <c r="H1297">
        <f>Table1[[#This Row],[Qty]]*Table1[[#This Row],[SellingPrice]]</f>
        <v>33000</v>
      </c>
      <c r="I1297">
        <f>Table1[[#This Row],[Qty]]*Table1[[#This Row],[CostPrice]]</f>
        <v>18000</v>
      </c>
      <c r="J1297">
        <v>14895</v>
      </c>
      <c r="K1297">
        <v>104.99999999999999</v>
      </c>
      <c r="L1297" t="s">
        <v>12</v>
      </c>
      <c r="M1297" t="s">
        <v>30</v>
      </c>
      <c r="N1297">
        <f>MONTH(Table1[[#This Row],[SaleDate]])</f>
        <v>6</v>
      </c>
      <c r="O1297" t="str">
        <f>TEXT(Table1[[#This Row],[SaleDate]],"MMM")</f>
        <v>Jun</v>
      </c>
    </row>
    <row r="1298" spans="1:15">
      <c r="A1298" s="1">
        <v>45080</v>
      </c>
      <c r="B1298" t="s">
        <v>24</v>
      </c>
      <c r="C1298" t="s">
        <v>22</v>
      </c>
      <c r="D1298">
        <v>1</v>
      </c>
      <c r="E1298" t="s">
        <v>9</v>
      </c>
      <c r="F1298">
        <v>60000</v>
      </c>
      <c r="G1298">
        <v>31000</v>
      </c>
      <c r="H1298">
        <f>Table1[[#This Row],[Qty]]*Table1[[#This Row],[SellingPrice]]</f>
        <v>60000</v>
      </c>
      <c r="I1298">
        <f>Table1[[#This Row],[Qty]]*Table1[[#This Row],[CostPrice]]</f>
        <v>31000</v>
      </c>
      <c r="J1298">
        <v>28797</v>
      </c>
      <c r="K1298">
        <v>202.99999999999997</v>
      </c>
      <c r="L1298" t="s">
        <v>12</v>
      </c>
      <c r="M1298" t="s">
        <v>30</v>
      </c>
      <c r="N1298">
        <f>MONTH(Table1[[#This Row],[SaleDate]])</f>
        <v>6</v>
      </c>
      <c r="O1298" t="str">
        <f>TEXT(Table1[[#This Row],[SaleDate]],"MMM")</f>
        <v>Jun</v>
      </c>
    </row>
    <row r="1299" spans="1:15">
      <c r="A1299" s="1">
        <v>45080</v>
      </c>
      <c r="B1299" t="s">
        <v>24</v>
      </c>
      <c r="C1299" t="s">
        <v>22</v>
      </c>
      <c r="D1299">
        <v>1</v>
      </c>
      <c r="E1299" t="s">
        <v>10</v>
      </c>
      <c r="F1299">
        <v>89000</v>
      </c>
      <c r="G1299">
        <v>65000</v>
      </c>
      <c r="H1299">
        <f>Table1[[#This Row],[Qty]]*Table1[[#This Row],[SellingPrice]]</f>
        <v>89000</v>
      </c>
      <c r="I1299">
        <f>Table1[[#This Row],[Qty]]*Table1[[#This Row],[CostPrice]]</f>
        <v>65000</v>
      </c>
      <c r="J1299">
        <v>23832</v>
      </c>
      <c r="K1299">
        <v>167.99999999999997</v>
      </c>
      <c r="L1299" t="s">
        <v>12</v>
      </c>
      <c r="M1299" t="s">
        <v>27</v>
      </c>
      <c r="N1299">
        <f>MONTH(Table1[[#This Row],[SaleDate]])</f>
        <v>6</v>
      </c>
      <c r="O1299" t="str">
        <f>TEXT(Table1[[#This Row],[SaleDate]],"MMM")</f>
        <v>Jun</v>
      </c>
    </row>
    <row r="1300" spans="1:15">
      <c r="A1300" s="1">
        <v>45080</v>
      </c>
      <c r="B1300" t="s">
        <v>25</v>
      </c>
      <c r="C1300" t="s">
        <v>21</v>
      </c>
      <c r="D1300">
        <v>1</v>
      </c>
      <c r="E1300" t="s">
        <v>7</v>
      </c>
      <c r="F1300">
        <v>33000</v>
      </c>
      <c r="G1300">
        <v>18000</v>
      </c>
      <c r="H1300">
        <f>Table1[[#This Row],[Qty]]*Table1[[#This Row],[SellingPrice]]</f>
        <v>33000</v>
      </c>
      <c r="I1300">
        <f>Table1[[#This Row],[Qty]]*Table1[[#This Row],[CostPrice]]</f>
        <v>18000</v>
      </c>
      <c r="J1300">
        <v>14895</v>
      </c>
      <c r="K1300">
        <v>104.99999999999999</v>
      </c>
      <c r="L1300" t="s">
        <v>13</v>
      </c>
      <c r="M1300" t="s">
        <v>27</v>
      </c>
      <c r="N1300">
        <f>MONTH(Table1[[#This Row],[SaleDate]])</f>
        <v>6</v>
      </c>
      <c r="O1300" t="str">
        <f>TEXT(Table1[[#This Row],[SaleDate]],"MMM")</f>
        <v>Jun</v>
      </c>
    </row>
    <row r="1301" spans="1:15">
      <c r="A1301" s="1">
        <v>45080</v>
      </c>
      <c r="B1301" t="s">
        <v>25</v>
      </c>
      <c r="C1301" t="s">
        <v>21</v>
      </c>
      <c r="D1301">
        <v>1</v>
      </c>
      <c r="E1301" t="s">
        <v>9</v>
      </c>
      <c r="F1301">
        <v>60000</v>
      </c>
      <c r="G1301">
        <v>31000</v>
      </c>
      <c r="H1301">
        <f>Table1[[#This Row],[Qty]]*Table1[[#This Row],[SellingPrice]]</f>
        <v>60000</v>
      </c>
      <c r="I1301">
        <f>Table1[[#This Row],[Qty]]*Table1[[#This Row],[CostPrice]]</f>
        <v>31000</v>
      </c>
      <c r="J1301">
        <v>28797</v>
      </c>
      <c r="K1301">
        <v>202.99999999999997</v>
      </c>
      <c r="L1301" t="s">
        <v>13</v>
      </c>
      <c r="M1301" t="s">
        <v>27</v>
      </c>
      <c r="N1301">
        <f>MONTH(Table1[[#This Row],[SaleDate]])</f>
        <v>6</v>
      </c>
      <c r="O1301" t="str">
        <f>TEXT(Table1[[#This Row],[SaleDate]],"MMM")</f>
        <v>Jun</v>
      </c>
    </row>
    <row r="1302" spans="1:15">
      <c r="A1302" s="1">
        <v>45080</v>
      </c>
      <c r="B1302" t="s">
        <v>25</v>
      </c>
      <c r="C1302" t="s">
        <v>21</v>
      </c>
      <c r="D1302">
        <v>1</v>
      </c>
      <c r="E1302" t="s">
        <v>10</v>
      </c>
      <c r="F1302">
        <v>89000</v>
      </c>
      <c r="G1302">
        <v>65000</v>
      </c>
      <c r="H1302">
        <f>Table1[[#This Row],[Qty]]*Table1[[#This Row],[SellingPrice]]</f>
        <v>89000</v>
      </c>
      <c r="I1302">
        <f>Table1[[#This Row],[Qty]]*Table1[[#This Row],[CostPrice]]</f>
        <v>65000</v>
      </c>
      <c r="J1302">
        <v>23832</v>
      </c>
      <c r="K1302">
        <v>167.99999999999997</v>
      </c>
      <c r="L1302" t="s">
        <v>13</v>
      </c>
      <c r="M1302" t="s">
        <v>30</v>
      </c>
      <c r="N1302">
        <f>MONTH(Table1[[#This Row],[SaleDate]])</f>
        <v>6</v>
      </c>
      <c r="O1302" t="str">
        <f>TEXT(Table1[[#This Row],[SaleDate]],"MMM")</f>
        <v>Jun</v>
      </c>
    </row>
    <row r="1303" spans="1:15">
      <c r="A1303" s="1">
        <v>45081</v>
      </c>
      <c r="B1303" t="s">
        <v>23</v>
      </c>
      <c r="C1303" t="s">
        <v>19</v>
      </c>
      <c r="D1303">
        <v>2</v>
      </c>
      <c r="E1303" t="s">
        <v>7</v>
      </c>
      <c r="F1303">
        <v>33000</v>
      </c>
      <c r="G1303">
        <v>18000</v>
      </c>
      <c r="H1303">
        <f>Table1[[#This Row],[Qty]]*Table1[[#This Row],[SellingPrice]]</f>
        <v>66000</v>
      </c>
      <c r="I1303">
        <f>Table1[[#This Row],[Qty]]*Table1[[#This Row],[CostPrice]]</f>
        <v>36000</v>
      </c>
      <c r="J1303">
        <v>29790</v>
      </c>
      <c r="K1303">
        <v>209.99999999999997</v>
      </c>
      <c r="L1303" t="s">
        <v>8</v>
      </c>
      <c r="M1303" t="s">
        <v>30</v>
      </c>
      <c r="N1303">
        <f>MONTH(Table1[[#This Row],[SaleDate]])</f>
        <v>6</v>
      </c>
      <c r="O1303" t="str">
        <f>TEXT(Table1[[#This Row],[SaleDate]],"MMM")</f>
        <v>Jun</v>
      </c>
    </row>
    <row r="1304" spans="1:15">
      <c r="A1304" s="1">
        <v>45081</v>
      </c>
      <c r="B1304" t="s">
        <v>23</v>
      </c>
      <c r="C1304" t="s">
        <v>19</v>
      </c>
      <c r="D1304">
        <v>2</v>
      </c>
      <c r="E1304" t="s">
        <v>9</v>
      </c>
      <c r="F1304">
        <v>60000</v>
      </c>
      <c r="G1304">
        <v>31000</v>
      </c>
      <c r="H1304">
        <f>Table1[[#This Row],[Qty]]*Table1[[#This Row],[SellingPrice]]</f>
        <v>120000</v>
      </c>
      <c r="I1304">
        <f>Table1[[#This Row],[Qty]]*Table1[[#This Row],[CostPrice]]</f>
        <v>62000</v>
      </c>
      <c r="J1304">
        <v>57594</v>
      </c>
      <c r="K1304">
        <v>405.99999999999994</v>
      </c>
      <c r="L1304" t="s">
        <v>8</v>
      </c>
      <c r="M1304" t="s">
        <v>27</v>
      </c>
      <c r="N1304">
        <f>MONTH(Table1[[#This Row],[SaleDate]])</f>
        <v>6</v>
      </c>
      <c r="O1304" t="str">
        <f>TEXT(Table1[[#This Row],[SaleDate]],"MMM")</f>
        <v>Jun</v>
      </c>
    </row>
    <row r="1305" spans="1:15">
      <c r="A1305" s="1">
        <v>45081</v>
      </c>
      <c r="B1305" t="s">
        <v>23</v>
      </c>
      <c r="C1305" t="s">
        <v>19</v>
      </c>
      <c r="D1305">
        <v>2</v>
      </c>
      <c r="E1305" t="s">
        <v>10</v>
      </c>
      <c r="F1305">
        <v>89000</v>
      </c>
      <c r="G1305">
        <v>65000</v>
      </c>
      <c r="H1305">
        <f>Table1[[#This Row],[Qty]]*Table1[[#This Row],[SellingPrice]]</f>
        <v>178000</v>
      </c>
      <c r="I1305">
        <f>Table1[[#This Row],[Qty]]*Table1[[#This Row],[CostPrice]]</f>
        <v>130000</v>
      </c>
      <c r="J1305">
        <v>47664</v>
      </c>
      <c r="K1305">
        <v>335.99999999999994</v>
      </c>
      <c r="L1305" t="s">
        <v>8</v>
      </c>
      <c r="M1305" t="s">
        <v>29</v>
      </c>
      <c r="N1305">
        <f>MONTH(Table1[[#This Row],[SaleDate]])</f>
        <v>6</v>
      </c>
      <c r="O1305" t="str">
        <f>TEXT(Table1[[#This Row],[SaleDate]],"MMM")</f>
        <v>Jun</v>
      </c>
    </row>
    <row r="1306" spans="1:15">
      <c r="A1306" s="1">
        <v>45081</v>
      </c>
      <c r="B1306" t="s">
        <v>24</v>
      </c>
      <c r="C1306" t="s">
        <v>22</v>
      </c>
      <c r="D1306">
        <v>2</v>
      </c>
      <c r="E1306" t="s">
        <v>7</v>
      </c>
      <c r="F1306">
        <v>33000</v>
      </c>
      <c r="G1306">
        <v>18000</v>
      </c>
      <c r="H1306">
        <f>Table1[[#This Row],[Qty]]*Table1[[#This Row],[SellingPrice]]</f>
        <v>66000</v>
      </c>
      <c r="I1306">
        <f>Table1[[#This Row],[Qty]]*Table1[[#This Row],[CostPrice]]</f>
        <v>36000</v>
      </c>
      <c r="J1306">
        <v>29790</v>
      </c>
      <c r="K1306">
        <v>209.99999999999997</v>
      </c>
      <c r="L1306" t="s">
        <v>12</v>
      </c>
      <c r="M1306" t="s">
        <v>30</v>
      </c>
      <c r="N1306">
        <f>MONTH(Table1[[#This Row],[SaleDate]])</f>
        <v>6</v>
      </c>
      <c r="O1306" t="str">
        <f>TEXT(Table1[[#This Row],[SaleDate]],"MMM")</f>
        <v>Jun</v>
      </c>
    </row>
    <row r="1307" spans="1:15">
      <c r="A1307" s="1">
        <v>45081</v>
      </c>
      <c r="B1307" t="s">
        <v>24</v>
      </c>
      <c r="C1307" t="s">
        <v>22</v>
      </c>
      <c r="D1307">
        <v>2</v>
      </c>
      <c r="E1307" t="s">
        <v>9</v>
      </c>
      <c r="F1307">
        <v>60000</v>
      </c>
      <c r="G1307">
        <v>31000</v>
      </c>
      <c r="H1307">
        <f>Table1[[#This Row],[Qty]]*Table1[[#This Row],[SellingPrice]]</f>
        <v>120000</v>
      </c>
      <c r="I1307">
        <f>Table1[[#This Row],[Qty]]*Table1[[#This Row],[CostPrice]]</f>
        <v>62000</v>
      </c>
      <c r="J1307">
        <v>57594</v>
      </c>
      <c r="K1307">
        <v>405.99999999999994</v>
      </c>
      <c r="L1307" t="s">
        <v>12</v>
      </c>
      <c r="M1307" t="s">
        <v>28</v>
      </c>
      <c r="N1307">
        <f>MONTH(Table1[[#This Row],[SaleDate]])</f>
        <v>6</v>
      </c>
      <c r="O1307" t="str">
        <f>TEXT(Table1[[#This Row],[SaleDate]],"MMM")</f>
        <v>Jun</v>
      </c>
    </row>
    <row r="1308" spans="1:15">
      <c r="A1308" s="1">
        <v>45081</v>
      </c>
      <c r="B1308" t="s">
        <v>24</v>
      </c>
      <c r="C1308" t="s">
        <v>22</v>
      </c>
      <c r="D1308">
        <v>2</v>
      </c>
      <c r="E1308" t="s">
        <v>10</v>
      </c>
      <c r="F1308">
        <v>89000</v>
      </c>
      <c r="G1308">
        <v>65000</v>
      </c>
      <c r="H1308">
        <f>Table1[[#This Row],[Qty]]*Table1[[#This Row],[SellingPrice]]</f>
        <v>178000</v>
      </c>
      <c r="I1308">
        <f>Table1[[#This Row],[Qty]]*Table1[[#This Row],[CostPrice]]</f>
        <v>130000</v>
      </c>
      <c r="J1308">
        <v>47664</v>
      </c>
      <c r="K1308">
        <v>335.99999999999994</v>
      </c>
      <c r="L1308" t="s">
        <v>12</v>
      </c>
      <c r="M1308" t="s">
        <v>30</v>
      </c>
      <c r="N1308">
        <f>MONTH(Table1[[#This Row],[SaleDate]])</f>
        <v>6</v>
      </c>
      <c r="O1308" t="str">
        <f>TEXT(Table1[[#This Row],[SaleDate]],"MMM")</f>
        <v>Jun</v>
      </c>
    </row>
    <row r="1309" spans="1:15">
      <c r="A1309" s="1">
        <v>45081</v>
      </c>
      <c r="B1309" t="s">
        <v>25</v>
      </c>
      <c r="C1309" t="s">
        <v>21</v>
      </c>
      <c r="D1309">
        <v>2</v>
      </c>
      <c r="E1309" t="s">
        <v>7</v>
      </c>
      <c r="F1309">
        <v>33000</v>
      </c>
      <c r="G1309">
        <v>18000</v>
      </c>
      <c r="H1309">
        <f>Table1[[#This Row],[Qty]]*Table1[[#This Row],[SellingPrice]]</f>
        <v>66000</v>
      </c>
      <c r="I1309">
        <f>Table1[[#This Row],[Qty]]*Table1[[#This Row],[CostPrice]]</f>
        <v>36000</v>
      </c>
      <c r="J1309">
        <v>29790</v>
      </c>
      <c r="K1309">
        <v>209.99999999999997</v>
      </c>
      <c r="L1309" t="s">
        <v>13</v>
      </c>
      <c r="M1309" t="s">
        <v>29</v>
      </c>
      <c r="N1309">
        <f>MONTH(Table1[[#This Row],[SaleDate]])</f>
        <v>6</v>
      </c>
      <c r="O1309" t="str">
        <f>TEXT(Table1[[#This Row],[SaleDate]],"MMM")</f>
        <v>Jun</v>
      </c>
    </row>
    <row r="1310" spans="1:15">
      <c r="A1310" s="1">
        <v>45081</v>
      </c>
      <c r="B1310" t="s">
        <v>25</v>
      </c>
      <c r="C1310" t="s">
        <v>21</v>
      </c>
      <c r="D1310">
        <v>2</v>
      </c>
      <c r="E1310" t="s">
        <v>9</v>
      </c>
      <c r="F1310">
        <v>60000</v>
      </c>
      <c r="G1310">
        <v>31000</v>
      </c>
      <c r="H1310">
        <f>Table1[[#This Row],[Qty]]*Table1[[#This Row],[SellingPrice]]</f>
        <v>120000</v>
      </c>
      <c r="I1310">
        <f>Table1[[#This Row],[Qty]]*Table1[[#This Row],[CostPrice]]</f>
        <v>62000</v>
      </c>
      <c r="J1310">
        <v>57594</v>
      </c>
      <c r="K1310">
        <v>405.99999999999994</v>
      </c>
      <c r="L1310" t="s">
        <v>13</v>
      </c>
      <c r="M1310" t="s">
        <v>30</v>
      </c>
      <c r="N1310">
        <f>MONTH(Table1[[#This Row],[SaleDate]])</f>
        <v>6</v>
      </c>
      <c r="O1310" t="str">
        <f>TEXT(Table1[[#This Row],[SaleDate]],"MMM")</f>
        <v>Jun</v>
      </c>
    </row>
    <row r="1311" spans="1:15">
      <c r="A1311" s="1">
        <v>45081</v>
      </c>
      <c r="B1311" t="s">
        <v>25</v>
      </c>
      <c r="C1311" t="s">
        <v>21</v>
      </c>
      <c r="D1311">
        <v>2</v>
      </c>
      <c r="E1311" t="s">
        <v>10</v>
      </c>
      <c r="F1311">
        <v>89000</v>
      </c>
      <c r="G1311">
        <v>65000</v>
      </c>
      <c r="H1311">
        <f>Table1[[#This Row],[Qty]]*Table1[[#This Row],[SellingPrice]]</f>
        <v>178000</v>
      </c>
      <c r="I1311">
        <f>Table1[[#This Row],[Qty]]*Table1[[#This Row],[CostPrice]]</f>
        <v>130000</v>
      </c>
      <c r="J1311">
        <v>47664</v>
      </c>
      <c r="K1311">
        <v>335.99999999999994</v>
      </c>
      <c r="L1311" t="s">
        <v>13</v>
      </c>
      <c r="M1311" t="s">
        <v>30</v>
      </c>
      <c r="N1311">
        <f>MONTH(Table1[[#This Row],[SaleDate]])</f>
        <v>6</v>
      </c>
      <c r="O1311" t="str">
        <f>TEXT(Table1[[#This Row],[SaleDate]],"MMM")</f>
        <v>Jun</v>
      </c>
    </row>
    <row r="1312" spans="1:15">
      <c r="A1312" s="1">
        <v>45082</v>
      </c>
      <c r="B1312" t="s">
        <v>23</v>
      </c>
      <c r="C1312" t="s">
        <v>19</v>
      </c>
      <c r="D1312">
        <v>1</v>
      </c>
      <c r="E1312" t="s">
        <v>7</v>
      </c>
      <c r="F1312">
        <v>33000</v>
      </c>
      <c r="G1312">
        <v>18000</v>
      </c>
      <c r="H1312">
        <f>Table1[[#This Row],[Qty]]*Table1[[#This Row],[SellingPrice]]</f>
        <v>33000</v>
      </c>
      <c r="I1312">
        <f>Table1[[#This Row],[Qty]]*Table1[[#This Row],[CostPrice]]</f>
        <v>18000</v>
      </c>
      <c r="J1312">
        <v>14895</v>
      </c>
      <c r="K1312">
        <v>104.99999999999999</v>
      </c>
      <c r="L1312" t="s">
        <v>8</v>
      </c>
      <c r="M1312" t="s">
        <v>29</v>
      </c>
      <c r="N1312">
        <f>MONTH(Table1[[#This Row],[SaleDate]])</f>
        <v>6</v>
      </c>
      <c r="O1312" t="str">
        <f>TEXT(Table1[[#This Row],[SaleDate]],"MMM")</f>
        <v>Jun</v>
      </c>
    </row>
    <row r="1313" spans="1:15">
      <c r="A1313" s="1">
        <v>45082</v>
      </c>
      <c r="B1313" t="s">
        <v>23</v>
      </c>
      <c r="C1313" t="s">
        <v>19</v>
      </c>
      <c r="D1313">
        <v>1</v>
      </c>
      <c r="E1313" t="s">
        <v>9</v>
      </c>
      <c r="F1313">
        <v>60000</v>
      </c>
      <c r="G1313">
        <v>31000</v>
      </c>
      <c r="H1313">
        <f>Table1[[#This Row],[Qty]]*Table1[[#This Row],[SellingPrice]]</f>
        <v>60000</v>
      </c>
      <c r="I1313">
        <f>Table1[[#This Row],[Qty]]*Table1[[#This Row],[CostPrice]]</f>
        <v>31000</v>
      </c>
      <c r="J1313">
        <v>28797</v>
      </c>
      <c r="K1313">
        <v>202.99999999999997</v>
      </c>
      <c r="L1313" t="s">
        <v>8</v>
      </c>
      <c r="M1313" t="s">
        <v>29</v>
      </c>
      <c r="N1313">
        <f>MONTH(Table1[[#This Row],[SaleDate]])</f>
        <v>6</v>
      </c>
      <c r="O1313" t="str">
        <f>TEXT(Table1[[#This Row],[SaleDate]],"MMM")</f>
        <v>Jun</v>
      </c>
    </row>
    <row r="1314" spans="1:15">
      <c r="A1314" s="1">
        <v>45082</v>
      </c>
      <c r="B1314" t="s">
        <v>23</v>
      </c>
      <c r="C1314" t="s">
        <v>19</v>
      </c>
      <c r="D1314">
        <v>1</v>
      </c>
      <c r="E1314" t="s">
        <v>10</v>
      </c>
      <c r="F1314">
        <v>89000</v>
      </c>
      <c r="G1314">
        <v>65000</v>
      </c>
      <c r="H1314">
        <f>Table1[[#This Row],[Qty]]*Table1[[#This Row],[SellingPrice]]</f>
        <v>89000</v>
      </c>
      <c r="I1314">
        <f>Table1[[#This Row],[Qty]]*Table1[[#This Row],[CostPrice]]</f>
        <v>65000</v>
      </c>
      <c r="J1314">
        <v>23832</v>
      </c>
      <c r="K1314">
        <v>167.99999999999997</v>
      </c>
      <c r="L1314" t="s">
        <v>8</v>
      </c>
      <c r="M1314" t="s">
        <v>30</v>
      </c>
      <c r="N1314">
        <f>MONTH(Table1[[#This Row],[SaleDate]])</f>
        <v>6</v>
      </c>
      <c r="O1314" t="str">
        <f>TEXT(Table1[[#This Row],[SaleDate]],"MMM")</f>
        <v>Jun</v>
      </c>
    </row>
    <row r="1315" spans="1:15">
      <c r="A1315" s="1">
        <v>45082</v>
      </c>
      <c r="B1315" t="s">
        <v>24</v>
      </c>
      <c r="C1315" t="s">
        <v>22</v>
      </c>
      <c r="D1315">
        <v>1</v>
      </c>
      <c r="E1315" t="s">
        <v>7</v>
      </c>
      <c r="F1315">
        <v>33000</v>
      </c>
      <c r="G1315">
        <v>18000</v>
      </c>
      <c r="H1315">
        <f>Table1[[#This Row],[Qty]]*Table1[[#This Row],[SellingPrice]]</f>
        <v>33000</v>
      </c>
      <c r="I1315">
        <f>Table1[[#This Row],[Qty]]*Table1[[#This Row],[CostPrice]]</f>
        <v>18000</v>
      </c>
      <c r="J1315">
        <v>14895</v>
      </c>
      <c r="K1315">
        <v>104.99999999999999</v>
      </c>
      <c r="L1315" t="s">
        <v>12</v>
      </c>
      <c r="M1315" t="s">
        <v>29</v>
      </c>
      <c r="N1315">
        <f>MONTH(Table1[[#This Row],[SaleDate]])</f>
        <v>6</v>
      </c>
      <c r="O1315" t="str">
        <f>TEXT(Table1[[#This Row],[SaleDate]],"MMM")</f>
        <v>Jun</v>
      </c>
    </row>
    <row r="1316" spans="1:15">
      <c r="A1316" s="1">
        <v>45082</v>
      </c>
      <c r="B1316" t="s">
        <v>24</v>
      </c>
      <c r="C1316" t="s">
        <v>22</v>
      </c>
      <c r="D1316">
        <v>1</v>
      </c>
      <c r="E1316" t="s">
        <v>9</v>
      </c>
      <c r="F1316">
        <v>60000</v>
      </c>
      <c r="G1316">
        <v>31000</v>
      </c>
      <c r="H1316">
        <f>Table1[[#This Row],[Qty]]*Table1[[#This Row],[SellingPrice]]</f>
        <v>60000</v>
      </c>
      <c r="I1316">
        <f>Table1[[#This Row],[Qty]]*Table1[[#This Row],[CostPrice]]</f>
        <v>31000</v>
      </c>
      <c r="J1316">
        <v>28797</v>
      </c>
      <c r="K1316">
        <v>202.99999999999997</v>
      </c>
      <c r="L1316" t="s">
        <v>12</v>
      </c>
      <c r="M1316" t="s">
        <v>30</v>
      </c>
      <c r="N1316">
        <f>MONTH(Table1[[#This Row],[SaleDate]])</f>
        <v>6</v>
      </c>
      <c r="O1316" t="str">
        <f>TEXT(Table1[[#This Row],[SaleDate]],"MMM")</f>
        <v>Jun</v>
      </c>
    </row>
    <row r="1317" spans="1:15">
      <c r="A1317" s="1">
        <v>45082</v>
      </c>
      <c r="B1317" t="s">
        <v>24</v>
      </c>
      <c r="C1317" t="s">
        <v>22</v>
      </c>
      <c r="D1317">
        <v>1</v>
      </c>
      <c r="E1317" t="s">
        <v>10</v>
      </c>
      <c r="F1317">
        <v>89000</v>
      </c>
      <c r="G1317">
        <v>65000</v>
      </c>
      <c r="H1317">
        <f>Table1[[#This Row],[Qty]]*Table1[[#This Row],[SellingPrice]]</f>
        <v>89000</v>
      </c>
      <c r="I1317">
        <f>Table1[[#This Row],[Qty]]*Table1[[#This Row],[CostPrice]]</f>
        <v>65000</v>
      </c>
      <c r="J1317">
        <v>23832</v>
      </c>
      <c r="K1317">
        <v>167.99999999999997</v>
      </c>
      <c r="L1317" t="s">
        <v>12</v>
      </c>
      <c r="M1317" t="s">
        <v>27</v>
      </c>
      <c r="N1317">
        <f>MONTH(Table1[[#This Row],[SaleDate]])</f>
        <v>6</v>
      </c>
      <c r="O1317" t="str">
        <f>TEXT(Table1[[#This Row],[SaleDate]],"MMM")</f>
        <v>Jun</v>
      </c>
    </row>
    <row r="1318" spans="1:15">
      <c r="A1318" s="1">
        <v>45082</v>
      </c>
      <c r="B1318" t="s">
        <v>25</v>
      </c>
      <c r="C1318" t="s">
        <v>21</v>
      </c>
      <c r="D1318">
        <v>1</v>
      </c>
      <c r="E1318" t="s">
        <v>7</v>
      </c>
      <c r="F1318">
        <v>33000</v>
      </c>
      <c r="G1318">
        <v>18000</v>
      </c>
      <c r="H1318">
        <f>Table1[[#This Row],[Qty]]*Table1[[#This Row],[SellingPrice]]</f>
        <v>33000</v>
      </c>
      <c r="I1318">
        <f>Table1[[#This Row],[Qty]]*Table1[[#This Row],[CostPrice]]</f>
        <v>18000</v>
      </c>
      <c r="J1318">
        <v>14895</v>
      </c>
      <c r="K1318">
        <v>104.99999999999999</v>
      </c>
      <c r="L1318" t="s">
        <v>13</v>
      </c>
      <c r="M1318" t="s">
        <v>27</v>
      </c>
      <c r="N1318">
        <f>MONTH(Table1[[#This Row],[SaleDate]])</f>
        <v>6</v>
      </c>
      <c r="O1318" t="str">
        <f>TEXT(Table1[[#This Row],[SaleDate]],"MMM")</f>
        <v>Jun</v>
      </c>
    </row>
    <row r="1319" spans="1:15">
      <c r="A1319" s="1">
        <v>45082</v>
      </c>
      <c r="B1319" t="s">
        <v>25</v>
      </c>
      <c r="C1319" t="s">
        <v>21</v>
      </c>
      <c r="D1319">
        <v>1</v>
      </c>
      <c r="E1319" t="s">
        <v>9</v>
      </c>
      <c r="F1319">
        <v>60000</v>
      </c>
      <c r="G1319">
        <v>31000</v>
      </c>
      <c r="H1319">
        <f>Table1[[#This Row],[Qty]]*Table1[[#This Row],[SellingPrice]]</f>
        <v>60000</v>
      </c>
      <c r="I1319">
        <f>Table1[[#This Row],[Qty]]*Table1[[#This Row],[CostPrice]]</f>
        <v>31000</v>
      </c>
      <c r="J1319">
        <v>28797</v>
      </c>
      <c r="K1319">
        <v>202.99999999999997</v>
      </c>
      <c r="L1319" t="s">
        <v>13</v>
      </c>
      <c r="M1319" t="s">
        <v>30</v>
      </c>
      <c r="N1319">
        <f>MONTH(Table1[[#This Row],[SaleDate]])</f>
        <v>6</v>
      </c>
      <c r="O1319" t="str">
        <f>TEXT(Table1[[#This Row],[SaleDate]],"MMM")</f>
        <v>Jun</v>
      </c>
    </row>
    <row r="1320" spans="1:15">
      <c r="A1320" s="1">
        <v>45082</v>
      </c>
      <c r="B1320" t="s">
        <v>25</v>
      </c>
      <c r="C1320" t="s">
        <v>21</v>
      </c>
      <c r="D1320">
        <v>1</v>
      </c>
      <c r="E1320" t="s">
        <v>10</v>
      </c>
      <c r="F1320">
        <v>89000</v>
      </c>
      <c r="G1320">
        <v>65000</v>
      </c>
      <c r="H1320">
        <f>Table1[[#This Row],[Qty]]*Table1[[#This Row],[SellingPrice]]</f>
        <v>89000</v>
      </c>
      <c r="I1320">
        <f>Table1[[#This Row],[Qty]]*Table1[[#This Row],[CostPrice]]</f>
        <v>65000</v>
      </c>
      <c r="J1320">
        <v>23832</v>
      </c>
      <c r="K1320">
        <v>167.99999999999997</v>
      </c>
      <c r="L1320" t="s">
        <v>13</v>
      </c>
      <c r="M1320" t="s">
        <v>27</v>
      </c>
      <c r="N1320">
        <f>MONTH(Table1[[#This Row],[SaleDate]])</f>
        <v>6</v>
      </c>
      <c r="O1320" t="str">
        <f>TEXT(Table1[[#This Row],[SaleDate]],"MMM")</f>
        <v>Jun</v>
      </c>
    </row>
    <row r="1321" spans="1:15">
      <c r="A1321" s="1">
        <v>45083</v>
      </c>
      <c r="B1321" t="s">
        <v>23</v>
      </c>
      <c r="C1321" t="s">
        <v>19</v>
      </c>
      <c r="D1321">
        <v>1</v>
      </c>
      <c r="E1321" t="s">
        <v>7</v>
      </c>
      <c r="F1321">
        <v>33000</v>
      </c>
      <c r="G1321">
        <v>18000</v>
      </c>
      <c r="H1321">
        <f>Table1[[#This Row],[Qty]]*Table1[[#This Row],[SellingPrice]]</f>
        <v>33000</v>
      </c>
      <c r="I1321">
        <f>Table1[[#This Row],[Qty]]*Table1[[#This Row],[CostPrice]]</f>
        <v>18000</v>
      </c>
      <c r="J1321">
        <v>14895</v>
      </c>
      <c r="K1321">
        <v>104.99999999999999</v>
      </c>
      <c r="L1321" t="s">
        <v>8</v>
      </c>
      <c r="M1321" t="s">
        <v>29</v>
      </c>
      <c r="N1321">
        <f>MONTH(Table1[[#This Row],[SaleDate]])</f>
        <v>6</v>
      </c>
      <c r="O1321" t="str">
        <f>TEXT(Table1[[#This Row],[SaleDate]],"MMM")</f>
        <v>Jun</v>
      </c>
    </row>
    <row r="1322" spans="1:15">
      <c r="A1322" s="1">
        <v>45083</v>
      </c>
      <c r="B1322" t="s">
        <v>23</v>
      </c>
      <c r="C1322" t="s">
        <v>19</v>
      </c>
      <c r="D1322">
        <v>1</v>
      </c>
      <c r="E1322" t="s">
        <v>9</v>
      </c>
      <c r="F1322">
        <v>60000</v>
      </c>
      <c r="G1322">
        <v>31000</v>
      </c>
      <c r="H1322">
        <f>Table1[[#This Row],[Qty]]*Table1[[#This Row],[SellingPrice]]</f>
        <v>60000</v>
      </c>
      <c r="I1322">
        <f>Table1[[#This Row],[Qty]]*Table1[[#This Row],[CostPrice]]</f>
        <v>31000</v>
      </c>
      <c r="J1322">
        <v>28797</v>
      </c>
      <c r="K1322">
        <v>202.99999999999997</v>
      </c>
      <c r="L1322" t="s">
        <v>8</v>
      </c>
      <c r="M1322" t="s">
        <v>28</v>
      </c>
      <c r="N1322">
        <f>MONTH(Table1[[#This Row],[SaleDate]])</f>
        <v>6</v>
      </c>
      <c r="O1322" t="str">
        <f>TEXT(Table1[[#This Row],[SaleDate]],"MMM")</f>
        <v>Jun</v>
      </c>
    </row>
    <row r="1323" spans="1:15">
      <c r="A1323" s="1">
        <v>45083</v>
      </c>
      <c r="B1323" t="s">
        <v>23</v>
      </c>
      <c r="C1323" t="s">
        <v>19</v>
      </c>
      <c r="D1323">
        <v>1</v>
      </c>
      <c r="E1323" t="s">
        <v>10</v>
      </c>
      <c r="F1323">
        <v>89000</v>
      </c>
      <c r="G1323">
        <v>65000</v>
      </c>
      <c r="H1323">
        <f>Table1[[#This Row],[Qty]]*Table1[[#This Row],[SellingPrice]]</f>
        <v>89000</v>
      </c>
      <c r="I1323">
        <f>Table1[[#This Row],[Qty]]*Table1[[#This Row],[CostPrice]]</f>
        <v>65000</v>
      </c>
      <c r="J1323">
        <v>23832</v>
      </c>
      <c r="K1323">
        <v>167.99999999999997</v>
      </c>
      <c r="L1323" t="s">
        <v>8</v>
      </c>
      <c r="M1323" t="s">
        <v>27</v>
      </c>
      <c r="N1323">
        <f>MONTH(Table1[[#This Row],[SaleDate]])</f>
        <v>6</v>
      </c>
      <c r="O1323" t="str">
        <f>TEXT(Table1[[#This Row],[SaleDate]],"MMM")</f>
        <v>Jun</v>
      </c>
    </row>
    <row r="1324" spans="1:15">
      <c r="A1324" s="1">
        <v>45083</v>
      </c>
      <c r="B1324" t="s">
        <v>24</v>
      </c>
      <c r="C1324" t="s">
        <v>22</v>
      </c>
      <c r="D1324">
        <v>1</v>
      </c>
      <c r="E1324" t="s">
        <v>7</v>
      </c>
      <c r="F1324">
        <v>33000</v>
      </c>
      <c r="G1324">
        <v>18000</v>
      </c>
      <c r="H1324">
        <f>Table1[[#This Row],[Qty]]*Table1[[#This Row],[SellingPrice]]</f>
        <v>33000</v>
      </c>
      <c r="I1324">
        <f>Table1[[#This Row],[Qty]]*Table1[[#This Row],[CostPrice]]</f>
        <v>18000</v>
      </c>
      <c r="J1324">
        <v>14895</v>
      </c>
      <c r="K1324">
        <v>104.99999999999999</v>
      </c>
      <c r="L1324" t="s">
        <v>12</v>
      </c>
      <c r="M1324" t="s">
        <v>29</v>
      </c>
      <c r="N1324">
        <f>MONTH(Table1[[#This Row],[SaleDate]])</f>
        <v>6</v>
      </c>
      <c r="O1324" t="str">
        <f>TEXT(Table1[[#This Row],[SaleDate]],"MMM")</f>
        <v>Jun</v>
      </c>
    </row>
    <row r="1325" spans="1:15">
      <c r="A1325" s="1">
        <v>45083</v>
      </c>
      <c r="B1325" t="s">
        <v>24</v>
      </c>
      <c r="C1325" t="s">
        <v>22</v>
      </c>
      <c r="D1325">
        <v>1</v>
      </c>
      <c r="E1325" t="s">
        <v>9</v>
      </c>
      <c r="F1325">
        <v>60000</v>
      </c>
      <c r="G1325">
        <v>31000</v>
      </c>
      <c r="H1325">
        <f>Table1[[#This Row],[Qty]]*Table1[[#This Row],[SellingPrice]]</f>
        <v>60000</v>
      </c>
      <c r="I1325">
        <f>Table1[[#This Row],[Qty]]*Table1[[#This Row],[CostPrice]]</f>
        <v>31000</v>
      </c>
      <c r="J1325">
        <v>28797</v>
      </c>
      <c r="K1325">
        <v>202.99999999999997</v>
      </c>
      <c r="L1325" t="s">
        <v>12</v>
      </c>
      <c r="M1325" t="s">
        <v>29</v>
      </c>
      <c r="N1325">
        <f>MONTH(Table1[[#This Row],[SaleDate]])</f>
        <v>6</v>
      </c>
      <c r="O1325" t="str">
        <f>TEXT(Table1[[#This Row],[SaleDate]],"MMM")</f>
        <v>Jun</v>
      </c>
    </row>
    <row r="1326" spans="1:15">
      <c r="A1326" s="1">
        <v>45083</v>
      </c>
      <c r="B1326" t="s">
        <v>24</v>
      </c>
      <c r="C1326" t="s">
        <v>22</v>
      </c>
      <c r="D1326">
        <v>1</v>
      </c>
      <c r="E1326" t="s">
        <v>10</v>
      </c>
      <c r="F1326">
        <v>89000</v>
      </c>
      <c r="G1326">
        <v>65000</v>
      </c>
      <c r="H1326">
        <f>Table1[[#This Row],[Qty]]*Table1[[#This Row],[SellingPrice]]</f>
        <v>89000</v>
      </c>
      <c r="I1326">
        <f>Table1[[#This Row],[Qty]]*Table1[[#This Row],[CostPrice]]</f>
        <v>65000</v>
      </c>
      <c r="J1326">
        <v>23832</v>
      </c>
      <c r="K1326">
        <v>167.99999999999997</v>
      </c>
      <c r="L1326" t="s">
        <v>12</v>
      </c>
      <c r="M1326" t="s">
        <v>30</v>
      </c>
      <c r="N1326">
        <f>MONTH(Table1[[#This Row],[SaleDate]])</f>
        <v>6</v>
      </c>
      <c r="O1326" t="str">
        <f>TEXT(Table1[[#This Row],[SaleDate]],"MMM")</f>
        <v>Jun</v>
      </c>
    </row>
    <row r="1327" spans="1:15">
      <c r="A1327" s="1">
        <v>45083</v>
      </c>
      <c r="B1327" t="s">
        <v>25</v>
      </c>
      <c r="C1327" t="s">
        <v>21</v>
      </c>
      <c r="D1327">
        <v>1</v>
      </c>
      <c r="E1327" t="s">
        <v>7</v>
      </c>
      <c r="F1327">
        <v>33000</v>
      </c>
      <c r="G1327">
        <v>18000</v>
      </c>
      <c r="H1327">
        <f>Table1[[#This Row],[Qty]]*Table1[[#This Row],[SellingPrice]]</f>
        <v>33000</v>
      </c>
      <c r="I1327">
        <f>Table1[[#This Row],[Qty]]*Table1[[#This Row],[CostPrice]]</f>
        <v>18000</v>
      </c>
      <c r="J1327">
        <v>14895</v>
      </c>
      <c r="K1327">
        <v>104.99999999999999</v>
      </c>
      <c r="L1327" t="s">
        <v>13</v>
      </c>
      <c r="M1327" t="s">
        <v>28</v>
      </c>
      <c r="N1327">
        <f>MONTH(Table1[[#This Row],[SaleDate]])</f>
        <v>6</v>
      </c>
      <c r="O1327" t="str">
        <f>TEXT(Table1[[#This Row],[SaleDate]],"MMM")</f>
        <v>Jun</v>
      </c>
    </row>
    <row r="1328" spans="1:15">
      <c r="A1328" s="1">
        <v>45083</v>
      </c>
      <c r="B1328" t="s">
        <v>25</v>
      </c>
      <c r="C1328" t="s">
        <v>21</v>
      </c>
      <c r="D1328">
        <v>1</v>
      </c>
      <c r="E1328" t="s">
        <v>9</v>
      </c>
      <c r="F1328">
        <v>60000</v>
      </c>
      <c r="G1328">
        <v>31000</v>
      </c>
      <c r="H1328">
        <f>Table1[[#This Row],[Qty]]*Table1[[#This Row],[SellingPrice]]</f>
        <v>60000</v>
      </c>
      <c r="I1328">
        <f>Table1[[#This Row],[Qty]]*Table1[[#This Row],[CostPrice]]</f>
        <v>31000</v>
      </c>
      <c r="J1328">
        <v>28797</v>
      </c>
      <c r="K1328">
        <v>202.99999999999997</v>
      </c>
      <c r="L1328" t="s">
        <v>13</v>
      </c>
      <c r="M1328" t="s">
        <v>30</v>
      </c>
      <c r="N1328">
        <f>MONTH(Table1[[#This Row],[SaleDate]])</f>
        <v>6</v>
      </c>
      <c r="O1328" t="str">
        <f>TEXT(Table1[[#This Row],[SaleDate]],"MMM")</f>
        <v>Jun</v>
      </c>
    </row>
    <row r="1329" spans="1:15">
      <c r="A1329" s="1">
        <v>45083</v>
      </c>
      <c r="B1329" t="s">
        <v>25</v>
      </c>
      <c r="C1329" t="s">
        <v>21</v>
      </c>
      <c r="D1329">
        <v>1</v>
      </c>
      <c r="E1329" t="s">
        <v>10</v>
      </c>
      <c r="F1329">
        <v>89000</v>
      </c>
      <c r="G1329">
        <v>65000</v>
      </c>
      <c r="H1329">
        <f>Table1[[#This Row],[Qty]]*Table1[[#This Row],[SellingPrice]]</f>
        <v>89000</v>
      </c>
      <c r="I1329">
        <f>Table1[[#This Row],[Qty]]*Table1[[#This Row],[CostPrice]]</f>
        <v>65000</v>
      </c>
      <c r="J1329">
        <v>23832</v>
      </c>
      <c r="K1329">
        <v>167.99999999999997</v>
      </c>
      <c r="L1329" t="s">
        <v>13</v>
      </c>
      <c r="M1329" t="s">
        <v>27</v>
      </c>
      <c r="N1329">
        <f>MONTH(Table1[[#This Row],[SaleDate]])</f>
        <v>6</v>
      </c>
      <c r="O1329" t="str">
        <f>TEXT(Table1[[#This Row],[SaleDate]],"MMM")</f>
        <v>Jun</v>
      </c>
    </row>
    <row r="1330" spans="1:15">
      <c r="A1330" s="1">
        <v>45084</v>
      </c>
      <c r="B1330" t="s">
        <v>23</v>
      </c>
      <c r="C1330" t="s">
        <v>19</v>
      </c>
      <c r="D1330">
        <v>2</v>
      </c>
      <c r="E1330" t="s">
        <v>7</v>
      </c>
      <c r="F1330">
        <v>33000</v>
      </c>
      <c r="G1330">
        <v>18000</v>
      </c>
      <c r="H1330">
        <f>Table1[[#This Row],[Qty]]*Table1[[#This Row],[SellingPrice]]</f>
        <v>66000</v>
      </c>
      <c r="I1330">
        <f>Table1[[#This Row],[Qty]]*Table1[[#This Row],[CostPrice]]</f>
        <v>36000</v>
      </c>
      <c r="J1330">
        <v>29790</v>
      </c>
      <c r="K1330">
        <v>209.99999999999997</v>
      </c>
      <c r="L1330" t="s">
        <v>8</v>
      </c>
      <c r="M1330" t="s">
        <v>29</v>
      </c>
      <c r="N1330">
        <f>MONTH(Table1[[#This Row],[SaleDate]])</f>
        <v>6</v>
      </c>
      <c r="O1330" t="str">
        <f>TEXT(Table1[[#This Row],[SaleDate]],"MMM")</f>
        <v>Jun</v>
      </c>
    </row>
    <row r="1331" spans="1:15">
      <c r="A1331" s="1">
        <v>45084</v>
      </c>
      <c r="B1331" t="s">
        <v>23</v>
      </c>
      <c r="C1331" t="s">
        <v>19</v>
      </c>
      <c r="D1331">
        <v>2</v>
      </c>
      <c r="E1331" t="s">
        <v>9</v>
      </c>
      <c r="F1331">
        <v>60000</v>
      </c>
      <c r="G1331">
        <v>31000</v>
      </c>
      <c r="H1331">
        <f>Table1[[#This Row],[Qty]]*Table1[[#This Row],[SellingPrice]]</f>
        <v>120000</v>
      </c>
      <c r="I1331">
        <f>Table1[[#This Row],[Qty]]*Table1[[#This Row],[CostPrice]]</f>
        <v>62000</v>
      </c>
      <c r="J1331">
        <v>57594</v>
      </c>
      <c r="K1331">
        <v>405.99999999999994</v>
      </c>
      <c r="L1331" t="s">
        <v>8</v>
      </c>
      <c r="M1331" t="s">
        <v>29</v>
      </c>
      <c r="N1331">
        <f>MONTH(Table1[[#This Row],[SaleDate]])</f>
        <v>6</v>
      </c>
      <c r="O1331" t="str">
        <f>TEXT(Table1[[#This Row],[SaleDate]],"MMM")</f>
        <v>Jun</v>
      </c>
    </row>
    <row r="1332" spans="1:15">
      <c r="A1332" s="1">
        <v>45084</v>
      </c>
      <c r="B1332" t="s">
        <v>23</v>
      </c>
      <c r="C1332" t="s">
        <v>19</v>
      </c>
      <c r="D1332">
        <v>2</v>
      </c>
      <c r="E1332" t="s">
        <v>10</v>
      </c>
      <c r="F1332">
        <v>89000</v>
      </c>
      <c r="G1332">
        <v>65000</v>
      </c>
      <c r="H1332">
        <f>Table1[[#This Row],[Qty]]*Table1[[#This Row],[SellingPrice]]</f>
        <v>178000</v>
      </c>
      <c r="I1332">
        <f>Table1[[#This Row],[Qty]]*Table1[[#This Row],[CostPrice]]</f>
        <v>130000</v>
      </c>
      <c r="J1332">
        <v>47664</v>
      </c>
      <c r="K1332">
        <v>335.99999999999994</v>
      </c>
      <c r="L1332" t="s">
        <v>8</v>
      </c>
      <c r="M1332" t="s">
        <v>29</v>
      </c>
      <c r="N1332">
        <f>MONTH(Table1[[#This Row],[SaleDate]])</f>
        <v>6</v>
      </c>
      <c r="O1332" t="str">
        <f>TEXT(Table1[[#This Row],[SaleDate]],"MMM")</f>
        <v>Jun</v>
      </c>
    </row>
    <row r="1333" spans="1:15">
      <c r="A1333" s="1">
        <v>45084</v>
      </c>
      <c r="B1333" t="s">
        <v>24</v>
      </c>
      <c r="C1333" t="s">
        <v>22</v>
      </c>
      <c r="D1333">
        <v>2</v>
      </c>
      <c r="E1333" t="s">
        <v>7</v>
      </c>
      <c r="F1333">
        <v>33000</v>
      </c>
      <c r="G1333">
        <v>18000</v>
      </c>
      <c r="H1333">
        <f>Table1[[#This Row],[Qty]]*Table1[[#This Row],[SellingPrice]]</f>
        <v>66000</v>
      </c>
      <c r="I1333">
        <f>Table1[[#This Row],[Qty]]*Table1[[#This Row],[CostPrice]]</f>
        <v>36000</v>
      </c>
      <c r="J1333">
        <v>29790</v>
      </c>
      <c r="K1333">
        <v>209.99999999999997</v>
      </c>
      <c r="L1333" t="s">
        <v>12</v>
      </c>
      <c r="M1333" t="s">
        <v>27</v>
      </c>
      <c r="N1333">
        <f>MONTH(Table1[[#This Row],[SaleDate]])</f>
        <v>6</v>
      </c>
      <c r="O1333" t="str">
        <f>TEXT(Table1[[#This Row],[SaleDate]],"MMM")</f>
        <v>Jun</v>
      </c>
    </row>
    <row r="1334" spans="1:15">
      <c r="A1334" s="1">
        <v>45084</v>
      </c>
      <c r="B1334" t="s">
        <v>24</v>
      </c>
      <c r="C1334" t="s">
        <v>22</v>
      </c>
      <c r="D1334">
        <v>2</v>
      </c>
      <c r="E1334" t="s">
        <v>9</v>
      </c>
      <c r="F1334">
        <v>60000</v>
      </c>
      <c r="G1334">
        <v>31000</v>
      </c>
      <c r="H1334">
        <f>Table1[[#This Row],[Qty]]*Table1[[#This Row],[SellingPrice]]</f>
        <v>120000</v>
      </c>
      <c r="I1334">
        <f>Table1[[#This Row],[Qty]]*Table1[[#This Row],[CostPrice]]</f>
        <v>62000</v>
      </c>
      <c r="J1334">
        <v>57594</v>
      </c>
      <c r="K1334">
        <v>405.99999999999994</v>
      </c>
      <c r="L1334" t="s">
        <v>12</v>
      </c>
      <c r="M1334" t="s">
        <v>27</v>
      </c>
      <c r="N1334">
        <f>MONTH(Table1[[#This Row],[SaleDate]])</f>
        <v>6</v>
      </c>
      <c r="O1334" t="str">
        <f>TEXT(Table1[[#This Row],[SaleDate]],"MMM")</f>
        <v>Jun</v>
      </c>
    </row>
    <row r="1335" spans="1:15">
      <c r="A1335" s="1">
        <v>45084</v>
      </c>
      <c r="B1335" t="s">
        <v>24</v>
      </c>
      <c r="C1335" t="s">
        <v>22</v>
      </c>
      <c r="D1335">
        <v>2</v>
      </c>
      <c r="E1335" t="s">
        <v>10</v>
      </c>
      <c r="F1335">
        <v>89000</v>
      </c>
      <c r="G1335">
        <v>65000</v>
      </c>
      <c r="H1335">
        <f>Table1[[#This Row],[Qty]]*Table1[[#This Row],[SellingPrice]]</f>
        <v>178000</v>
      </c>
      <c r="I1335">
        <f>Table1[[#This Row],[Qty]]*Table1[[#This Row],[CostPrice]]</f>
        <v>130000</v>
      </c>
      <c r="J1335">
        <v>47664</v>
      </c>
      <c r="K1335">
        <v>335.99999999999994</v>
      </c>
      <c r="L1335" t="s">
        <v>12</v>
      </c>
      <c r="M1335" t="s">
        <v>27</v>
      </c>
      <c r="N1335">
        <f>MONTH(Table1[[#This Row],[SaleDate]])</f>
        <v>6</v>
      </c>
      <c r="O1335" t="str">
        <f>TEXT(Table1[[#This Row],[SaleDate]],"MMM")</f>
        <v>Jun</v>
      </c>
    </row>
    <row r="1336" spans="1:15">
      <c r="A1336" s="1">
        <v>45084</v>
      </c>
      <c r="B1336" t="s">
        <v>25</v>
      </c>
      <c r="C1336" t="s">
        <v>21</v>
      </c>
      <c r="D1336">
        <v>2</v>
      </c>
      <c r="E1336" t="s">
        <v>7</v>
      </c>
      <c r="F1336">
        <v>33000</v>
      </c>
      <c r="G1336">
        <v>18000</v>
      </c>
      <c r="H1336">
        <f>Table1[[#This Row],[Qty]]*Table1[[#This Row],[SellingPrice]]</f>
        <v>66000</v>
      </c>
      <c r="I1336">
        <f>Table1[[#This Row],[Qty]]*Table1[[#This Row],[CostPrice]]</f>
        <v>36000</v>
      </c>
      <c r="J1336">
        <v>29790</v>
      </c>
      <c r="K1336">
        <v>209.99999999999997</v>
      </c>
      <c r="L1336" t="s">
        <v>13</v>
      </c>
      <c r="M1336" t="s">
        <v>30</v>
      </c>
      <c r="N1336">
        <f>MONTH(Table1[[#This Row],[SaleDate]])</f>
        <v>6</v>
      </c>
      <c r="O1336" t="str">
        <f>TEXT(Table1[[#This Row],[SaleDate]],"MMM")</f>
        <v>Jun</v>
      </c>
    </row>
    <row r="1337" spans="1:15">
      <c r="A1337" s="1">
        <v>45084</v>
      </c>
      <c r="B1337" t="s">
        <v>25</v>
      </c>
      <c r="C1337" t="s">
        <v>21</v>
      </c>
      <c r="D1337">
        <v>2</v>
      </c>
      <c r="E1337" t="s">
        <v>9</v>
      </c>
      <c r="F1337">
        <v>60000</v>
      </c>
      <c r="G1337">
        <v>31000</v>
      </c>
      <c r="H1337">
        <f>Table1[[#This Row],[Qty]]*Table1[[#This Row],[SellingPrice]]</f>
        <v>120000</v>
      </c>
      <c r="I1337">
        <f>Table1[[#This Row],[Qty]]*Table1[[#This Row],[CostPrice]]</f>
        <v>62000</v>
      </c>
      <c r="J1337">
        <v>57594</v>
      </c>
      <c r="K1337">
        <v>405.99999999999994</v>
      </c>
      <c r="L1337" t="s">
        <v>13</v>
      </c>
      <c r="M1337" t="s">
        <v>30</v>
      </c>
      <c r="N1337">
        <f>MONTH(Table1[[#This Row],[SaleDate]])</f>
        <v>6</v>
      </c>
      <c r="O1337" t="str">
        <f>TEXT(Table1[[#This Row],[SaleDate]],"MMM")</f>
        <v>Jun</v>
      </c>
    </row>
    <row r="1338" spans="1:15">
      <c r="A1338" s="1">
        <v>45084</v>
      </c>
      <c r="B1338" t="s">
        <v>25</v>
      </c>
      <c r="C1338" t="s">
        <v>21</v>
      </c>
      <c r="D1338">
        <v>2</v>
      </c>
      <c r="E1338" t="s">
        <v>10</v>
      </c>
      <c r="F1338">
        <v>89000</v>
      </c>
      <c r="G1338">
        <v>65000</v>
      </c>
      <c r="H1338">
        <f>Table1[[#This Row],[Qty]]*Table1[[#This Row],[SellingPrice]]</f>
        <v>178000</v>
      </c>
      <c r="I1338">
        <f>Table1[[#This Row],[Qty]]*Table1[[#This Row],[CostPrice]]</f>
        <v>130000</v>
      </c>
      <c r="J1338">
        <v>47664</v>
      </c>
      <c r="K1338">
        <v>335.99999999999994</v>
      </c>
      <c r="L1338" t="s">
        <v>13</v>
      </c>
      <c r="M1338" t="s">
        <v>30</v>
      </c>
      <c r="N1338">
        <f>MONTH(Table1[[#This Row],[SaleDate]])</f>
        <v>6</v>
      </c>
      <c r="O1338" t="str">
        <f>TEXT(Table1[[#This Row],[SaleDate]],"MMM")</f>
        <v>Jun</v>
      </c>
    </row>
    <row r="1339" spans="1:15">
      <c r="A1339" s="1">
        <v>45085</v>
      </c>
      <c r="B1339" t="s">
        <v>23</v>
      </c>
      <c r="C1339" t="s">
        <v>19</v>
      </c>
      <c r="D1339">
        <v>2</v>
      </c>
      <c r="E1339" t="s">
        <v>7</v>
      </c>
      <c r="F1339">
        <v>33000</v>
      </c>
      <c r="G1339">
        <v>18000</v>
      </c>
      <c r="H1339">
        <f>Table1[[#This Row],[Qty]]*Table1[[#This Row],[SellingPrice]]</f>
        <v>66000</v>
      </c>
      <c r="I1339">
        <f>Table1[[#This Row],[Qty]]*Table1[[#This Row],[CostPrice]]</f>
        <v>36000</v>
      </c>
      <c r="J1339">
        <v>29790</v>
      </c>
      <c r="K1339">
        <v>209.99999999999997</v>
      </c>
      <c r="L1339" t="s">
        <v>8</v>
      </c>
      <c r="M1339" t="s">
        <v>27</v>
      </c>
      <c r="N1339">
        <f>MONTH(Table1[[#This Row],[SaleDate]])</f>
        <v>6</v>
      </c>
      <c r="O1339" t="str">
        <f>TEXT(Table1[[#This Row],[SaleDate]],"MMM")</f>
        <v>Jun</v>
      </c>
    </row>
    <row r="1340" spans="1:15">
      <c r="A1340" s="1">
        <v>45085</v>
      </c>
      <c r="B1340" t="s">
        <v>23</v>
      </c>
      <c r="C1340" t="s">
        <v>19</v>
      </c>
      <c r="D1340">
        <v>2</v>
      </c>
      <c r="E1340" t="s">
        <v>9</v>
      </c>
      <c r="F1340">
        <v>60000</v>
      </c>
      <c r="G1340">
        <v>31000</v>
      </c>
      <c r="H1340">
        <f>Table1[[#This Row],[Qty]]*Table1[[#This Row],[SellingPrice]]</f>
        <v>120000</v>
      </c>
      <c r="I1340">
        <f>Table1[[#This Row],[Qty]]*Table1[[#This Row],[CostPrice]]</f>
        <v>62000</v>
      </c>
      <c r="J1340">
        <v>57594</v>
      </c>
      <c r="K1340">
        <v>405.99999999999994</v>
      </c>
      <c r="L1340" t="s">
        <v>8</v>
      </c>
      <c r="M1340" t="s">
        <v>29</v>
      </c>
      <c r="N1340">
        <f>MONTH(Table1[[#This Row],[SaleDate]])</f>
        <v>6</v>
      </c>
      <c r="O1340" t="str">
        <f>TEXT(Table1[[#This Row],[SaleDate]],"MMM")</f>
        <v>Jun</v>
      </c>
    </row>
    <row r="1341" spans="1:15">
      <c r="A1341" s="1">
        <v>45085</v>
      </c>
      <c r="B1341" t="s">
        <v>23</v>
      </c>
      <c r="C1341" t="s">
        <v>19</v>
      </c>
      <c r="D1341">
        <v>2</v>
      </c>
      <c r="E1341" t="s">
        <v>10</v>
      </c>
      <c r="F1341">
        <v>89000</v>
      </c>
      <c r="G1341">
        <v>65000</v>
      </c>
      <c r="H1341">
        <f>Table1[[#This Row],[Qty]]*Table1[[#This Row],[SellingPrice]]</f>
        <v>178000</v>
      </c>
      <c r="I1341">
        <f>Table1[[#This Row],[Qty]]*Table1[[#This Row],[CostPrice]]</f>
        <v>130000</v>
      </c>
      <c r="J1341">
        <v>47664</v>
      </c>
      <c r="K1341">
        <v>335.99999999999994</v>
      </c>
      <c r="L1341" t="s">
        <v>8</v>
      </c>
      <c r="M1341" t="s">
        <v>29</v>
      </c>
      <c r="N1341">
        <f>MONTH(Table1[[#This Row],[SaleDate]])</f>
        <v>6</v>
      </c>
      <c r="O1341" t="str">
        <f>TEXT(Table1[[#This Row],[SaleDate]],"MMM")</f>
        <v>Jun</v>
      </c>
    </row>
    <row r="1342" spans="1:15">
      <c r="A1342" s="1">
        <v>45085</v>
      </c>
      <c r="B1342" t="s">
        <v>24</v>
      </c>
      <c r="C1342" t="s">
        <v>22</v>
      </c>
      <c r="D1342">
        <v>2</v>
      </c>
      <c r="E1342" t="s">
        <v>7</v>
      </c>
      <c r="F1342">
        <v>33000</v>
      </c>
      <c r="G1342">
        <v>18000</v>
      </c>
      <c r="H1342">
        <f>Table1[[#This Row],[Qty]]*Table1[[#This Row],[SellingPrice]]</f>
        <v>66000</v>
      </c>
      <c r="I1342">
        <f>Table1[[#This Row],[Qty]]*Table1[[#This Row],[CostPrice]]</f>
        <v>36000</v>
      </c>
      <c r="J1342">
        <v>29790</v>
      </c>
      <c r="K1342">
        <v>209.99999999999997</v>
      </c>
      <c r="L1342" t="s">
        <v>12</v>
      </c>
      <c r="M1342" t="s">
        <v>28</v>
      </c>
      <c r="N1342">
        <f>MONTH(Table1[[#This Row],[SaleDate]])</f>
        <v>6</v>
      </c>
      <c r="O1342" t="str">
        <f>TEXT(Table1[[#This Row],[SaleDate]],"MMM")</f>
        <v>Jun</v>
      </c>
    </row>
    <row r="1343" spans="1:15">
      <c r="A1343" s="1">
        <v>45085</v>
      </c>
      <c r="B1343" t="s">
        <v>24</v>
      </c>
      <c r="C1343" t="s">
        <v>22</v>
      </c>
      <c r="D1343">
        <v>2</v>
      </c>
      <c r="E1343" t="s">
        <v>9</v>
      </c>
      <c r="F1343">
        <v>60000</v>
      </c>
      <c r="G1343">
        <v>31000</v>
      </c>
      <c r="H1343">
        <f>Table1[[#This Row],[Qty]]*Table1[[#This Row],[SellingPrice]]</f>
        <v>120000</v>
      </c>
      <c r="I1343">
        <f>Table1[[#This Row],[Qty]]*Table1[[#This Row],[CostPrice]]</f>
        <v>62000</v>
      </c>
      <c r="J1343">
        <v>57594</v>
      </c>
      <c r="K1343">
        <v>405.99999999999994</v>
      </c>
      <c r="L1343" t="s">
        <v>12</v>
      </c>
      <c r="M1343" t="s">
        <v>27</v>
      </c>
      <c r="N1343">
        <f>MONTH(Table1[[#This Row],[SaleDate]])</f>
        <v>6</v>
      </c>
      <c r="O1343" t="str">
        <f>TEXT(Table1[[#This Row],[SaleDate]],"MMM")</f>
        <v>Jun</v>
      </c>
    </row>
    <row r="1344" spans="1:15">
      <c r="A1344" s="1">
        <v>45085</v>
      </c>
      <c r="B1344" t="s">
        <v>24</v>
      </c>
      <c r="C1344" t="s">
        <v>22</v>
      </c>
      <c r="D1344">
        <v>2</v>
      </c>
      <c r="E1344" t="s">
        <v>10</v>
      </c>
      <c r="F1344">
        <v>89000</v>
      </c>
      <c r="G1344">
        <v>65000</v>
      </c>
      <c r="H1344">
        <f>Table1[[#This Row],[Qty]]*Table1[[#This Row],[SellingPrice]]</f>
        <v>178000</v>
      </c>
      <c r="I1344">
        <f>Table1[[#This Row],[Qty]]*Table1[[#This Row],[CostPrice]]</f>
        <v>130000</v>
      </c>
      <c r="J1344">
        <v>47664</v>
      </c>
      <c r="K1344">
        <v>335.99999999999994</v>
      </c>
      <c r="L1344" t="s">
        <v>12</v>
      </c>
      <c r="M1344" t="s">
        <v>30</v>
      </c>
      <c r="N1344">
        <f>MONTH(Table1[[#This Row],[SaleDate]])</f>
        <v>6</v>
      </c>
      <c r="O1344" t="str">
        <f>TEXT(Table1[[#This Row],[SaleDate]],"MMM")</f>
        <v>Jun</v>
      </c>
    </row>
    <row r="1345" spans="1:15">
      <c r="A1345" s="1">
        <v>45085</v>
      </c>
      <c r="B1345" t="s">
        <v>25</v>
      </c>
      <c r="C1345" t="s">
        <v>21</v>
      </c>
      <c r="D1345">
        <v>2</v>
      </c>
      <c r="E1345" t="s">
        <v>7</v>
      </c>
      <c r="F1345">
        <v>33000</v>
      </c>
      <c r="G1345">
        <v>18000</v>
      </c>
      <c r="H1345">
        <f>Table1[[#This Row],[Qty]]*Table1[[#This Row],[SellingPrice]]</f>
        <v>66000</v>
      </c>
      <c r="I1345">
        <f>Table1[[#This Row],[Qty]]*Table1[[#This Row],[CostPrice]]</f>
        <v>36000</v>
      </c>
      <c r="J1345">
        <v>29790</v>
      </c>
      <c r="K1345">
        <v>209.99999999999997</v>
      </c>
      <c r="L1345" t="s">
        <v>13</v>
      </c>
      <c r="M1345" t="s">
        <v>30</v>
      </c>
      <c r="N1345">
        <f>MONTH(Table1[[#This Row],[SaleDate]])</f>
        <v>6</v>
      </c>
      <c r="O1345" t="str">
        <f>TEXT(Table1[[#This Row],[SaleDate]],"MMM")</f>
        <v>Jun</v>
      </c>
    </row>
    <row r="1346" spans="1:15">
      <c r="A1346" s="1">
        <v>45085</v>
      </c>
      <c r="B1346" t="s">
        <v>25</v>
      </c>
      <c r="C1346" t="s">
        <v>21</v>
      </c>
      <c r="D1346">
        <v>2</v>
      </c>
      <c r="E1346" t="s">
        <v>9</v>
      </c>
      <c r="F1346">
        <v>60000</v>
      </c>
      <c r="G1346">
        <v>31000</v>
      </c>
      <c r="H1346">
        <f>Table1[[#This Row],[Qty]]*Table1[[#This Row],[SellingPrice]]</f>
        <v>120000</v>
      </c>
      <c r="I1346">
        <f>Table1[[#This Row],[Qty]]*Table1[[#This Row],[CostPrice]]</f>
        <v>62000</v>
      </c>
      <c r="J1346">
        <v>57594</v>
      </c>
      <c r="K1346">
        <v>405.99999999999994</v>
      </c>
      <c r="L1346" t="s">
        <v>13</v>
      </c>
      <c r="M1346" t="s">
        <v>30</v>
      </c>
      <c r="N1346">
        <f>MONTH(Table1[[#This Row],[SaleDate]])</f>
        <v>6</v>
      </c>
      <c r="O1346" t="str">
        <f>TEXT(Table1[[#This Row],[SaleDate]],"MMM")</f>
        <v>Jun</v>
      </c>
    </row>
    <row r="1347" spans="1:15">
      <c r="A1347" s="1">
        <v>45086</v>
      </c>
      <c r="B1347" t="s">
        <v>23</v>
      </c>
      <c r="C1347" t="s">
        <v>19</v>
      </c>
      <c r="D1347">
        <v>2</v>
      </c>
      <c r="E1347" t="s">
        <v>7</v>
      </c>
      <c r="F1347">
        <v>33000</v>
      </c>
      <c r="G1347">
        <v>18000</v>
      </c>
      <c r="H1347">
        <f>Table1[[#This Row],[Qty]]*Table1[[#This Row],[SellingPrice]]</f>
        <v>66000</v>
      </c>
      <c r="I1347">
        <f>Table1[[#This Row],[Qty]]*Table1[[#This Row],[CostPrice]]</f>
        <v>36000</v>
      </c>
      <c r="J1347">
        <v>29790</v>
      </c>
      <c r="K1347">
        <v>209.99999999999997</v>
      </c>
      <c r="L1347" t="s">
        <v>8</v>
      </c>
      <c r="M1347" t="s">
        <v>28</v>
      </c>
      <c r="N1347">
        <f>MONTH(Table1[[#This Row],[SaleDate]])</f>
        <v>6</v>
      </c>
      <c r="O1347" t="str">
        <f>TEXT(Table1[[#This Row],[SaleDate]],"MMM")</f>
        <v>Jun</v>
      </c>
    </row>
    <row r="1348" spans="1:15">
      <c r="A1348" s="1">
        <v>45086</v>
      </c>
      <c r="B1348" t="s">
        <v>23</v>
      </c>
      <c r="C1348" t="s">
        <v>19</v>
      </c>
      <c r="D1348">
        <v>2</v>
      </c>
      <c r="E1348" t="s">
        <v>9</v>
      </c>
      <c r="F1348">
        <v>60000</v>
      </c>
      <c r="G1348">
        <v>31000</v>
      </c>
      <c r="H1348">
        <f>Table1[[#This Row],[Qty]]*Table1[[#This Row],[SellingPrice]]</f>
        <v>120000</v>
      </c>
      <c r="I1348">
        <f>Table1[[#This Row],[Qty]]*Table1[[#This Row],[CostPrice]]</f>
        <v>62000</v>
      </c>
      <c r="J1348">
        <v>57594</v>
      </c>
      <c r="K1348">
        <v>405.99999999999994</v>
      </c>
      <c r="L1348" t="s">
        <v>8</v>
      </c>
      <c r="M1348" t="s">
        <v>27</v>
      </c>
      <c r="N1348">
        <f>MONTH(Table1[[#This Row],[SaleDate]])</f>
        <v>6</v>
      </c>
      <c r="O1348" t="str">
        <f>TEXT(Table1[[#This Row],[SaleDate]],"MMM")</f>
        <v>Jun</v>
      </c>
    </row>
    <row r="1349" spans="1:15">
      <c r="A1349" s="1">
        <v>45086</v>
      </c>
      <c r="B1349" t="s">
        <v>23</v>
      </c>
      <c r="C1349" t="s">
        <v>19</v>
      </c>
      <c r="D1349">
        <v>2</v>
      </c>
      <c r="E1349" t="s">
        <v>10</v>
      </c>
      <c r="F1349">
        <v>89000</v>
      </c>
      <c r="G1349">
        <v>65000</v>
      </c>
      <c r="H1349">
        <f>Table1[[#This Row],[Qty]]*Table1[[#This Row],[SellingPrice]]</f>
        <v>178000</v>
      </c>
      <c r="I1349">
        <f>Table1[[#This Row],[Qty]]*Table1[[#This Row],[CostPrice]]</f>
        <v>130000</v>
      </c>
      <c r="J1349">
        <v>47664</v>
      </c>
      <c r="K1349">
        <v>335.99999999999994</v>
      </c>
      <c r="L1349" t="s">
        <v>8</v>
      </c>
      <c r="M1349" t="s">
        <v>29</v>
      </c>
      <c r="N1349">
        <f>MONTH(Table1[[#This Row],[SaleDate]])</f>
        <v>6</v>
      </c>
      <c r="O1349" t="str">
        <f>TEXT(Table1[[#This Row],[SaleDate]],"MMM")</f>
        <v>Jun</v>
      </c>
    </row>
    <row r="1350" spans="1:15">
      <c r="A1350" s="1">
        <v>45086</v>
      </c>
      <c r="B1350" t="s">
        <v>24</v>
      </c>
      <c r="C1350" t="s">
        <v>22</v>
      </c>
      <c r="D1350">
        <v>2</v>
      </c>
      <c r="E1350" t="s">
        <v>7</v>
      </c>
      <c r="F1350">
        <v>33000</v>
      </c>
      <c r="G1350">
        <v>18000</v>
      </c>
      <c r="H1350">
        <f>Table1[[#This Row],[Qty]]*Table1[[#This Row],[SellingPrice]]</f>
        <v>66000</v>
      </c>
      <c r="I1350">
        <f>Table1[[#This Row],[Qty]]*Table1[[#This Row],[CostPrice]]</f>
        <v>36000</v>
      </c>
      <c r="J1350">
        <v>29790</v>
      </c>
      <c r="K1350">
        <v>209.99999999999997</v>
      </c>
      <c r="L1350" t="s">
        <v>12</v>
      </c>
      <c r="M1350" t="s">
        <v>27</v>
      </c>
      <c r="N1350">
        <f>MONTH(Table1[[#This Row],[SaleDate]])</f>
        <v>6</v>
      </c>
      <c r="O1350" t="str">
        <f>TEXT(Table1[[#This Row],[SaleDate]],"MMM")</f>
        <v>Jun</v>
      </c>
    </row>
    <row r="1351" spans="1:15">
      <c r="A1351" s="1">
        <v>45086</v>
      </c>
      <c r="B1351" t="s">
        <v>24</v>
      </c>
      <c r="C1351" t="s">
        <v>22</v>
      </c>
      <c r="D1351">
        <v>2</v>
      </c>
      <c r="E1351" t="s">
        <v>9</v>
      </c>
      <c r="F1351">
        <v>60000</v>
      </c>
      <c r="G1351">
        <v>31000</v>
      </c>
      <c r="H1351">
        <f>Table1[[#This Row],[Qty]]*Table1[[#This Row],[SellingPrice]]</f>
        <v>120000</v>
      </c>
      <c r="I1351">
        <f>Table1[[#This Row],[Qty]]*Table1[[#This Row],[CostPrice]]</f>
        <v>62000</v>
      </c>
      <c r="J1351">
        <v>57594</v>
      </c>
      <c r="K1351">
        <v>405.99999999999994</v>
      </c>
      <c r="L1351" t="s">
        <v>12</v>
      </c>
      <c r="M1351" t="s">
        <v>29</v>
      </c>
      <c r="N1351">
        <f>MONTH(Table1[[#This Row],[SaleDate]])</f>
        <v>6</v>
      </c>
      <c r="O1351" t="str">
        <f>TEXT(Table1[[#This Row],[SaleDate]],"MMM")</f>
        <v>Jun</v>
      </c>
    </row>
    <row r="1352" spans="1:15">
      <c r="A1352" s="1">
        <v>45086</v>
      </c>
      <c r="B1352" t="s">
        <v>24</v>
      </c>
      <c r="C1352" t="s">
        <v>22</v>
      </c>
      <c r="D1352">
        <v>2</v>
      </c>
      <c r="E1352" t="s">
        <v>10</v>
      </c>
      <c r="F1352">
        <v>89000</v>
      </c>
      <c r="G1352">
        <v>65000</v>
      </c>
      <c r="H1352">
        <f>Table1[[#This Row],[Qty]]*Table1[[#This Row],[SellingPrice]]</f>
        <v>178000</v>
      </c>
      <c r="I1352">
        <f>Table1[[#This Row],[Qty]]*Table1[[#This Row],[CostPrice]]</f>
        <v>130000</v>
      </c>
      <c r="J1352">
        <v>47664</v>
      </c>
      <c r="K1352">
        <v>335.99999999999994</v>
      </c>
      <c r="L1352" t="s">
        <v>12</v>
      </c>
      <c r="M1352" t="s">
        <v>28</v>
      </c>
      <c r="N1352">
        <f>MONTH(Table1[[#This Row],[SaleDate]])</f>
        <v>6</v>
      </c>
      <c r="O1352" t="str">
        <f>TEXT(Table1[[#This Row],[SaleDate]],"MMM")</f>
        <v>Jun</v>
      </c>
    </row>
    <row r="1353" spans="1:15">
      <c r="A1353" s="1">
        <v>45086</v>
      </c>
      <c r="B1353" t="s">
        <v>25</v>
      </c>
      <c r="C1353" t="s">
        <v>21</v>
      </c>
      <c r="D1353">
        <v>2</v>
      </c>
      <c r="E1353" t="s">
        <v>7</v>
      </c>
      <c r="F1353">
        <v>33000</v>
      </c>
      <c r="G1353">
        <v>18000</v>
      </c>
      <c r="H1353">
        <f>Table1[[#This Row],[Qty]]*Table1[[#This Row],[SellingPrice]]</f>
        <v>66000</v>
      </c>
      <c r="I1353">
        <f>Table1[[#This Row],[Qty]]*Table1[[#This Row],[CostPrice]]</f>
        <v>36000</v>
      </c>
      <c r="J1353">
        <v>29790</v>
      </c>
      <c r="K1353">
        <v>209.99999999999997</v>
      </c>
      <c r="L1353" t="s">
        <v>13</v>
      </c>
      <c r="M1353" t="s">
        <v>27</v>
      </c>
      <c r="N1353">
        <f>MONTH(Table1[[#This Row],[SaleDate]])</f>
        <v>6</v>
      </c>
      <c r="O1353" t="str">
        <f>TEXT(Table1[[#This Row],[SaleDate]],"MMM")</f>
        <v>Jun</v>
      </c>
    </row>
    <row r="1354" spans="1:15">
      <c r="A1354" s="1">
        <v>45086</v>
      </c>
      <c r="B1354" t="s">
        <v>25</v>
      </c>
      <c r="C1354" t="s">
        <v>21</v>
      </c>
      <c r="D1354">
        <v>2</v>
      </c>
      <c r="E1354" t="s">
        <v>9</v>
      </c>
      <c r="F1354">
        <v>60000</v>
      </c>
      <c r="G1354">
        <v>31000</v>
      </c>
      <c r="H1354">
        <f>Table1[[#This Row],[Qty]]*Table1[[#This Row],[SellingPrice]]</f>
        <v>120000</v>
      </c>
      <c r="I1354">
        <f>Table1[[#This Row],[Qty]]*Table1[[#This Row],[CostPrice]]</f>
        <v>62000</v>
      </c>
      <c r="J1354">
        <v>57594</v>
      </c>
      <c r="K1354">
        <v>405.99999999999994</v>
      </c>
      <c r="L1354" t="s">
        <v>13</v>
      </c>
      <c r="M1354" t="s">
        <v>29</v>
      </c>
      <c r="N1354">
        <f>MONTH(Table1[[#This Row],[SaleDate]])</f>
        <v>6</v>
      </c>
      <c r="O1354" t="str">
        <f>TEXT(Table1[[#This Row],[SaleDate]],"MMM")</f>
        <v>Jun</v>
      </c>
    </row>
    <row r="1355" spans="1:15">
      <c r="A1355" s="1">
        <v>45087</v>
      </c>
      <c r="B1355" t="s">
        <v>23</v>
      </c>
      <c r="C1355" t="s">
        <v>19</v>
      </c>
      <c r="D1355">
        <v>1</v>
      </c>
      <c r="E1355" t="s">
        <v>7</v>
      </c>
      <c r="F1355">
        <v>33000</v>
      </c>
      <c r="G1355">
        <v>18000</v>
      </c>
      <c r="H1355">
        <f>Table1[[#This Row],[Qty]]*Table1[[#This Row],[SellingPrice]]</f>
        <v>33000</v>
      </c>
      <c r="I1355">
        <f>Table1[[#This Row],[Qty]]*Table1[[#This Row],[CostPrice]]</f>
        <v>18000</v>
      </c>
      <c r="J1355">
        <v>14895</v>
      </c>
      <c r="K1355">
        <v>104.99999999999999</v>
      </c>
      <c r="L1355" t="s">
        <v>8</v>
      </c>
      <c r="M1355" t="s">
        <v>29</v>
      </c>
      <c r="N1355">
        <f>MONTH(Table1[[#This Row],[SaleDate]])</f>
        <v>6</v>
      </c>
      <c r="O1355" t="str">
        <f>TEXT(Table1[[#This Row],[SaleDate]],"MMM")</f>
        <v>Jun</v>
      </c>
    </row>
    <row r="1356" spans="1:15">
      <c r="A1356" s="1">
        <v>45087</v>
      </c>
      <c r="B1356" t="s">
        <v>23</v>
      </c>
      <c r="C1356" t="s">
        <v>19</v>
      </c>
      <c r="D1356">
        <v>1</v>
      </c>
      <c r="E1356" t="s">
        <v>9</v>
      </c>
      <c r="F1356">
        <v>60000</v>
      </c>
      <c r="G1356">
        <v>31000</v>
      </c>
      <c r="H1356">
        <f>Table1[[#This Row],[Qty]]*Table1[[#This Row],[SellingPrice]]</f>
        <v>60000</v>
      </c>
      <c r="I1356">
        <f>Table1[[#This Row],[Qty]]*Table1[[#This Row],[CostPrice]]</f>
        <v>31000</v>
      </c>
      <c r="J1356">
        <v>28797</v>
      </c>
      <c r="K1356">
        <v>202.99999999999997</v>
      </c>
      <c r="L1356" t="s">
        <v>8</v>
      </c>
      <c r="M1356" t="s">
        <v>27</v>
      </c>
      <c r="N1356">
        <f>MONTH(Table1[[#This Row],[SaleDate]])</f>
        <v>6</v>
      </c>
      <c r="O1356" t="str">
        <f>TEXT(Table1[[#This Row],[SaleDate]],"MMM")</f>
        <v>Jun</v>
      </c>
    </row>
    <row r="1357" spans="1:15">
      <c r="A1357" s="1">
        <v>45087</v>
      </c>
      <c r="B1357" t="s">
        <v>23</v>
      </c>
      <c r="C1357" t="s">
        <v>19</v>
      </c>
      <c r="D1357">
        <v>1</v>
      </c>
      <c r="E1357" t="s">
        <v>10</v>
      </c>
      <c r="F1357">
        <v>89000</v>
      </c>
      <c r="G1357">
        <v>65000</v>
      </c>
      <c r="H1357">
        <f>Table1[[#This Row],[Qty]]*Table1[[#This Row],[SellingPrice]]</f>
        <v>89000</v>
      </c>
      <c r="I1357">
        <f>Table1[[#This Row],[Qty]]*Table1[[#This Row],[CostPrice]]</f>
        <v>65000</v>
      </c>
      <c r="J1357">
        <v>23832</v>
      </c>
      <c r="K1357">
        <v>167.99999999999997</v>
      </c>
      <c r="L1357" t="s">
        <v>8</v>
      </c>
      <c r="M1357" t="s">
        <v>30</v>
      </c>
      <c r="N1357">
        <f>MONTH(Table1[[#This Row],[SaleDate]])</f>
        <v>6</v>
      </c>
      <c r="O1357" t="str">
        <f>TEXT(Table1[[#This Row],[SaleDate]],"MMM")</f>
        <v>Jun</v>
      </c>
    </row>
    <row r="1358" spans="1:15">
      <c r="A1358" s="1">
        <v>45087</v>
      </c>
      <c r="B1358" t="s">
        <v>24</v>
      </c>
      <c r="C1358" t="s">
        <v>22</v>
      </c>
      <c r="D1358">
        <v>1</v>
      </c>
      <c r="E1358" t="s">
        <v>7</v>
      </c>
      <c r="F1358">
        <v>33000</v>
      </c>
      <c r="G1358">
        <v>18000</v>
      </c>
      <c r="H1358">
        <f>Table1[[#This Row],[Qty]]*Table1[[#This Row],[SellingPrice]]</f>
        <v>33000</v>
      </c>
      <c r="I1358">
        <f>Table1[[#This Row],[Qty]]*Table1[[#This Row],[CostPrice]]</f>
        <v>18000</v>
      </c>
      <c r="J1358">
        <v>14895</v>
      </c>
      <c r="K1358">
        <v>104.99999999999999</v>
      </c>
      <c r="L1358" t="s">
        <v>12</v>
      </c>
      <c r="M1358" t="s">
        <v>27</v>
      </c>
      <c r="N1358">
        <f>MONTH(Table1[[#This Row],[SaleDate]])</f>
        <v>6</v>
      </c>
      <c r="O1358" t="str">
        <f>TEXT(Table1[[#This Row],[SaleDate]],"MMM")</f>
        <v>Jun</v>
      </c>
    </row>
    <row r="1359" spans="1:15">
      <c r="A1359" s="1">
        <v>45087</v>
      </c>
      <c r="B1359" t="s">
        <v>24</v>
      </c>
      <c r="C1359" t="s">
        <v>22</v>
      </c>
      <c r="D1359">
        <v>1</v>
      </c>
      <c r="E1359" t="s">
        <v>9</v>
      </c>
      <c r="F1359">
        <v>60000</v>
      </c>
      <c r="G1359">
        <v>31000</v>
      </c>
      <c r="H1359">
        <f>Table1[[#This Row],[Qty]]*Table1[[#This Row],[SellingPrice]]</f>
        <v>60000</v>
      </c>
      <c r="I1359">
        <f>Table1[[#This Row],[Qty]]*Table1[[#This Row],[CostPrice]]</f>
        <v>31000</v>
      </c>
      <c r="J1359">
        <v>28797</v>
      </c>
      <c r="K1359">
        <v>202.99999999999997</v>
      </c>
      <c r="L1359" t="s">
        <v>12</v>
      </c>
      <c r="M1359" t="s">
        <v>29</v>
      </c>
      <c r="N1359">
        <f>MONTH(Table1[[#This Row],[SaleDate]])</f>
        <v>6</v>
      </c>
      <c r="O1359" t="str">
        <f>TEXT(Table1[[#This Row],[SaleDate]],"MMM")</f>
        <v>Jun</v>
      </c>
    </row>
    <row r="1360" spans="1:15">
      <c r="A1360" s="1">
        <v>45087</v>
      </c>
      <c r="B1360" t="s">
        <v>24</v>
      </c>
      <c r="C1360" t="s">
        <v>22</v>
      </c>
      <c r="D1360">
        <v>1</v>
      </c>
      <c r="E1360" t="s">
        <v>10</v>
      </c>
      <c r="F1360">
        <v>89000</v>
      </c>
      <c r="G1360">
        <v>65000</v>
      </c>
      <c r="H1360">
        <f>Table1[[#This Row],[Qty]]*Table1[[#This Row],[SellingPrice]]</f>
        <v>89000</v>
      </c>
      <c r="I1360">
        <f>Table1[[#This Row],[Qty]]*Table1[[#This Row],[CostPrice]]</f>
        <v>65000</v>
      </c>
      <c r="J1360">
        <v>23832</v>
      </c>
      <c r="K1360">
        <v>167.99999999999997</v>
      </c>
      <c r="L1360" t="s">
        <v>12</v>
      </c>
      <c r="M1360" t="s">
        <v>30</v>
      </c>
      <c r="N1360">
        <f>MONTH(Table1[[#This Row],[SaleDate]])</f>
        <v>6</v>
      </c>
      <c r="O1360" t="str">
        <f>TEXT(Table1[[#This Row],[SaleDate]],"MMM")</f>
        <v>Jun</v>
      </c>
    </row>
    <row r="1361" spans="1:15">
      <c r="A1361" s="1">
        <v>45087</v>
      </c>
      <c r="B1361" t="s">
        <v>25</v>
      </c>
      <c r="C1361" t="s">
        <v>21</v>
      </c>
      <c r="D1361">
        <v>1</v>
      </c>
      <c r="E1361" t="s">
        <v>7</v>
      </c>
      <c r="F1361">
        <v>33000</v>
      </c>
      <c r="G1361">
        <v>18000</v>
      </c>
      <c r="H1361">
        <f>Table1[[#This Row],[Qty]]*Table1[[#This Row],[SellingPrice]]</f>
        <v>33000</v>
      </c>
      <c r="I1361">
        <f>Table1[[#This Row],[Qty]]*Table1[[#This Row],[CostPrice]]</f>
        <v>18000</v>
      </c>
      <c r="J1361">
        <v>14895</v>
      </c>
      <c r="K1361">
        <v>104.99999999999999</v>
      </c>
      <c r="L1361" t="s">
        <v>13</v>
      </c>
      <c r="M1361" t="s">
        <v>29</v>
      </c>
      <c r="N1361">
        <f>MONTH(Table1[[#This Row],[SaleDate]])</f>
        <v>6</v>
      </c>
      <c r="O1361" t="str">
        <f>TEXT(Table1[[#This Row],[SaleDate]],"MMM")</f>
        <v>Jun</v>
      </c>
    </row>
    <row r="1362" spans="1:15">
      <c r="A1362" s="1">
        <v>45087</v>
      </c>
      <c r="B1362" t="s">
        <v>25</v>
      </c>
      <c r="C1362" t="s">
        <v>21</v>
      </c>
      <c r="D1362">
        <v>1</v>
      </c>
      <c r="E1362" t="s">
        <v>9</v>
      </c>
      <c r="F1362">
        <v>60000</v>
      </c>
      <c r="G1362">
        <v>31000</v>
      </c>
      <c r="H1362">
        <f>Table1[[#This Row],[Qty]]*Table1[[#This Row],[SellingPrice]]</f>
        <v>60000</v>
      </c>
      <c r="I1362">
        <f>Table1[[#This Row],[Qty]]*Table1[[#This Row],[CostPrice]]</f>
        <v>31000</v>
      </c>
      <c r="J1362">
        <v>28797</v>
      </c>
      <c r="K1362">
        <v>202.99999999999997</v>
      </c>
      <c r="L1362" t="s">
        <v>13</v>
      </c>
      <c r="M1362" t="s">
        <v>30</v>
      </c>
      <c r="N1362">
        <f>MONTH(Table1[[#This Row],[SaleDate]])</f>
        <v>6</v>
      </c>
      <c r="O1362" t="str">
        <f>TEXT(Table1[[#This Row],[SaleDate]],"MMM")</f>
        <v>Jun</v>
      </c>
    </row>
    <row r="1363" spans="1:15">
      <c r="A1363" s="1">
        <v>45088</v>
      </c>
      <c r="B1363" t="s">
        <v>23</v>
      </c>
      <c r="C1363" t="s">
        <v>19</v>
      </c>
      <c r="D1363">
        <v>1</v>
      </c>
      <c r="E1363" t="s">
        <v>7</v>
      </c>
      <c r="F1363">
        <v>33000</v>
      </c>
      <c r="G1363">
        <v>18000</v>
      </c>
      <c r="H1363">
        <f>Table1[[#This Row],[Qty]]*Table1[[#This Row],[SellingPrice]]</f>
        <v>33000</v>
      </c>
      <c r="I1363">
        <f>Table1[[#This Row],[Qty]]*Table1[[#This Row],[CostPrice]]</f>
        <v>18000</v>
      </c>
      <c r="J1363">
        <v>14895</v>
      </c>
      <c r="K1363">
        <v>104.99999999999999</v>
      </c>
      <c r="L1363" t="s">
        <v>8</v>
      </c>
      <c r="M1363" t="s">
        <v>27</v>
      </c>
      <c r="N1363">
        <f>MONTH(Table1[[#This Row],[SaleDate]])</f>
        <v>6</v>
      </c>
      <c r="O1363" t="str">
        <f>TEXT(Table1[[#This Row],[SaleDate]],"MMM")</f>
        <v>Jun</v>
      </c>
    </row>
    <row r="1364" spans="1:15">
      <c r="A1364" s="1">
        <v>45088</v>
      </c>
      <c r="B1364" t="s">
        <v>23</v>
      </c>
      <c r="C1364" t="s">
        <v>19</v>
      </c>
      <c r="D1364">
        <v>1</v>
      </c>
      <c r="E1364" t="s">
        <v>9</v>
      </c>
      <c r="F1364">
        <v>60000</v>
      </c>
      <c r="G1364">
        <v>31000</v>
      </c>
      <c r="H1364">
        <f>Table1[[#This Row],[Qty]]*Table1[[#This Row],[SellingPrice]]</f>
        <v>60000</v>
      </c>
      <c r="I1364">
        <f>Table1[[#This Row],[Qty]]*Table1[[#This Row],[CostPrice]]</f>
        <v>31000</v>
      </c>
      <c r="J1364">
        <v>28797</v>
      </c>
      <c r="K1364">
        <v>202.99999999999997</v>
      </c>
      <c r="L1364" t="s">
        <v>8</v>
      </c>
      <c r="M1364" t="s">
        <v>30</v>
      </c>
      <c r="N1364">
        <f>MONTH(Table1[[#This Row],[SaleDate]])</f>
        <v>6</v>
      </c>
      <c r="O1364" t="str">
        <f>TEXT(Table1[[#This Row],[SaleDate]],"MMM")</f>
        <v>Jun</v>
      </c>
    </row>
    <row r="1365" spans="1:15">
      <c r="A1365" s="1">
        <v>45088</v>
      </c>
      <c r="B1365" t="s">
        <v>23</v>
      </c>
      <c r="C1365" t="s">
        <v>19</v>
      </c>
      <c r="D1365">
        <v>1</v>
      </c>
      <c r="E1365" t="s">
        <v>10</v>
      </c>
      <c r="F1365">
        <v>89000</v>
      </c>
      <c r="G1365">
        <v>65000</v>
      </c>
      <c r="H1365">
        <f>Table1[[#This Row],[Qty]]*Table1[[#This Row],[SellingPrice]]</f>
        <v>89000</v>
      </c>
      <c r="I1365">
        <f>Table1[[#This Row],[Qty]]*Table1[[#This Row],[CostPrice]]</f>
        <v>65000</v>
      </c>
      <c r="J1365">
        <v>23832</v>
      </c>
      <c r="K1365">
        <v>167.99999999999997</v>
      </c>
      <c r="L1365" t="s">
        <v>8</v>
      </c>
      <c r="M1365" t="s">
        <v>30</v>
      </c>
      <c r="N1365">
        <f>MONTH(Table1[[#This Row],[SaleDate]])</f>
        <v>6</v>
      </c>
      <c r="O1365" t="str">
        <f>TEXT(Table1[[#This Row],[SaleDate]],"MMM")</f>
        <v>Jun</v>
      </c>
    </row>
    <row r="1366" spans="1:15">
      <c r="A1366" s="1">
        <v>45088</v>
      </c>
      <c r="B1366" t="s">
        <v>24</v>
      </c>
      <c r="C1366" t="s">
        <v>22</v>
      </c>
      <c r="D1366">
        <v>1</v>
      </c>
      <c r="E1366" t="s">
        <v>7</v>
      </c>
      <c r="F1366">
        <v>33000</v>
      </c>
      <c r="G1366">
        <v>18000</v>
      </c>
      <c r="H1366">
        <f>Table1[[#This Row],[Qty]]*Table1[[#This Row],[SellingPrice]]</f>
        <v>33000</v>
      </c>
      <c r="I1366">
        <f>Table1[[#This Row],[Qty]]*Table1[[#This Row],[CostPrice]]</f>
        <v>18000</v>
      </c>
      <c r="J1366">
        <v>14895</v>
      </c>
      <c r="K1366">
        <v>104.99999999999999</v>
      </c>
      <c r="L1366" t="s">
        <v>12</v>
      </c>
      <c r="M1366" t="s">
        <v>29</v>
      </c>
      <c r="N1366">
        <f>MONTH(Table1[[#This Row],[SaleDate]])</f>
        <v>6</v>
      </c>
      <c r="O1366" t="str">
        <f>TEXT(Table1[[#This Row],[SaleDate]],"MMM")</f>
        <v>Jun</v>
      </c>
    </row>
    <row r="1367" spans="1:15">
      <c r="A1367" s="1">
        <v>45088</v>
      </c>
      <c r="B1367" t="s">
        <v>24</v>
      </c>
      <c r="C1367" t="s">
        <v>22</v>
      </c>
      <c r="D1367">
        <v>1</v>
      </c>
      <c r="E1367" t="s">
        <v>9</v>
      </c>
      <c r="F1367">
        <v>60000</v>
      </c>
      <c r="G1367">
        <v>31000</v>
      </c>
      <c r="H1367">
        <f>Table1[[#This Row],[Qty]]*Table1[[#This Row],[SellingPrice]]</f>
        <v>60000</v>
      </c>
      <c r="I1367">
        <f>Table1[[#This Row],[Qty]]*Table1[[#This Row],[CostPrice]]</f>
        <v>31000</v>
      </c>
      <c r="J1367">
        <v>28797</v>
      </c>
      <c r="K1367">
        <v>202.99999999999997</v>
      </c>
      <c r="L1367" t="s">
        <v>12</v>
      </c>
      <c r="M1367" t="s">
        <v>27</v>
      </c>
      <c r="N1367">
        <f>MONTH(Table1[[#This Row],[SaleDate]])</f>
        <v>6</v>
      </c>
      <c r="O1367" t="str">
        <f>TEXT(Table1[[#This Row],[SaleDate]],"MMM")</f>
        <v>Jun</v>
      </c>
    </row>
    <row r="1368" spans="1:15">
      <c r="A1368" s="1">
        <v>45088</v>
      </c>
      <c r="B1368" t="s">
        <v>24</v>
      </c>
      <c r="C1368" t="s">
        <v>22</v>
      </c>
      <c r="D1368">
        <v>1</v>
      </c>
      <c r="E1368" t="s">
        <v>10</v>
      </c>
      <c r="F1368">
        <v>89000</v>
      </c>
      <c r="G1368">
        <v>65000</v>
      </c>
      <c r="H1368">
        <f>Table1[[#This Row],[Qty]]*Table1[[#This Row],[SellingPrice]]</f>
        <v>89000</v>
      </c>
      <c r="I1368">
        <f>Table1[[#This Row],[Qty]]*Table1[[#This Row],[CostPrice]]</f>
        <v>65000</v>
      </c>
      <c r="J1368">
        <v>23832</v>
      </c>
      <c r="K1368">
        <v>167.99999999999997</v>
      </c>
      <c r="L1368" t="s">
        <v>12</v>
      </c>
      <c r="M1368" t="s">
        <v>29</v>
      </c>
      <c r="N1368">
        <f>MONTH(Table1[[#This Row],[SaleDate]])</f>
        <v>6</v>
      </c>
      <c r="O1368" t="str">
        <f>TEXT(Table1[[#This Row],[SaleDate]],"MMM")</f>
        <v>Jun</v>
      </c>
    </row>
    <row r="1369" spans="1:15">
      <c r="A1369" s="1">
        <v>45088</v>
      </c>
      <c r="B1369" t="s">
        <v>25</v>
      </c>
      <c r="C1369" t="s">
        <v>21</v>
      </c>
      <c r="D1369">
        <v>1</v>
      </c>
      <c r="E1369" t="s">
        <v>7</v>
      </c>
      <c r="F1369">
        <v>33000</v>
      </c>
      <c r="G1369">
        <v>18000</v>
      </c>
      <c r="H1369">
        <f>Table1[[#This Row],[Qty]]*Table1[[#This Row],[SellingPrice]]</f>
        <v>33000</v>
      </c>
      <c r="I1369">
        <f>Table1[[#This Row],[Qty]]*Table1[[#This Row],[CostPrice]]</f>
        <v>18000</v>
      </c>
      <c r="J1369">
        <v>14895</v>
      </c>
      <c r="K1369">
        <v>104.99999999999999</v>
      </c>
      <c r="L1369" t="s">
        <v>13</v>
      </c>
      <c r="M1369" t="s">
        <v>30</v>
      </c>
      <c r="N1369">
        <f>MONTH(Table1[[#This Row],[SaleDate]])</f>
        <v>6</v>
      </c>
      <c r="O1369" t="str">
        <f>TEXT(Table1[[#This Row],[SaleDate]],"MMM")</f>
        <v>Jun</v>
      </c>
    </row>
    <row r="1370" spans="1:15">
      <c r="A1370" s="1">
        <v>45088</v>
      </c>
      <c r="B1370" t="s">
        <v>25</v>
      </c>
      <c r="C1370" t="s">
        <v>21</v>
      </c>
      <c r="D1370">
        <v>1</v>
      </c>
      <c r="E1370" t="s">
        <v>9</v>
      </c>
      <c r="F1370">
        <v>60000</v>
      </c>
      <c r="G1370">
        <v>31000</v>
      </c>
      <c r="H1370">
        <f>Table1[[#This Row],[Qty]]*Table1[[#This Row],[SellingPrice]]</f>
        <v>60000</v>
      </c>
      <c r="I1370">
        <f>Table1[[#This Row],[Qty]]*Table1[[#This Row],[CostPrice]]</f>
        <v>31000</v>
      </c>
      <c r="J1370">
        <v>28797</v>
      </c>
      <c r="K1370">
        <v>202.99999999999997</v>
      </c>
      <c r="L1370" t="s">
        <v>13</v>
      </c>
      <c r="M1370" t="s">
        <v>29</v>
      </c>
      <c r="N1370">
        <f>MONTH(Table1[[#This Row],[SaleDate]])</f>
        <v>6</v>
      </c>
      <c r="O1370" t="str">
        <f>TEXT(Table1[[#This Row],[SaleDate]],"MMM")</f>
        <v>Jun</v>
      </c>
    </row>
    <row r="1371" spans="1:15">
      <c r="A1371" s="1">
        <v>45088</v>
      </c>
      <c r="B1371" t="s">
        <v>25</v>
      </c>
      <c r="C1371" t="s">
        <v>21</v>
      </c>
      <c r="D1371">
        <v>1</v>
      </c>
      <c r="E1371" t="s">
        <v>10</v>
      </c>
      <c r="F1371">
        <v>89000</v>
      </c>
      <c r="G1371">
        <v>65000</v>
      </c>
      <c r="H1371">
        <f>Table1[[#This Row],[Qty]]*Table1[[#This Row],[SellingPrice]]</f>
        <v>89000</v>
      </c>
      <c r="I1371">
        <f>Table1[[#This Row],[Qty]]*Table1[[#This Row],[CostPrice]]</f>
        <v>65000</v>
      </c>
      <c r="J1371">
        <v>23832</v>
      </c>
      <c r="K1371">
        <v>167.99999999999997</v>
      </c>
      <c r="L1371" t="s">
        <v>13</v>
      </c>
      <c r="M1371" t="s">
        <v>28</v>
      </c>
      <c r="N1371">
        <f>MONTH(Table1[[#This Row],[SaleDate]])</f>
        <v>6</v>
      </c>
      <c r="O1371" t="str">
        <f>TEXT(Table1[[#This Row],[SaleDate]],"MMM")</f>
        <v>Jun</v>
      </c>
    </row>
    <row r="1372" spans="1:15">
      <c r="A1372" s="1">
        <v>45089</v>
      </c>
      <c r="B1372" t="s">
        <v>23</v>
      </c>
      <c r="C1372" t="s">
        <v>19</v>
      </c>
      <c r="D1372">
        <v>1</v>
      </c>
      <c r="E1372" t="s">
        <v>7</v>
      </c>
      <c r="F1372">
        <v>33000</v>
      </c>
      <c r="G1372">
        <v>18000</v>
      </c>
      <c r="H1372">
        <f>Table1[[#This Row],[Qty]]*Table1[[#This Row],[SellingPrice]]</f>
        <v>33000</v>
      </c>
      <c r="I1372">
        <f>Table1[[#This Row],[Qty]]*Table1[[#This Row],[CostPrice]]</f>
        <v>18000</v>
      </c>
      <c r="J1372">
        <v>14895</v>
      </c>
      <c r="K1372">
        <v>104.99999999999999</v>
      </c>
      <c r="L1372" t="s">
        <v>8</v>
      </c>
      <c r="M1372" t="s">
        <v>30</v>
      </c>
      <c r="N1372">
        <f>MONTH(Table1[[#This Row],[SaleDate]])</f>
        <v>6</v>
      </c>
      <c r="O1372" t="str">
        <f>TEXT(Table1[[#This Row],[SaleDate]],"MMM")</f>
        <v>Jun</v>
      </c>
    </row>
    <row r="1373" spans="1:15">
      <c r="A1373" s="1">
        <v>45089</v>
      </c>
      <c r="B1373" t="s">
        <v>23</v>
      </c>
      <c r="C1373" t="s">
        <v>19</v>
      </c>
      <c r="D1373">
        <v>1</v>
      </c>
      <c r="E1373" t="s">
        <v>9</v>
      </c>
      <c r="F1373">
        <v>60000</v>
      </c>
      <c r="G1373">
        <v>31000</v>
      </c>
      <c r="H1373">
        <f>Table1[[#This Row],[Qty]]*Table1[[#This Row],[SellingPrice]]</f>
        <v>60000</v>
      </c>
      <c r="I1373">
        <f>Table1[[#This Row],[Qty]]*Table1[[#This Row],[CostPrice]]</f>
        <v>31000</v>
      </c>
      <c r="J1373">
        <v>28797</v>
      </c>
      <c r="K1373">
        <v>202.99999999999997</v>
      </c>
      <c r="L1373" t="s">
        <v>8</v>
      </c>
      <c r="M1373" t="s">
        <v>28</v>
      </c>
      <c r="N1373">
        <f>MONTH(Table1[[#This Row],[SaleDate]])</f>
        <v>6</v>
      </c>
      <c r="O1373" t="str">
        <f>TEXT(Table1[[#This Row],[SaleDate]],"MMM")</f>
        <v>Jun</v>
      </c>
    </row>
    <row r="1374" spans="1:15">
      <c r="A1374" s="1">
        <v>45089</v>
      </c>
      <c r="B1374" t="s">
        <v>23</v>
      </c>
      <c r="C1374" t="s">
        <v>19</v>
      </c>
      <c r="D1374">
        <v>1</v>
      </c>
      <c r="E1374" t="s">
        <v>10</v>
      </c>
      <c r="F1374">
        <v>89000</v>
      </c>
      <c r="G1374">
        <v>65000</v>
      </c>
      <c r="H1374">
        <f>Table1[[#This Row],[Qty]]*Table1[[#This Row],[SellingPrice]]</f>
        <v>89000</v>
      </c>
      <c r="I1374">
        <f>Table1[[#This Row],[Qty]]*Table1[[#This Row],[CostPrice]]</f>
        <v>65000</v>
      </c>
      <c r="J1374">
        <v>23832</v>
      </c>
      <c r="K1374">
        <v>167.99999999999997</v>
      </c>
      <c r="L1374" t="s">
        <v>8</v>
      </c>
      <c r="M1374" t="s">
        <v>27</v>
      </c>
      <c r="N1374">
        <f>MONTH(Table1[[#This Row],[SaleDate]])</f>
        <v>6</v>
      </c>
      <c r="O1374" t="str">
        <f>TEXT(Table1[[#This Row],[SaleDate]],"MMM")</f>
        <v>Jun</v>
      </c>
    </row>
    <row r="1375" spans="1:15">
      <c r="A1375" s="1">
        <v>45089</v>
      </c>
      <c r="B1375" t="s">
        <v>24</v>
      </c>
      <c r="C1375" t="s">
        <v>22</v>
      </c>
      <c r="D1375">
        <v>1</v>
      </c>
      <c r="E1375" t="s">
        <v>7</v>
      </c>
      <c r="F1375">
        <v>33000</v>
      </c>
      <c r="G1375">
        <v>18000</v>
      </c>
      <c r="H1375">
        <f>Table1[[#This Row],[Qty]]*Table1[[#This Row],[SellingPrice]]</f>
        <v>33000</v>
      </c>
      <c r="I1375">
        <f>Table1[[#This Row],[Qty]]*Table1[[#This Row],[CostPrice]]</f>
        <v>18000</v>
      </c>
      <c r="J1375">
        <v>14895</v>
      </c>
      <c r="K1375">
        <v>104.99999999999999</v>
      </c>
      <c r="L1375" t="s">
        <v>12</v>
      </c>
      <c r="M1375" t="s">
        <v>29</v>
      </c>
      <c r="N1375">
        <f>MONTH(Table1[[#This Row],[SaleDate]])</f>
        <v>6</v>
      </c>
      <c r="O1375" t="str">
        <f>TEXT(Table1[[#This Row],[SaleDate]],"MMM")</f>
        <v>Jun</v>
      </c>
    </row>
    <row r="1376" spans="1:15">
      <c r="A1376" s="1">
        <v>45089</v>
      </c>
      <c r="B1376" t="s">
        <v>24</v>
      </c>
      <c r="C1376" t="s">
        <v>22</v>
      </c>
      <c r="D1376">
        <v>1</v>
      </c>
      <c r="E1376" t="s">
        <v>9</v>
      </c>
      <c r="F1376">
        <v>60000</v>
      </c>
      <c r="G1376">
        <v>31000</v>
      </c>
      <c r="H1376">
        <f>Table1[[#This Row],[Qty]]*Table1[[#This Row],[SellingPrice]]</f>
        <v>60000</v>
      </c>
      <c r="I1376">
        <f>Table1[[#This Row],[Qty]]*Table1[[#This Row],[CostPrice]]</f>
        <v>31000</v>
      </c>
      <c r="J1376">
        <v>28797</v>
      </c>
      <c r="K1376">
        <v>202.99999999999997</v>
      </c>
      <c r="L1376" t="s">
        <v>12</v>
      </c>
      <c r="M1376" t="s">
        <v>27</v>
      </c>
      <c r="N1376">
        <f>MONTH(Table1[[#This Row],[SaleDate]])</f>
        <v>6</v>
      </c>
      <c r="O1376" t="str">
        <f>TEXT(Table1[[#This Row],[SaleDate]],"MMM")</f>
        <v>Jun</v>
      </c>
    </row>
    <row r="1377" spans="1:15">
      <c r="A1377" s="1">
        <v>45089</v>
      </c>
      <c r="B1377" t="s">
        <v>24</v>
      </c>
      <c r="C1377" t="s">
        <v>22</v>
      </c>
      <c r="D1377">
        <v>1</v>
      </c>
      <c r="E1377" t="s">
        <v>10</v>
      </c>
      <c r="F1377">
        <v>89000</v>
      </c>
      <c r="G1377">
        <v>65000</v>
      </c>
      <c r="H1377">
        <f>Table1[[#This Row],[Qty]]*Table1[[#This Row],[SellingPrice]]</f>
        <v>89000</v>
      </c>
      <c r="I1377">
        <f>Table1[[#This Row],[Qty]]*Table1[[#This Row],[CostPrice]]</f>
        <v>65000</v>
      </c>
      <c r="J1377">
        <v>23832</v>
      </c>
      <c r="K1377">
        <v>167.99999999999997</v>
      </c>
      <c r="L1377" t="s">
        <v>12</v>
      </c>
      <c r="M1377" t="s">
        <v>27</v>
      </c>
      <c r="N1377">
        <f>MONTH(Table1[[#This Row],[SaleDate]])</f>
        <v>6</v>
      </c>
      <c r="O1377" t="str">
        <f>TEXT(Table1[[#This Row],[SaleDate]],"MMM")</f>
        <v>Jun</v>
      </c>
    </row>
    <row r="1378" spans="1:15">
      <c r="A1378" s="1">
        <v>45089</v>
      </c>
      <c r="B1378" t="s">
        <v>25</v>
      </c>
      <c r="C1378" t="s">
        <v>21</v>
      </c>
      <c r="D1378">
        <v>1</v>
      </c>
      <c r="E1378" t="s">
        <v>7</v>
      </c>
      <c r="F1378">
        <v>33000</v>
      </c>
      <c r="G1378">
        <v>18000</v>
      </c>
      <c r="H1378">
        <f>Table1[[#This Row],[Qty]]*Table1[[#This Row],[SellingPrice]]</f>
        <v>33000</v>
      </c>
      <c r="I1378">
        <f>Table1[[#This Row],[Qty]]*Table1[[#This Row],[CostPrice]]</f>
        <v>18000</v>
      </c>
      <c r="J1378">
        <v>14895</v>
      </c>
      <c r="K1378">
        <v>104.99999999999999</v>
      </c>
      <c r="L1378" t="s">
        <v>13</v>
      </c>
      <c r="M1378" t="s">
        <v>27</v>
      </c>
      <c r="N1378">
        <f>MONTH(Table1[[#This Row],[SaleDate]])</f>
        <v>6</v>
      </c>
      <c r="O1378" t="str">
        <f>TEXT(Table1[[#This Row],[SaleDate]],"MMM")</f>
        <v>Jun</v>
      </c>
    </row>
    <row r="1379" spans="1:15">
      <c r="A1379" s="1">
        <v>45089</v>
      </c>
      <c r="B1379" t="s">
        <v>25</v>
      </c>
      <c r="C1379" t="s">
        <v>21</v>
      </c>
      <c r="D1379">
        <v>1</v>
      </c>
      <c r="E1379" t="s">
        <v>9</v>
      </c>
      <c r="F1379">
        <v>60000</v>
      </c>
      <c r="G1379">
        <v>31000</v>
      </c>
      <c r="H1379">
        <f>Table1[[#This Row],[Qty]]*Table1[[#This Row],[SellingPrice]]</f>
        <v>60000</v>
      </c>
      <c r="I1379">
        <f>Table1[[#This Row],[Qty]]*Table1[[#This Row],[CostPrice]]</f>
        <v>31000</v>
      </c>
      <c r="J1379">
        <v>28797</v>
      </c>
      <c r="K1379">
        <v>202.99999999999997</v>
      </c>
      <c r="L1379" t="s">
        <v>13</v>
      </c>
      <c r="M1379" t="s">
        <v>28</v>
      </c>
      <c r="N1379">
        <f>MONTH(Table1[[#This Row],[SaleDate]])</f>
        <v>6</v>
      </c>
      <c r="O1379" t="str">
        <f>TEXT(Table1[[#This Row],[SaleDate]],"MMM")</f>
        <v>Jun</v>
      </c>
    </row>
    <row r="1380" spans="1:15">
      <c r="A1380" s="1">
        <v>45089</v>
      </c>
      <c r="B1380" t="s">
        <v>25</v>
      </c>
      <c r="C1380" t="s">
        <v>21</v>
      </c>
      <c r="D1380">
        <v>1</v>
      </c>
      <c r="E1380" t="s">
        <v>10</v>
      </c>
      <c r="F1380">
        <v>89000</v>
      </c>
      <c r="G1380">
        <v>65000</v>
      </c>
      <c r="H1380">
        <f>Table1[[#This Row],[Qty]]*Table1[[#This Row],[SellingPrice]]</f>
        <v>89000</v>
      </c>
      <c r="I1380">
        <f>Table1[[#This Row],[Qty]]*Table1[[#This Row],[CostPrice]]</f>
        <v>65000</v>
      </c>
      <c r="J1380">
        <v>23832</v>
      </c>
      <c r="K1380">
        <v>167.99999999999997</v>
      </c>
      <c r="L1380" t="s">
        <v>13</v>
      </c>
      <c r="M1380" t="s">
        <v>29</v>
      </c>
      <c r="N1380">
        <f>MONTH(Table1[[#This Row],[SaleDate]])</f>
        <v>6</v>
      </c>
      <c r="O1380" t="str">
        <f>TEXT(Table1[[#This Row],[SaleDate]],"MMM")</f>
        <v>Jun</v>
      </c>
    </row>
    <row r="1381" spans="1:15">
      <c r="A1381" s="1">
        <v>45090</v>
      </c>
      <c r="B1381" t="s">
        <v>23</v>
      </c>
      <c r="C1381" t="s">
        <v>19</v>
      </c>
      <c r="D1381">
        <v>1</v>
      </c>
      <c r="E1381" t="s">
        <v>7</v>
      </c>
      <c r="F1381">
        <v>33000</v>
      </c>
      <c r="G1381">
        <v>18000</v>
      </c>
      <c r="H1381">
        <f>Table1[[#This Row],[Qty]]*Table1[[#This Row],[SellingPrice]]</f>
        <v>33000</v>
      </c>
      <c r="I1381">
        <f>Table1[[#This Row],[Qty]]*Table1[[#This Row],[CostPrice]]</f>
        <v>18000</v>
      </c>
      <c r="J1381">
        <v>14895</v>
      </c>
      <c r="K1381">
        <v>104.99999999999999</v>
      </c>
      <c r="L1381" t="s">
        <v>8</v>
      </c>
      <c r="M1381" t="s">
        <v>29</v>
      </c>
      <c r="N1381">
        <f>MONTH(Table1[[#This Row],[SaleDate]])</f>
        <v>6</v>
      </c>
      <c r="O1381" t="str">
        <f>TEXT(Table1[[#This Row],[SaleDate]],"MMM")</f>
        <v>Jun</v>
      </c>
    </row>
    <row r="1382" spans="1:15">
      <c r="A1382" s="1">
        <v>45090</v>
      </c>
      <c r="B1382" t="s">
        <v>23</v>
      </c>
      <c r="C1382" t="s">
        <v>19</v>
      </c>
      <c r="D1382">
        <v>1</v>
      </c>
      <c r="E1382" t="s">
        <v>9</v>
      </c>
      <c r="F1382">
        <v>60000</v>
      </c>
      <c r="G1382">
        <v>31000</v>
      </c>
      <c r="H1382">
        <f>Table1[[#This Row],[Qty]]*Table1[[#This Row],[SellingPrice]]</f>
        <v>60000</v>
      </c>
      <c r="I1382">
        <f>Table1[[#This Row],[Qty]]*Table1[[#This Row],[CostPrice]]</f>
        <v>31000</v>
      </c>
      <c r="J1382">
        <v>28797</v>
      </c>
      <c r="K1382">
        <v>202.99999999999997</v>
      </c>
      <c r="L1382" t="s">
        <v>8</v>
      </c>
      <c r="M1382" t="s">
        <v>29</v>
      </c>
      <c r="N1382">
        <f>MONTH(Table1[[#This Row],[SaleDate]])</f>
        <v>6</v>
      </c>
      <c r="O1382" t="str">
        <f>TEXT(Table1[[#This Row],[SaleDate]],"MMM")</f>
        <v>Jun</v>
      </c>
    </row>
    <row r="1383" spans="1:15">
      <c r="A1383" s="1">
        <v>45090</v>
      </c>
      <c r="B1383" t="s">
        <v>23</v>
      </c>
      <c r="C1383" t="s">
        <v>19</v>
      </c>
      <c r="D1383">
        <v>1</v>
      </c>
      <c r="E1383" t="s">
        <v>10</v>
      </c>
      <c r="F1383">
        <v>89000</v>
      </c>
      <c r="G1383">
        <v>65000</v>
      </c>
      <c r="H1383">
        <f>Table1[[#This Row],[Qty]]*Table1[[#This Row],[SellingPrice]]</f>
        <v>89000</v>
      </c>
      <c r="I1383">
        <f>Table1[[#This Row],[Qty]]*Table1[[#This Row],[CostPrice]]</f>
        <v>65000</v>
      </c>
      <c r="J1383">
        <v>23832</v>
      </c>
      <c r="K1383">
        <v>167.99999999999997</v>
      </c>
      <c r="L1383" t="s">
        <v>8</v>
      </c>
      <c r="M1383" t="s">
        <v>27</v>
      </c>
      <c r="N1383">
        <f>MONTH(Table1[[#This Row],[SaleDate]])</f>
        <v>6</v>
      </c>
      <c r="O1383" t="str">
        <f>TEXT(Table1[[#This Row],[SaleDate]],"MMM")</f>
        <v>Jun</v>
      </c>
    </row>
    <row r="1384" spans="1:15">
      <c r="A1384" s="1">
        <v>45090</v>
      </c>
      <c r="B1384" t="s">
        <v>24</v>
      </c>
      <c r="C1384" t="s">
        <v>22</v>
      </c>
      <c r="D1384">
        <v>1</v>
      </c>
      <c r="E1384" t="s">
        <v>7</v>
      </c>
      <c r="F1384">
        <v>33000</v>
      </c>
      <c r="G1384">
        <v>18000</v>
      </c>
      <c r="H1384">
        <f>Table1[[#This Row],[Qty]]*Table1[[#This Row],[SellingPrice]]</f>
        <v>33000</v>
      </c>
      <c r="I1384">
        <f>Table1[[#This Row],[Qty]]*Table1[[#This Row],[CostPrice]]</f>
        <v>18000</v>
      </c>
      <c r="J1384">
        <v>14895</v>
      </c>
      <c r="K1384">
        <v>104.99999999999999</v>
      </c>
      <c r="L1384" t="s">
        <v>12</v>
      </c>
      <c r="M1384" t="s">
        <v>30</v>
      </c>
      <c r="N1384">
        <f>MONTH(Table1[[#This Row],[SaleDate]])</f>
        <v>6</v>
      </c>
      <c r="O1384" t="str">
        <f>TEXT(Table1[[#This Row],[SaleDate]],"MMM")</f>
        <v>Jun</v>
      </c>
    </row>
    <row r="1385" spans="1:15">
      <c r="A1385" s="1">
        <v>45090</v>
      </c>
      <c r="B1385" t="s">
        <v>24</v>
      </c>
      <c r="C1385" t="s">
        <v>22</v>
      </c>
      <c r="D1385">
        <v>1</v>
      </c>
      <c r="E1385" t="s">
        <v>9</v>
      </c>
      <c r="F1385">
        <v>60000</v>
      </c>
      <c r="G1385">
        <v>31000</v>
      </c>
      <c r="H1385">
        <f>Table1[[#This Row],[Qty]]*Table1[[#This Row],[SellingPrice]]</f>
        <v>60000</v>
      </c>
      <c r="I1385">
        <f>Table1[[#This Row],[Qty]]*Table1[[#This Row],[CostPrice]]</f>
        <v>31000</v>
      </c>
      <c r="J1385">
        <v>28797</v>
      </c>
      <c r="K1385">
        <v>202.99999999999997</v>
      </c>
      <c r="L1385" t="s">
        <v>12</v>
      </c>
      <c r="M1385" t="s">
        <v>29</v>
      </c>
      <c r="N1385">
        <f>MONTH(Table1[[#This Row],[SaleDate]])</f>
        <v>6</v>
      </c>
      <c r="O1385" t="str">
        <f>TEXT(Table1[[#This Row],[SaleDate]],"MMM")</f>
        <v>Jun</v>
      </c>
    </row>
    <row r="1386" spans="1:15">
      <c r="A1386" s="1">
        <v>45090</v>
      </c>
      <c r="B1386" t="s">
        <v>24</v>
      </c>
      <c r="C1386" t="s">
        <v>22</v>
      </c>
      <c r="D1386">
        <v>1</v>
      </c>
      <c r="E1386" t="s">
        <v>10</v>
      </c>
      <c r="F1386">
        <v>89000</v>
      </c>
      <c r="G1386">
        <v>65000</v>
      </c>
      <c r="H1386">
        <f>Table1[[#This Row],[Qty]]*Table1[[#This Row],[SellingPrice]]</f>
        <v>89000</v>
      </c>
      <c r="I1386">
        <f>Table1[[#This Row],[Qty]]*Table1[[#This Row],[CostPrice]]</f>
        <v>65000</v>
      </c>
      <c r="J1386">
        <v>23832</v>
      </c>
      <c r="K1386">
        <v>167.99999999999997</v>
      </c>
      <c r="L1386" t="s">
        <v>12</v>
      </c>
      <c r="M1386" t="s">
        <v>29</v>
      </c>
      <c r="N1386">
        <f>MONTH(Table1[[#This Row],[SaleDate]])</f>
        <v>6</v>
      </c>
      <c r="O1386" t="str">
        <f>TEXT(Table1[[#This Row],[SaleDate]],"MMM")</f>
        <v>Jun</v>
      </c>
    </row>
    <row r="1387" spans="1:15">
      <c r="A1387" s="1">
        <v>45090</v>
      </c>
      <c r="B1387" t="s">
        <v>25</v>
      </c>
      <c r="C1387" t="s">
        <v>21</v>
      </c>
      <c r="D1387">
        <v>1</v>
      </c>
      <c r="E1387" t="s">
        <v>7</v>
      </c>
      <c r="F1387">
        <v>33000</v>
      </c>
      <c r="G1387">
        <v>18000</v>
      </c>
      <c r="H1387">
        <f>Table1[[#This Row],[Qty]]*Table1[[#This Row],[SellingPrice]]</f>
        <v>33000</v>
      </c>
      <c r="I1387">
        <f>Table1[[#This Row],[Qty]]*Table1[[#This Row],[CostPrice]]</f>
        <v>18000</v>
      </c>
      <c r="J1387">
        <v>14895</v>
      </c>
      <c r="K1387">
        <v>104.99999999999999</v>
      </c>
      <c r="L1387" t="s">
        <v>13</v>
      </c>
      <c r="M1387" t="s">
        <v>27</v>
      </c>
      <c r="N1387">
        <f>MONTH(Table1[[#This Row],[SaleDate]])</f>
        <v>6</v>
      </c>
      <c r="O1387" t="str">
        <f>TEXT(Table1[[#This Row],[SaleDate]],"MMM")</f>
        <v>Jun</v>
      </c>
    </row>
    <row r="1388" spans="1:15">
      <c r="A1388" s="1">
        <v>45090</v>
      </c>
      <c r="B1388" t="s">
        <v>25</v>
      </c>
      <c r="C1388" t="s">
        <v>21</v>
      </c>
      <c r="D1388">
        <v>1</v>
      </c>
      <c r="E1388" t="s">
        <v>9</v>
      </c>
      <c r="F1388">
        <v>60000</v>
      </c>
      <c r="G1388">
        <v>31000</v>
      </c>
      <c r="H1388">
        <f>Table1[[#This Row],[Qty]]*Table1[[#This Row],[SellingPrice]]</f>
        <v>60000</v>
      </c>
      <c r="I1388">
        <f>Table1[[#This Row],[Qty]]*Table1[[#This Row],[CostPrice]]</f>
        <v>31000</v>
      </c>
      <c r="J1388">
        <v>28797</v>
      </c>
      <c r="K1388">
        <v>202.99999999999997</v>
      </c>
      <c r="L1388" t="s">
        <v>13</v>
      </c>
      <c r="M1388" t="s">
        <v>27</v>
      </c>
      <c r="N1388">
        <f>MONTH(Table1[[#This Row],[SaleDate]])</f>
        <v>6</v>
      </c>
      <c r="O1388" t="str">
        <f>TEXT(Table1[[#This Row],[SaleDate]],"MMM")</f>
        <v>Jun</v>
      </c>
    </row>
    <row r="1389" spans="1:15">
      <c r="A1389" s="1">
        <v>45090</v>
      </c>
      <c r="B1389" t="s">
        <v>25</v>
      </c>
      <c r="C1389" t="s">
        <v>21</v>
      </c>
      <c r="D1389">
        <v>1</v>
      </c>
      <c r="E1389" t="s">
        <v>10</v>
      </c>
      <c r="F1389">
        <v>89000</v>
      </c>
      <c r="G1389">
        <v>65000</v>
      </c>
      <c r="H1389">
        <f>Table1[[#This Row],[Qty]]*Table1[[#This Row],[SellingPrice]]</f>
        <v>89000</v>
      </c>
      <c r="I1389">
        <f>Table1[[#This Row],[Qty]]*Table1[[#This Row],[CostPrice]]</f>
        <v>65000</v>
      </c>
      <c r="J1389">
        <v>23832</v>
      </c>
      <c r="K1389">
        <v>167.99999999999997</v>
      </c>
      <c r="L1389" t="s">
        <v>13</v>
      </c>
      <c r="M1389" t="s">
        <v>29</v>
      </c>
      <c r="N1389">
        <f>MONTH(Table1[[#This Row],[SaleDate]])</f>
        <v>6</v>
      </c>
      <c r="O1389" t="str">
        <f>TEXT(Table1[[#This Row],[SaleDate]],"MMM")</f>
        <v>Jun</v>
      </c>
    </row>
    <row r="1390" spans="1:15">
      <c r="A1390" s="1">
        <v>45091</v>
      </c>
      <c r="B1390" t="s">
        <v>23</v>
      </c>
      <c r="C1390" t="s">
        <v>19</v>
      </c>
      <c r="D1390">
        <v>1</v>
      </c>
      <c r="E1390" t="s">
        <v>7</v>
      </c>
      <c r="F1390">
        <v>33000</v>
      </c>
      <c r="G1390">
        <v>18000</v>
      </c>
      <c r="H1390">
        <f>Table1[[#This Row],[Qty]]*Table1[[#This Row],[SellingPrice]]</f>
        <v>33000</v>
      </c>
      <c r="I1390">
        <f>Table1[[#This Row],[Qty]]*Table1[[#This Row],[CostPrice]]</f>
        <v>18000</v>
      </c>
      <c r="J1390">
        <v>14895</v>
      </c>
      <c r="K1390">
        <v>104.99999999999999</v>
      </c>
      <c r="L1390" t="s">
        <v>8</v>
      </c>
      <c r="M1390" t="s">
        <v>27</v>
      </c>
      <c r="N1390">
        <f>MONTH(Table1[[#This Row],[SaleDate]])</f>
        <v>6</v>
      </c>
      <c r="O1390" t="str">
        <f>TEXT(Table1[[#This Row],[SaleDate]],"MMM")</f>
        <v>Jun</v>
      </c>
    </row>
    <row r="1391" spans="1:15">
      <c r="A1391" s="1">
        <v>45091</v>
      </c>
      <c r="B1391" t="s">
        <v>23</v>
      </c>
      <c r="C1391" t="s">
        <v>19</v>
      </c>
      <c r="D1391">
        <v>1</v>
      </c>
      <c r="E1391" t="s">
        <v>9</v>
      </c>
      <c r="F1391">
        <v>60000</v>
      </c>
      <c r="G1391">
        <v>31000</v>
      </c>
      <c r="H1391">
        <f>Table1[[#This Row],[Qty]]*Table1[[#This Row],[SellingPrice]]</f>
        <v>60000</v>
      </c>
      <c r="I1391">
        <f>Table1[[#This Row],[Qty]]*Table1[[#This Row],[CostPrice]]</f>
        <v>31000</v>
      </c>
      <c r="J1391">
        <v>28797</v>
      </c>
      <c r="K1391">
        <v>202.99999999999997</v>
      </c>
      <c r="L1391" t="s">
        <v>8</v>
      </c>
      <c r="M1391" t="s">
        <v>29</v>
      </c>
      <c r="N1391">
        <f>MONTH(Table1[[#This Row],[SaleDate]])</f>
        <v>6</v>
      </c>
      <c r="O1391" t="str">
        <f>TEXT(Table1[[#This Row],[SaleDate]],"MMM")</f>
        <v>Jun</v>
      </c>
    </row>
    <row r="1392" spans="1:15">
      <c r="A1392" s="1">
        <v>45091</v>
      </c>
      <c r="B1392" t="s">
        <v>23</v>
      </c>
      <c r="C1392" t="s">
        <v>19</v>
      </c>
      <c r="D1392">
        <v>1</v>
      </c>
      <c r="E1392" t="s">
        <v>10</v>
      </c>
      <c r="F1392">
        <v>89000</v>
      </c>
      <c r="G1392">
        <v>65000</v>
      </c>
      <c r="H1392">
        <f>Table1[[#This Row],[Qty]]*Table1[[#This Row],[SellingPrice]]</f>
        <v>89000</v>
      </c>
      <c r="I1392">
        <f>Table1[[#This Row],[Qty]]*Table1[[#This Row],[CostPrice]]</f>
        <v>65000</v>
      </c>
      <c r="J1392">
        <v>23832</v>
      </c>
      <c r="K1392">
        <v>167.99999999999997</v>
      </c>
      <c r="L1392" t="s">
        <v>8</v>
      </c>
      <c r="M1392" t="s">
        <v>30</v>
      </c>
      <c r="N1392">
        <f>MONTH(Table1[[#This Row],[SaleDate]])</f>
        <v>6</v>
      </c>
      <c r="O1392" t="str">
        <f>TEXT(Table1[[#This Row],[SaleDate]],"MMM")</f>
        <v>Jun</v>
      </c>
    </row>
    <row r="1393" spans="1:15">
      <c r="A1393" s="1">
        <v>45091</v>
      </c>
      <c r="B1393" t="s">
        <v>24</v>
      </c>
      <c r="C1393" t="s">
        <v>22</v>
      </c>
      <c r="D1393">
        <v>1</v>
      </c>
      <c r="E1393" t="s">
        <v>7</v>
      </c>
      <c r="F1393">
        <v>33000</v>
      </c>
      <c r="G1393">
        <v>18000</v>
      </c>
      <c r="H1393">
        <f>Table1[[#This Row],[Qty]]*Table1[[#This Row],[SellingPrice]]</f>
        <v>33000</v>
      </c>
      <c r="I1393">
        <f>Table1[[#This Row],[Qty]]*Table1[[#This Row],[CostPrice]]</f>
        <v>18000</v>
      </c>
      <c r="J1393">
        <v>14895</v>
      </c>
      <c r="K1393">
        <v>104.99999999999999</v>
      </c>
      <c r="L1393" t="s">
        <v>12</v>
      </c>
      <c r="M1393" t="s">
        <v>30</v>
      </c>
      <c r="N1393">
        <f>MONTH(Table1[[#This Row],[SaleDate]])</f>
        <v>6</v>
      </c>
      <c r="O1393" t="str">
        <f>TEXT(Table1[[#This Row],[SaleDate]],"MMM")</f>
        <v>Jun</v>
      </c>
    </row>
    <row r="1394" spans="1:15">
      <c r="A1394" s="1">
        <v>45091</v>
      </c>
      <c r="B1394" t="s">
        <v>24</v>
      </c>
      <c r="C1394" t="s">
        <v>22</v>
      </c>
      <c r="D1394">
        <v>1</v>
      </c>
      <c r="E1394" t="s">
        <v>9</v>
      </c>
      <c r="F1394">
        <v>60000</v>
      </c>
      <c r="G1394">
        <v>31000</v>
      </c>
      <c r="H1394">
        <f>Table1[[#This Row],[Qty]]*Table1[[#This Row],[SellingPrice]]</f>
        <v>60000</v>
      </c>
      <c r="I1394">
        <f>Table1[[#This Row],[Qty]]*Table1[[#This Row],[CostPrice]]</f>
        <v>31000</v>
      </c>
      <c r="J1394">
        <v>28797</v>
      </c>
      <c r="K1394">
        <v>202.99999999999997</v>
      </c>
      <c r="L1394" t="s">
        <v>12</v>
      </c>
      <c r="M1394" t="s">
        <v>28</v>
      </c>
      <c r="N1394">
        <f>MONTH(Table1[[#This Row],[SaleDate]])</f>
        <v>6</v>
      </c>
      <c r="O1394" t="str">
        <f>TEXT(Table1[[#This Row],[SaleDate]],"MMM")</f>
        <v>Jun</v>
      </c>
    </row>
    <row r="1395" spans="1:15">
      <c r="A1395" s="1">
        <v>45091</v>
      </c>
      <c r="B1395" t="s">
        <v>24</v>
      </c>
      <c r="C1395" t="s">
        <v>22</v>
      </c>
      <c r="D1395">
        <v>1</v>
      </c>
      <c r="E1395" t="s">
        <v>10</v>
      </c>
      <c r="F1395">
        <v>89000</v>
      </c>
      <c r="G1395">
        <v>65000</v>
      </c>
      <c r="H1395">
        <f>Table1[[#This Row],[Qty]]*Table1[[#This Row],[SellingPrice]]</f>
        <v>89000</v>
      </c>
      <c r="I1395">
        <f>Table1[[#This Row],[Qty]]*Table1[[#This Row],[CostPrice]]</f>
        <v>65000</v>
      </c>
      <c r="J1395">
        <v>23832</v>
      </c>
      <c r="K1395">
        <v>167.99999999999997</v>
      </c>
      <c r="L1395" t="s">
        <v>12</v>
      </c>
      <c r="M1395" t="s">
        <v>29</v>
      </c>
      <c r="N1395">
        <f>MONTH(Table1[[#This Row],[SaleDate]])</f>
        <v>6</v>
      </c>
      <c r="O1395" t="str">
        <f>TEXT(Table1[[#This Row],[SaleDate]],"MMM")</f>
        <v>Jun</v>
      </c>
    </row>
    <row r="1396" spans="1:15">
      <c r="A1396" s="1">
        <v>45091</v>
      </c>
      <c r="B1396" t="s">
        <v>25</v>
      </c>
      <c r="C1396" t="s">
        <v>21</v>
      </c>
      <c r="D1396">
        <v>1</v>
      </c>
      <c r="E1396" t="s">
        <v>7</v>
      </c>
      <c r="F1396">
        <v>33000</v>
      </c>
      <c r="G1396">
        <v>18000</v>
      </c>
      <c r="H1396">
        <f>Table1[[#This Row],[Qty]]*Table1[[#This Row],[SellingPrice]]</f>
        <v>33000</v>
      </c>
      <c r="I1396">
        <f>Table1[[#This Row],[Qty]]*Table1[[#This Row],[CostPrice]]</f>
        <v>18000</v>
      </c>
      <c r="J1396">
        <v>14895</v>
      </c>
      <c r="K1396">
        <v>104.99999999999999</v>
      </c>
      <c r="L1396" t="s">
        <v>13</v>
      </c>
      <c r="M1396" t="s">
        <v>27</v>
      </c>
      <c r="N1396">
        <f>MONTH(Table1[[#This Row],[SaleDate]])</f>
        <v>6</v>
      </c>
      <c r="O1396" t="str">
        <f>TEXT(Table1[[#This Row],[SaleDate]],"MMM")</f>
        <v>Jun</v>
      </c>
    </row>
    <row r="1397" spans="1:15">
      <c r="A1397" s="1">
        <v>45091</v>
      </c>
      <c r="B1397" t="s">
        <v>25</v>
      </c>
      <c r="C1397" t="s">
        <v>21</v>
      </c>
      <c r="D1397">
        <v>1</v>
      </c>
      <c r="E1397" t="s">
        <v>9</v>
      </c>
      <c r="F1397">
        <v>60000</v>
      </c>
      <c r="G1397">
        <v>31000</v>
      </c>
      <c r="H1397">
        <f>Table1[[#This Row],[Qty]]*Table1[[#This Row],[SellingPrice]]</f>
        <v>60000</v>
      </c>
      <c r="I1397">
        <f>Table1[[#This Row],[Qty]]*Table1[[#This Row],[CostPrice]]</f>
        <v>31000</v>
      </c>
      <c r="J1397">
        <v>28797</v>
      </c>
      <c r="K1397">
        <v>202.99999999999997</v>
      </c>
      <c r="L1397" t="s">
        <v>13</v>
      </c>
      <c r="M1397" t="s">
        <v>30</v>
      </c>
      <c r="N1397">
        <f>MONTH(Table1[[#This Row],[SaleDate]])</f>
        <v>6</v>
      </c>
      <c r="O1397" t="str">
        <f>TEXT(Table1[[#This Row],[SaleDate]],"MMM")</f>
        <v>Jun</v>
      </c>
    </row>
    <row r="1398" spans="1:15">
      <c r="A1398" s="1">
        <v>45091</v>
      </c>
      <c r="B1398" t="s">
        <v>25</v>
      </c>
      <c r="C1398" t="s">
        <v>21</v>
      </c>
      <c r="D1398">
        <v>1</v>
      </c>
      <c r="E1398" t="s">
        <v>10</v>
      </c>
      <c r="F1398">
        <v>89000</v>
      </c>
      <c r="G1398">
        <v>65000</v>
      </c>
      <c r="H1398">
        <f>Table1[[#This Row],[Qty]]*Table1[[#This Row],[SellingPrice]]</f>
        <v>89000</v>
      </c>
      <c r="I1398">
        <f>Table1[[#This Row],[Qty]]*Table1[[#This Row],[CostPrice]]</f>
        <v>65000</v>
      </c>
      <c r="J1398">
        <v>23832</v>
      </c>
      <c r="K1398">
        <v>167.99999999999997</v>
      </c>
      <c r="L1398" t="s">
        <v>13</v>
      </c>
      <c r="M1398" t="s">
        <v>27</v>
      </c>
      <c r="N1398">
        <f>MONTH(Table1[[#This Row],[SaleDate]])</f>
        <v>6</v>
      </c>
      <c r="O1398" t="str">
        <f>TEXT(Table1[[#This Row],[SaleDate]],"MMM")</f>
        <v>Jun</v>
      </c>
    </row>
    <row r="1399" spans="1:15">
      <c r="A1399" s="1">
        <v>45092</v>
      </c>
      <c r="B1399" t="s">
        <v>23</v>
      </c>
      <c r="C1399" t="s">
        <v>19</v>
      </c>
      <c r="D1399">
        <v>1</v>
      </c>
      <c r="E1399" t="s">
        <v>7</v>
      </c>
      <c r="F1399">
        <v>33000</v>
      </c>
      <c r="G1399">
        <v>18000</v>
      </c>
      <c r="H1399">
        <f>Table1[[#This Row],[Qty]]*Table1[[#This Row],[SellingPrice]]</f>
        <v>33000</v>
      </c>
      <c r="I1399">
        <f>Table1[[#This Row],[Qty]]*Table1[[#This Row],[CostPrice]]</f>
        <v>18000</v>
      </c>
      <c r="J1399">
        <v>14895</v>
      </c>
      <c r="K1399">
        <v>104.99999999999999</v>
      </c>
      <c r="L1399" t="s">
        <v>8</v>
      </c>
      <c r="M1399" t="s">
        <v>27</v>
      </c>
      <c r="N1399">
        <f>MONTH(Table1[[#This Row],[SaleDate]])</f>
        <v>6</v>
      </c>
      <c r="O1399" t="str">
        <f>TEXT(Table1[[#This Row],[SaleDate]],"MMM")</f>
        <v>Jun</v>
      </c>
    </row>
    <row r="1400" spans="1:15">
      <c r="A1400" s="1">
        <v>45092</v>
      </c>
      <c r="B1400" t="s">
        <v>23</v>
      </c>
      <c r="C1400" t="s">
        <v>19</v>
      </c>
      <c r="D1400">
        <v>1</v>
      </c>
      <c r="E1400" t="s">
        <v>9</v>
      </c>
      <c r="F1400">
        <v>60000</v>
      </c>
      <c r="G1400">
        <v>31000</v>
      </c>
      <c r="H1400">
        <f>Table1[[#This Row],[Qty]]*Table1[[#This Row],[SellingPrice]]</f>
        <v>60000</v>
      </c>
      <c r="I1400">
        <f>Table1[[#This Row],[Qty]]*Table1[[#This Row],[CostPrice]]</f>
        <v>31000</v>
      </c>
      <c r="J1400">
        <v>28797</v>
      </c>
      <c r="K1400">
        <v>202.99999999999997</v>
      </c>
      <c r="L1400" t="s">
        <v>8</v>
      </c>
      <c r="M1400" t="s">
        <v>27</v>
      </c>
      <c r="N1400">
        <f>MONTH(Table1[[#This Row],[SaleDate]])</f>
        <v>6</v>
      </c>
      <c r="O1400" t="str">
        <f>TEXT(Table1[[#This Row],[SaleDate]],"MMM")</f>
        <v>Jun</v>
      </c>
    </row>
    <row r="1401" spans="1:15">
      <c r="A1401" s="1">
        <v>45092</v>
      </c>
      <c r="B1401" t="s">
        <v>23</v>
      </c>
      <c r="C1401" t="s">
        <v>19</v>
      </c>
      <c r="D1401">
        <v>1</v>
      </c>
      <c r="E1401" t="s">
        <v>10</v>
      </c>
      <c r="F1401">
        <v>89000</v>
      </c>
      <c r="G1401">
        <v>65000</v>
      </c>
      <c r="H1401">
        <f>Table1[[#This Row],[Qty]]*Table1[[#This Row],[SellingPrice]]</f>
        <v>89000</v>
      </c>
      <c r="I1401">
        <f>Table1[[#This Row],[Qty]]*Table1[[#This Row],[CostPrice]]</f>
        <v>65000</v>
      </c>
      <c r="J1401">
        <v>23832</v>
      </c>
      <c r="K1401">
        <v>167.99999999999997</v>
      </c>
      <c r="L1401" t="s">
        <v>8</v>
      </c>
      <c r="M1401" t="s">
        <v>29</v>
      </c>
      <c r="N1401">
        <f>MONTH(Table1[[#This Row],[SaleDate]])</f>
        <v>6</v>
      </c>
      <c r="O1401" t="str">
        <f>TEXT(Table1[[#This Row],[SaleDate]],"MMM")</f>
        <v>Jun</v>
      </c>
    </row>
    <row r="1402" spans="1:15">
      <c r="A1402" s="1">
        <v>45092</v>
      </c>
      <c r="B1402" t="s">
        <v>24</v>
      </c>
      <c r="C1402" t="s">
        <v>22</v>
      </c>
      <c r="D1402">
        <v>1</v>
      </c>
      <c r="E1402" t="s">
        <v>7</v>
      </c>
      <c r="F1402">
        <v>33000</v>
      </c>
      <c r="G1402">
        <v>18000</v>
      </c>
      <c r="H1402">
        <f>Table1[[#This Row],[Qty]]*Table1[[#This Row],[SellingPrice]]</f>
        <v>33000</v>
      </c>
      <c r="I1402">
        <f>Table1[[#This Row],[Qty]]*Table1[[#This Row],[CostPrice]]</f>
        <v>18000</v>
      </c>
      <c r="J1402">
        <v>14895</v>
      </c>
      <c r="K1402">
        <v>104.99999999999999</v>
      </c>
      <c r="L1402" t="s">
        <v>12</v>
      </c>
      <c r="M1402" t="s">
        <v>30</v>
      </c>
      <c r="N1402">
        <f>MONTH(Table1[[#This Row],[SaleDate]])</f>
        <v>6</v>
      </c>
      <c r="O1402" t="str">
        <f>TEXT(Table1[[#This Row],[SaleDate]],"MMM")</f>
        <v>Jun</v>
      </c>
    </row>
    <row r="1403" spans="1:15">
      <c r="A1403" s="1">
        <v>45092</v>
      </c>
      <c r="B1403" t="s">
        <v>24</v>
      </c>
      <c r="C1403" t="s">
        <v>22</v>
      </c>
      <c r="D1403">
        <v>1</v>
      </c>
      <c r="E1403" t="s">
        <v>9</v>
      </c>
      <c r="F1403">
        <v>60000</v>
      </c>
      <c r="G1403">
        <v>31000</v>
      </c>
      <c r="H1403">
        <f>Table1[[#This Row],[Qty]]*Table1[[#This Row],[SellingPrice]]</f>
        <v>60000</v>
      </c>
      <c r="I1403">
        <f>Table1[[#This Row],[Qty]]*Table1[[#This Row],[CostPrice]]</f>
        <v>31000</v>
      </c>
      <c r="J1403">
        <v>28797</v>
      </c>
      <c r="K1403">
        <v>202.99999999999997</v>
      </c>
      <c r="L1403" t="s">
        <v>12</v>
      </c>
      <c r="M1403" t="s">
        <v>29</v>
      </c>
      <c r="N1403">
        <f>MONTH(Table1[[#This Row],[SaleDate]])</f>
        <v>6</v>
      </c>
      <c r="O1403" t="str">
        <f>TEXT(Table1[[#This Row],[SaleDate]],"MMM")</f>
        <v>Jun</v>
      </c>
    </row>
    <row r="1404" spans="1:15">
      <c r="A1404" s="1">
        <v>45092</v>
      </c>
      <c r="B1404" t="s">
        <v>24</v>
      </c>
      <c r="C1404" t="s">
        <v>22</v>
      </c>
      <c r="D1404">
        <v>1</v>
      </c>
      <c r="E1404" t="s">
        <v>10</v>
      </c>
      <c r="F1404">
        <v>89000</v>
      </c>
      <c r="G1404">
        <v>65000</v>
      </c>
      <c r="H1404">
        <f>Table1[[#This Row],[Qty]]*Table1[[#This Row],[SellingPrice]]</f>
        <v>89000</v>
      </c>
      <c r="I1404">
        <f>Table1[[#This Row],[Qty]]*Table1[[#This Row],[CostPrice]]</f>
        <v>65000</v>
      </c>
      <c r="J1404">
        <v>23832</v>
      </c>
      <c r="K1404">
        <v>167.99999999999997</v>
      </c>
      <c r="L1404" t="s">
        <v>12</v>
      </c>
      <c r="M1404" t="s">
        <v>27</v>
      </c>
      <c r="N1404">
        <f>MONTH(Table1[[#This Row],[SaleDate]])</f>
        <v>6</v>
      </c>
      <c r="O1404" t="str">
        <f>TEXT(Table1[[#This Row],[SaleDate]],"MMM")</f>
        <v>Jun</v>
      </c>
    </row>
    <row r="1405" spans="1:15">
      <c r="A1405" s="1">
        <v>45092</v>
      </c>
      <c r="B1405" t="s">
        <v>25</v>
      </c>
      <c r="C1405" t="s">
        <v>21</v>
      </c>
      <c r="D1405">
        <v>1</v>
      </c>
      <c r="E1405" t="s">
        <v>7</v>
      </c>
      <c r="F1405">
        <v>33000</v>
      </c>
      <c r="G1405">
        <v>18000</v>
      </c>
      <c r="H1405">
        <f>Table1[[#This Row],[Qty]]*Table1[[#This Row],[SellingPrice]]</f>
        <v>33000</v>
      </c>
      <c r="I1405">
        <f>Table1[[#This Row],[Qty]]*Table1[[#This Row],[CostPrice]]</f>
        <v>18000</v>
      </c>
      <c r="J1405">
        <v>14895</v>
      </c>
      <c r="K1405">
        <v>104.99999999999999</v>
      </c>
      <c r="L1405" t="s">
        <v>13</v>
      </c>
      <c r="M1405" t="s">
        <v>30</v>
      </c>
      <c r="N1405">
        <f>MONTH(Table1[[#This Row],[SaleDate]])</f>
        <v>6</v>
      </c>
      <c r="O1405" t="str">
        <f>TEXT(Table1[[#This Row],[SaleDate]],"MMM")</f>
        <v>Jun</v>
      </c>
    </row>
    <row r="1406" spans="1:15">
      <c r="A1406" s="1">
        <v>45092</v>
      </c>
      <c r="B1406" t="s">
        <v>25</v>
      </c>
      <c r="C1406" t="s">
        <v>21</v>
      </c>
      <c r="D1406">
        <v>1</v>
      </c>
      <c r="E1406" t="s">
        <v>9</v>
      </c>
      <c r="F1406">
        <v>60000</v>
      </c>
      <c r="G1406">
        <v>31000</v>
      </c>
      <c r="H1406">
        <f>Table1[[#This Row],[Qty]]*Table1[[#This Row],[SellingPrice]]</f>
        <v>60000</v>
      </c>
      <c r="I1406">
        <f>Table1[[#This Row],[Qty]]*Table1[[#This Row],[CostPrice]]</f>
        <v>31000</v>
      </c>
      <c r="J1406">
        <v>28797</v>
      </c>
      <c r="K1406">
        <v>202.99999999999997</v>
      </c>
      <c r="L1406" t="s">
        <v>13</v>
      </c>
      <c r="M1406" t="s">
        <v>30</v>
      </c>
      <c r="N1406">
        <f>MONTH(Table1[[#This Row],[SaleDate]])</f>
        <v>6</v>
      </c>
      <c r="O1406" t="str">
        <f>TEXT(Table1[[#This Row],[SaleDate]],"MMM")</f>
        <v>Jun</v>
      </c>
    </row>
    <row r="1407" spans="1:15">
      <c r="A1407" s="1">
        <v>45092</v>
      </c>
      <c r="B1407" t="s">
        <v>25</v>
      </c>
      <c r="C1407" t="s">
        <v>21</v>
      </c>
      <c r="D1407">
        <v>1</v>
      </c>
      <c r="E1407" t="s">
        <v>10</v>
      </c>
      <c r="F1407">
        <v>89000</v>
      </c>
      <c r="G1407">
        <v>65000</v>
      </c>
      <c r="H1407">
        <f>Table1[[#This Row],[Qty]]*Table1[[#This Row],[SellingPrice]]</f>
        <v>89000</v>
      </c>
      <c r="I1407">
        <f>Table1[[#This Row],[Qty]]*Table1[[#This Row],[CostPrice]]</f>
        <v>65000</v>
      </c>
      <c r="J1407">
        <v>23832</v>
      </c>
      <c r="K1407">
        <v>167.99999999999997</v>
      </c>
      <c r="L1407" t="s">
        <v>13</v>
      </c>
      <c r="M1407" t="s">
        <v>30</v>
      </c>
      <c r="N1407">
        <f>MONTH(Table1[[#This Row],[SaleDate]])</f>
        <v>6</v>
      </c>
      <c r="O1407" t="str">
        <f>TEXT(Table1[[#This Row],[SaleDate]],"MMM")</f>
        <v>Jun</v>
      </c>
    </row>
    <row r="1408" spans="1:15">
      <c r="A1408" s="1">
        <v>45093</v>
      </c>
      <c r="B1408" t="s">
        <v>23</v>
      </c>
      <c r="C1408" t="s">
        <v>19</v>
      </c>
      <c r="D1408">
        <v>1</v>
      </c>
      <c r="E1408" t="s">
        <v>7</v>
      </c>
      <c r="F1408">
        <v>33000</v>
      </c>
      <c r="G1408">
        <v>18000</v>
      </c>
      <c r="H1408">
        <f>Table1[[#This Row],[Qty]]*Table1[[#This Row],[SellingPrice]]</f>
        <v>33000</v>
      </c>
      <c r="I1408">
        <f>Table1[[#This Row],[Qty]]*Table1[[#This Row],[CostPrice]]</f>
        <v>18000</v>
      </c>
      <c r="J1408">
        <v>14895</v>
      </c>
      <c r="K1408">
        <v>104.99999999999999</v>
      </c>
      <c r="L1408" t="s">
        <v>8</v>
      </c>
      <c r="M1408" t="s">
        <v>29</v>
      </c>
      <c r="N1408">
        <f>MONTH(Table1[[#This Row],[SaleDate]])</f>
        <v>6</v>
      </c>
      <c r="O1408" t="str">
        <f>TEXT(Table1[[#This Row],[SaleDate]],"MMM")</f>
        <v>Jun</v>
      </c>
    </row>
    <row r="1409" spans="1:15">
      <c r="A1409" s="1">
        <v>45093</v>
      </c>
      <c r="B1409" t="s">
        <v>23</v>
      </c>
      <c r="C1409" t="s">
        <v>19</v>
      </c>
      <c r="D1409">
        <v>1</v>
      </c>
      <c r="E1409" t="s">
        <v>9</v>
      </c>
      <c r="F1409">
        <v>60000</v>
      </c>
      <c r="G1409">
        <v>31000</v>
      </c>
      <c r="H1409">
        <f>Table1[[#This Row],[Qty]]*Table1[[#This Row],[SellingPrice]]</f>
        <v>60000</v>
      </c>
      <c r="I1409">
        <f>Table1[[#This Row],[Qty]]*Table1[[#This Row],[CostPrice]]</f>
        <v>31000</v>
      </c>
      <c r="J1409">
        <v>28797</v>
      </c>
      <c r="K1409">
        <v>202.99999999999997</v>
      </c>
      <c r="L1409" t="s">
        <v>8</v>
      </c>
      <c r="M1409" t="s">
        <v>29</v>
      </c>
      <c r="N1409">
        <f>MONTH(Table1[[#This Row],[SaleDate]])</f>
        <v>6</v>
      </c>
      <c r="O1409" t="str">
        <f>TEXT(Table1[[#This Row],[SaleDate]],"MMM")</f>
        <v>Jun</v>
      </c>
    </row>
    <row r="1410" spans="1:15">
      <c r="A1410" s="1">
        <v>45093</v>
      </c>
      <c r="B1410" t="s">
        <v>23</v>
      </c>
      <c r="C1410" t="s">
        <v>19</v>
      </c>
      <c r="D1410">
        <v>1</v>
      </c>
      <c r="E1410" t="s">
        <v>10</v>
      </c>
      <c r="F1410">
        <v>89000</v>
      </c>
      <c r="G1410">
        <v>65000</v>
      </c>
      <c r="H1410">
        <f>Table1[[#This Row],[Qty]]*Table1[[#This Row],[SellingPrice]]</f>
        <v>89000</v>
      </c>
      <c r="I1410">
        <f>Table1[[#This Row],[Qty]]*Table1[[#This Row],[CostPrice]]</f>
        <v>65000</v>
      </c>
      <c r="J1410">
        <v>23832</v>
      </c>
      <c r="K1410">
        <v>167.99999999999997</v>
      </c>
      <c r="L1410" t="s">
        <v>8</v>
      </c>
      <c r="M1410" t="s">
        <v>29</v>
      </c>
      <c r="N1410">
        <f>MONTH(Table1[[#This Row],[SaleDate]])</f>
        <v>6</v>
      </c>
      <c r="O1410" t="str">
        <f>TEXT(Table1[[#This Row],[SaleDate]],"MMM")</f>
        <v>Jun</v>
      </c>
    </row>
    <row r="1411" spans="1:15">
      <c r="A1411" s="1">
        <v>45093</v>
      </c>
      <c r="B1411" t="s">
        <v>24</v>
      </c>
      <c r="C1411" t="s">
        <v>22</v>
      </c>
      <c r="D1411">
        <v>1</v>
      </c>
      <c r="E1411" t="s">
        <v>7</v>
      </c>
      <c r="F1411">
        <v>33000</v>
      </c>
      <c r="G1411">
        <v>18000</v>
      </c>
      <c r="H1411">
        <f>Table1[[#This Row],[Qty]]*Table1[[#This Row],[SellingPrice]]</f>
        <v>33000</v>
      </c>
      <c r="I1411">
        <f>Table1[[#This Row],[Qty]]*Table1[[#This Row],[CostPrice]]</f>
        <v>18000</v>
      </c>
      <c r="J1411">
        <v>14895</v>
      </c>
      <c r="K1411">
        <v>104.99999999999999</v>
      </c>
      <c r="L1411" t="s">
        <v>12</v>
      </c>
      <c r="M1411" t="s">
        <v>30</v>
      </c>
      <c r="N1411">
        <f>MONTH(Table1[[#This Row],[SaleDate]])</f>
        <v>6</v>
      </c>
      <c r="O1411" t="str">
        <f>TEXT(Table1[[#This Row],[SaleDate]],"MMM")</f>
        <v>Jun</v>
      </c>
    </row>
    <row r="1412" spans="1:15">
      <c r="A1412" s="1">
        <v>45093</v>
      </c>
      <c r="B1412" t="s">
        <v>24</v>
      </c>
      <c r="C1412" t="s">
        <v>22</v>
      </c>
      <c r="D1412">
        <v>1</v>
      </c>
      <c r="E1412" t="s">
        <v>9</v>
      </c>
      <c r="F1412">
        <v>60000</v>
      </c>
      <c r="G1412">
        <v>31000</v>
      </c>
      <c r="H1412">
        <f>Table1[[#This Row],[Qty]]*Table1[[#This Row],[SellingPrice]]</f>
        <v>60000</v>
      </c>
      <c r="I1412">
        <f>Table1[[#This Row],[Qty]]*Table1[[#This Row],[CostPrice]]</f>
        <v>31000</v>
      </c>
      <c r="J1412">
        <v>28797</v>
      </c>
      <c r="K1412">
        <v>202.99999999999997</v>
      </c>
      <c r="L1412" t="s">
        <v>12</v>
      </c>
      <c r="M1412" t="s">
        <v>27</v>
      </c>
      <c r="N1412">
        <f>MONTH(Table1[[#This Row],[SaleDate]])</f>
        <v>6</v>
      </c>
      <c r="O1412" t="str">
        <f>TEXT(Table1[[#This Row],[SaleDate]],"MMM")</f>
        <v>Jun</v>
      </c>
    </row>
    <row r="1413" spans="1:15">
      <c r="A1413" s="1">
        <v>45093</v>
      </c>
      <c r="B1413" t="s">
        <v>24</v>
      </c>
      <c r="C1413" t="s">
        <v>22</v>
      </c>
      <c r="D1413">
        <v>1</v>
      </c>
      <c r="E1413" t="s">
        <v>10</v>
      </c>
      <c r="F1413">
        <v>89000</v>
      </c>
      <c r="G1413">
        <v>65000</v>
      </c>
      <c r="H1413">
        <f>Table1[[#This Row],[Qty]]*Table1[[#This Row],[SellingPrice]]</f>
        <v>89000</v>
      </c>
      <c r="I1413">
        <f>Table1[[#This Row],[Qty]]*Table1[[#This Row],[CostPrice]]</f>
        <v>65000</v>
      </c>
      <c r="J1413">
        <v>23832</v>
      </c>
      <c r="K1413">
        <v>167.99999999999997</v>
      </c>
      <c r="L1413" t="s">
        <v>12</v>
      </c>
      <c r="M1413" t="s">
        <v>30</v>
      </c>
      <c r="N1413">
        <f>MONTH(Table1[[#This Row],[SaleDate]])</f>
        <v>6</v>
      </c>
      <c r="O1413" t="str">
        <f>TEXT(Table1[[#This Row],[SaleDate]],"MMM")</f>
        <v>Jun</v>
      </c>
    </row>
    <row r="1414" spans="1:15">
      <c r="A1414" s="1">
        <v>45093</v>
      </c>
      <c r="B1414" t="s">
        <v>25</v>
      </c>
      <c r="C1414" t="s">
        <v>21</v>
      </c>
      <c r="D1414">
        <v>1</v>
      </c>
      <c r="E1414" t="s">
        <v>7</v>
      </c>
      <c r="F1414">
        <v>33000</v>
      </c>
      <c r="G1414">
        <v>18000</v>
      </c>
      <c r="H1414">
        <f>Table1[[#This Row],[Qty]]*Table1[[#This Row],[SellingPrice]]</f>
        <v>33000</v>
      </c>
      <c r="I1414">
        <f>Table1[[#This Row],[Qty]]*Table1[[#This Row],[CostPrice]]</f>
        <v>18000</v>
      </c>
      <c r="J1414">
        <v>14895</v>
      </c>
      <c r="K1414">
        <v>104.99999999999999</v>
      </c>
      <c r="L1414" t="s">
        <v>13</v>
      </c>
      <c r="M1414" t="s">
        <v>29</v>
      </c>
      <c r="N1414">
        <f>MONTH(Table1[[#This Row],[SaleDate]])</f>
        <v>6</v>
      </c>
      <c r="O1414" t="str">
        <f>TEXT(Table1[[#This Row],[SaleDate]],"MMM")</f>
        <v>Jun</v>
      </c>
    </row>
    <row r="1415" spans="1:15">
      <c r="A1415" s="1">
        <v>45093</v>
      </c>
      <c r="B1415" t="s">
        <v>25</v>
      </c>
      <c r="C1415" t="s">
        <v>21</v>
      </c>
      <c r="D1415">
        <v>1</v>
      </c>
      <c r="E1415" t="s">
        <v>9</v>
      </c>
      <c r="F1415">
        <v>60000</v>
      </c>
      <c r="G1415">
        <v>31000</v>
      </c>
      <c r="H1415">
        <f>Table1[[#This Row],[Qty]]*Table1[[#This Row],[SellingPrice]]</f>
        <v>60000</v>
      </c>
      <c r="I1415">
        <f>Table1[[#This Row],[Qty]]*Table1[[#This Row],[CostPrice]]</f>
        <v>31000</v>
      </c>
      <c r="J1415">
        <v>28797</v>
      </c>
      <c r="K1415">
        <v>202.99999999999997</v>
      </c>
      <c r="L1415" t="s">
        <v>13</v>
      </c>
      <c r="M1415" t="s">
        <v>27</v>
      </c>
      <c r="N1415">
        <f>MONTH(Table1[[#This Row],[SaleDate]])</f>
        <v>6</v>
      </c>
      <c r="O1415" t="str">
        <f>TEXT(Table1[[#This Row],[SaleDate]],"MMM")</f>
        <v>Jun</v>
      </c>
    </row>
    <row r="1416" spans="1:15">
      <c r="A1416" s="1">
        <v>45093</v>
      </c>
      <c r="B1416" t="s">
        <v>25</v>
      </c>
      <c r="C1416" t="s">
        <v>21</v>
      </c>
      <c r="D1416">
        <v>1</v>
      </c>
      <c r="E1416" t="s">
        <v>10</v>
      </c>
      <c r="F1416">
        <v>89000</v>
      </c>
      <c r="G1416">
        <v>65000</v>
      </c>
      <c r="H1416">
        <f>Table1[[#This Row],[Qty]]*Table1[[#This Row],[SellingPrice]]</f>
        <v>89000</v>
      </c>
      <c r="I1416">
        <f>Table1[[#This Row],[Qty]]*Table1[[#This Row],[CostPrice]]</f>
        <v>65000</v>
      </c>
      <c r="J1416">
        <v>23832</v>
      </c>
      <c r="K1416">
        <v>167.99999999999997</v>
      </c>
      <c r="L1416" t="s">
        <v>13</v>
      </c>
      <c r="M1416" t="s">
        <v>29</v>
      </c>
      <c r="N1416">
        <f>MONTH(Table1[[#This Row],[SaleDate]])</f>
        <v>6</v>
      </c>
      <c r="O1416" t="str">
        <f>TEXT(Table1[[#This Row],[SaleDate]],"MMM")</f>
        <v>Jun</v>
      </c>
    </row>
    <row r="1417" spans="1:15">
      <c r="A1417" s="1">
        <v>45094</v>
      </c>
      <c r="B1417" t="s">
        <v>23</v>
      </c>
      <c r="C1417" t="s">
        <v>19</v>
      </c>
      <c r="D1417">
        <v>1</v>
      </c>
      <c r="E1417" t="s">
        <v>7</v>
      </c>
      <c r="F1417">
        <v>33000</v>
      </c>
      <c r="G1417">
        <v>18000</v>
      </c>
      <c r="H1417">
        <f>Table1[[#This Row],[Qty]]*Table1[[#This Row],[SellingPrice]]</f>
        <v>33000</v>
      </c>
      <c r="I1417">
        <f>Table1[[#This Row],[Qty]]*Table1[[#This Row],[CostPrice]]</f>
        <v>18000</v>
      </c>
      <c r="J1417">
        <v>14895</v>
      </c>
      <c r="K1417">
        <v>104.99999999999999</v>
      </c>
      <c r="L1417" t="s">
        <v>8</v>
      </c>
      <c r="M1417" t="s">
        <v>30</v>
      </c>
      <c r="N1417">
        <f>MONTH(Table1[[#This Row],[SaleDate]])</f>
        <v>6</v>
      </c>
      <c r="O1417" t="str">
        <f>TEXT(Table1[[#This Row],[SaleDate]],"MMM")</f>
        <v>Jun</v>
      </c>
    </row>
    <row r="1418" spans="1:15">
      <c r="A1418" s="1">
        <v>45094</v>
      </c>
      <c r="B1418" t="s">
        <v>23</v>
      </c>
      <c r="C1418" t="s">
        <v>19</v>
      </c>
      <c r="D1418">
        <v>1</v>
      </c>
      <c r="E1418" t="s">
        <v>9</v>
      </c>
      <c r="F1418">
        <v>60000</v>
      </c>
      <c r="G1418">
        <v>31000</v>
      </c>
      <c r="H1418">
        <f>Table1[[#This Row],[Qty]]*Table1[[#This Row],[SellingPrice]]</f>
        <v>60000</v>
      </c>
      <c r="I1418">
        <f>Table1[[#This Row],[Qty]]*Table1[[#This Row],[CostPrice]]</f>
        <v>31000</v>
      </c>
      <c r="J1418">
        <v>28797</v>
      </c>
      <c r="K1418">
        <v>202.99999999999997</v>
      </c>
      <c r="L1418" t="s">
        <v>8</v>
      </c>
      <c r="M1418" t="s">
        <v>29</v>
      </c>
      <c r="N1418">
        <f>MONTH(Table1[[#This Row],[SaleDate]])</f>
        <v>6</v>
      </c>
      <c r="O1418" t="str">
        <f>TEXT(Table1[[#This Row],[SaleDate]],"MMM")</f>
        <v>Jun</v>
      </c>
    </row>
    <row r="1419" spans="1:15">
      <c r="A1419" s="1">
        <v>45094</v>
      </c>
      <c r="B1419" t="s">
        <v>23</v>
      </c>
      <c r="C1419" t="s">
        <v>19</v>
      </c>
      <c r="D1419">
        <v>1</v>
      </c>
      <c r="E1419" t="s">
        <v>10</v>
      </c>
      <c r="F1419">
        <v>89000</v>
      </c>
      <c r="G1419">
        <v>65000</v>
      </c>
      <c r="H1419">
        <f>Table1[[#This Row],[Qty]]*Table1[[#This Row],[SellingPrice]]</f>
        <v>89000</v>
      </c>
      <c r="I1419">
        <f>Table1[[#This Row],[Qty]]*Table1[[#This Row],[CostPrice]]</f>
        <v>65000</v>
      </c>
      <c r="J1419">
        <v>23832</v>
      </c>
      <c r="K1419">
        <v>167.99999999999997</v>
      </c>
      <c r="L1419" t="s">
        <v>8</v>
      </c>
      <c r="M1419" t="s">
        <v>30</v>
      </c>
      <c r="N1419">
        <f>MONTH(Table1[[#This Row],[SaleDate]])</f>
        <v>6</v>
      </c>
      <c r="O1419" t="str">
        <f>TEXT(Table1[[#This Row],[SaleDate]],"MMM")</f>
        <v>Jun</v>
      </c>
    </row>
    <row r="1420" spans="1:15">
      <c r="A1420" s="1">
        <v>45094</v>
      </c>
      <c r="B1420" t="s">
        <v>24</v>
      </c>
      <c r="C1420" t="s">
        <v>22</v>
      </c>
      <c r="D1420">
        <v>1</v>
      </c>
      <c r="E1420" t="s">
        <v>7</v>
      </c>
      <c r="F1420">
        <v>33000</v>
      </c>
      <c r="G1420">
        <v>18000</v>
      </c>
      <c r="H1420">
        <f>Table1[[#This Row],[Qty]]*Table1[[#This Row],[SellingPrice]]</f>
        <v>33000</v>
      </c>
      <c r="I1420">
        <f>Table1[[#This Row],[Qty]]*Table1[[#This Row],[CostPrice]]</f>
        <v>18000</v>
      </c>
      <c r="J1420">
        <v>14895</v>
      </c>
      <c r="K1420">
        <v>104.99999999999999</v>
      </c>
      <c r="L1420" t="s">
        <v>12</v>
      </c>
      <c r="M1420" t="s">
        <v>29</v>
      </c>
      <c r="N1420">
        <f>MONTH(Table1[[#This Row],[SaleDate]])</f>
        <v>6</v>
      </c>
      <c r="O1420" t="str">
        <f>TEXT(Table1[[#This Row],[SaleDate]],"MMM")</f>
        <v>Jun</v>
      </c>
    </row>
    <row r="1421" spans="1:15">
      <c r="A1421" s="1">
        <v>45094</v>
      </c>
      <c r="B1421" t="s">
        <v>24</v>
      </c>
      <c r="C1421" t="s">
        <v>22</v>
      </c>
      <c r="D1421">
        <v>1</v>
      </c>
      <c r="E1421" t="s">
        <v>9</v>
      </c>
      <c r="F1421">
        <v>60000</v>
      </c>
      <c r="G1421">
        <v>31000</v>
      </c>
      <c r="H1421">
        <f>Table1[[#This Row],[Qty]]*Table1[[#This Row],[SellingPrice]]</f>
        <v>60000</v>
      </c>
      <c r="I1421">
        <f>Table1[[#This Row],[Qty]]*Table1[[#This Row],[CostPrice]]</f>
        <v>31000</v>
      </c>
      <c r="J1421">
        <v>28797</v>
      </c>
      <c r="K1421">
        <v>202.99999999999997</v>
      </c>
      <c r="L1421" t="s">
        <v>12</v>
      </c>
      <c r="M1421" t="s">
        <v>30</v>
      </c>
      <c r="N1421">
        <f>MONTH(Table1[[#This Row],[SaleDate]])</f>
        <v>6</v>
      </c>
      <c r="O1421" t="str">
        <f>TEXT(Table1[[#This Row],[SaleDate]],"MMM")</f>
        <v>Jun</v>
      </c>
    </row>
    <row r="1422" spans="1:15">
      <c r="A1422" s="1">
        <v>45094</v>
      </c>
      <c r="B1422" t="s">
        <v>24</v>
      </c>
      <c r="C1422" t="s">
        <v>22</v>
      </c>
      <c r="D1422">
        <v>1</v>
      </c>
      <c r="E1422" t="s">
        <v>10</v>
      </c>
      <c r="F1422">
        <v>89000</v>
      </c>
      <c r="G1422">
        <v>65000</v>
      </c>
      <c r="H1422">
        <f>Table1[[#This Row],[Qty]]*Table1[[#This Row],[SellingPrice]]</f>
        <v>89000</v>
      </c>
      <c r="I1422">
        <f>Table1[[#This Row],[Qty]]*Table1[[#This Row],[CostPrice]]</f>
        <v>65000</v>
      </c>
      <c r="J1422">
        <v>23832</v>
      </c>
      <c r="K1422">
        <v>167.99999999999997</v>
      </c>
      <c r="L1422" t="s">
        <v>12</v>
      </c>
      <c r="M1422" t="s">
        <v>30</v>
      </c>
      <c r="N1422">
        <f>MONTH(Table1[[#This Row],[SaleDate]])</f>
        <v>6</v>
      </c>
      <c r="O1422" t="str">
        <f>TEXT(Table1[[#This Row],[SaleDate]],"MMM")</f>
        <v>Jun</v>
      </c>
    </row>
    <row r="1423" spans="1:15">
      <c r="A1423" s="1">
        <v>45094</v>
      </c>
      <c r="B1423" t="s">
        <v>25</v>
      </c>
      <c r="C1423" t="s">
        <v>21</v>
      </c>
      <c r="D1423">
        <v>1</v>
      </c>
      <c r="E1423" t="s">
        <v>7</v>
      </c>
      <c r="F1423">
        <v>33000</v>
      </c>
      <c r="G1423">
        <v>18000</v>
      </c>
      <c r="H1423">
        <f>Table1[[#This Row],[Qty]]*Table1[[#This Row],[SellingPrice]]</f>
        <v>33000</v>
      </c>
      <c r="I1423">
        <f>Table1[[#This Row],[Qty]]*Table1[[#This Row],[CostPrice]]</f>
        <v>18000</v>
      </c>
      <c r="J1423">
        <v>14895</v>
      </c>
      <c r="K1423">
        <v>104.99999999999999</v>
      </c>
      <c r="L1423" t="s">
        <v>13</v>
      </c>
      <c r="M1423" t="s">
        <v>30</v>
      </c>
      <c r="N1423">
        <f>MONTH(Table1[[#This Row],[SaleDate]])</f>
        <v>6</v>
      </c>
      <c r="O1423" t="str">
        <f>TEXT(Table1[[#This Row],[SaleDate]],"MMM")</f>
        <v>Jun</v>
      </c>
    </row>
    <row r="1424" spans="1:15">
      <c r="A1424" s="1">
        <v>45094</v>
      </c>
      <c r="B1424" t="s">
        <v>25</v>
      </c>
      <c r="C1424" t="s">
        <v>21</v>
      </c>
      <c r="D1424">
        <v>1</v>
      </c>
      <c r="E1424" t="s">
        <v>9</v>
      </c>
      <c r="F1424">
        <v>60000</v>
      </c>
      <c r="G1424">
        <v>31000</v>
      </c>
      <c r="H1424">
        <f>Table1[[#This Row],[Qty]]*Table1[[#This Row],[SellingPrice]]</f>
        <v>60000</v>
      </c>
      <c r="I1424">
        <f>Table1[[#This Row],[Qty]]*Table1[[#This Row],[CostPrice]]</f>
        <v>31000</v>
      </c>
      <c r="J1424">
        <v>28797</v>
      </c>
      <c r="K1424">
        <v>202.99999999999997</v>
      </c>
      <c r="L1424" t="s">
        <v>13</v>
      </c>
      <c r="M1424" t="s">
        <v>30</v>
      </c>
      <c r="N1424">
        <f>MONTH(Table1[[#This Row],[SaleDate]])</f>
        <v>6</v>
      </c>
      <c r="O1424" t="str">
        <f>TEXT(Table1[[#This Row],[SaleDate]],"MMM")</f>
        <v>Jun</v>
      </c>
    </row>
    <row r="1425" spans="1:15">
      <c r="A1425" s="1">
        <v>45094</v>
      </c>
      <c r="B1425" t="s">
        <v>25</v>
      </c>
      <c r="C1425" t="s">
        <v>21</v>
      </c>
      <c r="D1425">
        <v>1</v>
      </c>
      <c r="E1425" t="s">
        <v>10</v>
      </c>
      <c r="F1425">
        <v>89000</v>
      </c>
      <c r="G1425">
        <v>65000</v>
      </c>
      <c r="H1425">
        <f>Table1[[#This Row],[Qty]]*Table1[[#This Row],[SellingPrice]]</f>
        <v>89000</v>
      </c>
      <c r="I1425">
        <f>Table1[[#This Row],[Qty]]*Table1[[#This Row],[CostPrice]]</f>
        <v>65000</v>
      </c>
      <c r="J1425">
        <v>23832</v>
      </c>
      <c r="K1425">
        <v>167.99999999999997</v>
      </c>
      <c r="L1425" t="s">
        <v>13</v>
      </c>
      <c r="M1425" t="s">
        <v>30</v>
      </c>
      <c r="N1425">
        <f>MONTH(Table1[[#This Row],[SaleDate]])</f>
        <v>6</v>
      </c>
      <c r="O1425" t="str">
        <f>TEXT(Table1[[#This Row],[SaleDate]],"MMM")</f>
        <v>Jun</v>
      </c>
    </row>
    <row r="1426" spans="1:15">
      <c r="A1426" s="1">
        <v>45095</v>
      </c>
      <c r="B1426" t="s">
        <v>23</v>
      </c>
      <c r="C1426" t="s">
        <v>19</v>
      </c>
      <c r="D1426">
        <v>2</v>
      </c>
      <c r="E1426" t="s">
        <v>7</v>
      </c>
      <c r="F1426">
        <v>33000</v>
      </c>
      <c r="G1426">
        <v>18000</v>
      </c>
      <c r="H1426">
        <f>Table1[[#This Row],[Qty]]*Table1[[#This Row],[SellingPrice]]</f>
        <v>66000</v>
      </c>
      <c r="I1426">
        <f>Table1[[#This Row],[Qty]]*Table1[[#This Row],[CostPrice]]</f>
        <v>36000</v>
      </c>
      <c r="J1426">
        <v>29790</v>
      </c>
      <c r="K1426">
        <v>209.99999999999997</v>
      </c>
      <c r="L1426" t="s">
        <v>8</v>
      </c>
      <c r="M1426" t="s">
        <v>28</v>
      </c>
      <c r="N1426">
        <f>MONTH(Table1[[#This Row],[SaleDate]])</f>
        <v>6</v>
      </c>
      <c r="O1426" t="str">
        <f>TEXT(Table1[[#This Row],[SaleDate]],"MMM")</f>
        <v>Jun</v>
      </c>
    </row>
    <row r="1427" spans="1:15">
      <c r="A1427" s="1">
        <v>45095</v>
      </c>
      <c r="B1427" t="s">
        <v>23</v>
      </c>
      <c r="C1427" t="s">
        <v>19</v>
      </c>
      <c r="D1427">
        <v>2</v>
      </c>
      <c r="E1427" t="s">
        <v>9</v>
      </c>
      <c r="F1427">
        <v>60000</v>
      </c>
      <c r="G1427">
        <v>31000</v>
      </c>
      <c r="H1427">
        <f>Table1[[#This Row],[Qty]]*Table1[[#This Row],[SellingPrice]]</f>
        <v>120000</v>
      </c>
      <c r="I1427">
        <f>Table1[[#This Row],[Qty]]*Table1[[#This Row],[CostPrice]]</f>
        <v>62000</v>
      </c>
      <c r="J1427">
        <v>57594</v>
      </c>
      <c r="K1427">
        <v>405.99999999999994</v>
      </c>
      <c r="L1427" t="s">
        <v>8</v>
      </c>
      <c r="M1427" t="s">
        <v>28</v>
      </c>
      <c r="N1427">
        <f>MONTH(Table1[[#This Row],[SaleDate]])</f>
        <v>6</v>
      </c>
      <c r="O1427" t="str">
        <f>TEXT(Table1[[#This Row],[SaleDate]],"MMM")</f>
        <v>Jun</v>
      </c>
    </row>
    <row r="1428" spans="1:15">
      <c r="A1428" s="1">
        <v>45095</v>
      </c>
      <c r="B1428" t="s">
        <v>23</v>
      </c>
      <c r="C1428" t="s">
        <v>19</v>
      </c>
      <c r="D1428">
        <v>2</v>
      </c>
      <c r="E1428" t="s">
        <v>10</v>
      </c>
      <c r="F1428">
        <v>89000</v>
      </c>
      <c r="G1428">
        <v>65000</v>
      </c>
      <c r="H1428">
        <f>Table1[[#This Row],[Qty]]*Table1[[#This Row],[SellingPrice]]</f>
        <v>178000</v>
      </c>
      <c r="I1428">
        <f>Table1[[#This Row],[Qty]]*Table1[[#This Row],[CostPrice]]</f>
        <v>130000</v>
      </c>
      <c r="J1428">
        <v>47664</v>
      </c>
      <c r="K1428">
        <v>335.99999999999994</v>
      </c>
      <c r="L1428" t="s">
        <v>8</v>
      </c>
      <c r="M1428" t="s">
        <v>27</v>
      </c>
      <c r="N1428">
        <f>MONTH(Table1[[#This Row],[SaleDate]])</f>
        <v>6</v>
      </c>
      <c r="O1428" t="str">
        <f>TEXT(Table1[[#This Row],[SaleDate]],"MMM")</f>
        <v>Jun</v>
      </c>
    </row>
    <row r="1429" spans="1:15">
      <c r="A1429" s="1">
        <v>45095</v>
      </c>
      <c r="B1429" t="s">
        <v>24</v>
      </c>
      <c r="C1429" t="s">
        <v>22</v>
      </c>
      <c r="D1429">
        <v>2</v>
      </c>
      <c r="E1429" t="s">
        <v>7</v>
      </c>
      <c r="F1429">
        <v>33000</v>
      </c>
      <c r="G1429">
        <v>18000</v>
      </c>
      <c r="H1429">
        <f>Table1[[#This Row],[Qty]]*Table1[[#This Row],[SellingPrice]]</f>
        <v>66000</v>
      </c>
      <c r="I1429">
        <f>Table1[[#This Row],[Qty]]*Table1[[#This Row],[CostPrice]]</f>
        <v>36000</v>
      </c>
      <c r="J1429">
        <v>29790</v>
      </c>
      <c r="K1429">
        <v>209.99999999999997</v>
      </c>
      <c r="L1429" t="s">
        <v>12</v>
      </c>
      <c r="M1429" t="s">
        <v>30</v>
      </c>
      <c r="N1429">
        <f>MONTH(Table1[[#This Row],[SaleDate]])</f>
        <v>6</v>
      </c>
      <c r="O1429" t="str">
        <f>TEXT(Table1[[#This Row],[SaleDate]],"MMM")</f>
        <v>Jun</v>
      </c>
    </row>
    <row r="1430" spans="1:15">
      <c r="A1430" s="1">
        <v>45095</v>
      </c>
      <c r="B1430" t="s">
        <v>24</v>
      </c>
      <c r="C1430" t="s">
        <v>22</v>
      </c>
      <c r="D1430">
        <v>2</v>
      </c>
      <c r="E1430" t="s">
        <v>9</v>
      </c>
      <c r="F1430">
        <v>60000</v>
      </c>
      <c r="G1430">
        <v>31000</v>
      </c>
      <c r="H1430">
        <f>Table1[[#This Row],[Qty]]*Table1[[#This Row],[SellingPrice]]</f>
        <v>120000</v>
      </c>
      <c r="I1430">
        <f>Table1[[#This Row],[Qty]]*Table1[[#This Row],[CostPrice]]</f>
        <v>62000</v>
      </c>
      <c r="J1430">
        <v>57594</v>
      </c>
      <c r="K1430">
        <v>405.99999999999994</v>
      </c>
      <c r="L1430" t="s">
        <v>12</v>
      </c>
      <c r="M1430" t="s">
        <v>29</v>
      </c>
      <c r="N1430">
        <f>MONTH(Table1[[#This Row],[SaleDate]])</f>
        <v>6</v>
      </c>
      <c r="O1430" t="str">
        <f>TEXT(Table1[[#This Row],[SaleDate]],"MMM")</f>
        <v>Jun</v>
      </c>
    </row>
    <row r="1431" spans="1:15">
      <c r="A1431" s="1">
        <v>45095</v>
      </c>
      <c r="B1431" t="s">
        <v>24</v>
      </c>
      <c r="C1431" t="s">
        <v>22</v>
      </c>
      <c r="D1431">
        <v>2</v>
      </c>
      <c r="E1431" t="s">
        <v>10</v>
      </c>
      <c r="F1431">
        <v>89000</v>
      </c>
      <c r="G1431">
        <v>65000</v>
      </c>
      <c r="H1431">
        <f>Table1[[#This Row],[Qty]]*Table1[[#This Row],[SellingPrice]]</f>
        <v>178000</v>
      </c>
      <c r="I1431">
        <f>Table1[[#This Row],[Qty]]*Table1[[#This Row],[CostPrice]]</f>
        <v>130000</v>
      </c>
      <c r="J1431">
        <v>47664</v>
      </c>
      <c r="K1431">
        <v>335.99999999999994</v>
      </c>
      <c r="L1431" t="s">
        <v>12</v>
      </c>
      <c r="M1431" t="s">
        <v>27</v>
      </c>
      <c r="N1431">
        <f>MONTH(Table1[[#This Row],[SaleDate]])</f>
        <v>6</v>
      </c>
      <c r="O1431" t="str">
        <f>TEXT(Table1[[#This Row],[SaleDate]],"MMM")</f>
        <v>Jun</v>
      </c>
    </row>
    <row r="1432" spans="1:15">
      <c r="A1432" s="1">
        <v>45095</v>
      </c>
      <c r="B1432" t="s">
        <v>25</v>
      </c>
      <c r="C1432" t="s">
        <v>21</v>
      </c>
      <c r="D1432">
        <v>2</v>
      </c>
      <c r="E1432" t="s">
        <v>7</v>
      </c>
      <c r="F1432">
        <v>33000</v>
      </c>
      <c r="G1432">
        <v>18000</v>
      </c>
      <c r="H1432">
        <f>Table1[[#This Row],[Qty]]*Table1[[#This Row],[SellingPrice]]</f>
        <v>66000</v>
      </c>
      <c r="I1432">
        <f>Table1[[#This Row],[Qty]]*Table1[[#This Row],[CostPrice]]</f>
        <v>36000</v>
      </c>
      <c r="J1432">
        <v>29790</v>
      </c>
      <c r="K1432">
        <v>209.99999999999997</v>
      </c>
      <c r="L1432" t="s">
        <v>13</v>
      </c>
      <c r="M1432" t="s">
        <v>30</v>
      </c>
      <c r="N1432">
        <f>MONTH(Table1[[#This Row],[SaleDate]])</f>
        <v>6</v>
      </c>
      <c r="O1432" t="str">
        <f>TEXT(Table1[[#This Row],[SaleDate]],"MMM")</f>
        <v>Jun</v>
      </c>
    </row>
    <row r="1433" spans="1:15">
      <c r="A1433" s="1">
        <v>45095</v>
      </c>
      <c r="B1433" t="s">
        <v>25</v>
      </c>
      <c r="C1433" t="s">
        <v>21</v>
      </c>
      <c r="D1433">
        <v>2</v>
      </c>
      <c r="E1433" t="s">
        <v>9</v>
      </c>
      <c r="F1433">
        <v>60000</v>
      </c>
      <c r="G1433">
        <v>31000</v>
      </c>
      <c r="H1433">
        <f>Table1[[#This Row],[Qty]]*Table1[[#This Row],[SellingPrice]]</f>
        <v>120000</v>
      </c>
      <c r="I1433">
        <f>Table1[[#This Row],[Qty]]*Table1[[#This Row],[CostPrice]]</f>
        <v>62000</v>
      </c>
      <c r="J1433">
        <v>57594</v>
      </c>
      <c r="K1433">
        <v>405.99999999999994</v>
      </c>
      <c r="L1433" t="s">
        <v>13</v>
      </c>
      <c r="M1433" t="s">
        <v>30</v>
      </c>
      <c r="N1433">
        <f>MONTH(Table1[[#This Row],[SaleDate]])</f>
        <v>6</v>
      </c>
      <c r="O1433" t="str">
        <f>TEXT(Table1[[#This Row],[SaleDate]],"MMM")</f>
        <v>Jun</v>
      </c>
    </row>
    <row r="1434" spans="1:15">
      <c r="A1434" s="1">
        <v>45095</v>
      </c>
      <c r="B1434" t="s">
        <v>25</v>
      </c>
      <c r="C1434" t="s">
        <v>21</v>
      </c>
      <c r="D1434">
        <v>2</v>
      </c>
      <c r="E1434" t="s">
        <v>10</v>
      </c>
      <c r="F1434">
        <v>89000</v>
      </c>
      <c r="G1434">
        <v>65000</v>
      </c>
      <c r="H1434">
        <f>Table1[[#This Row],[Qty]]*Table1[[#This Row],[SellingPrice]]</f>
        <v>178000</v>
      </c>
      <c r="I1434">
        <f>Table1[[#This Row],[Qty]]*Table1[[#This Row],[CostPrice]]</f>
        <v>130000</v>
      </c>
      <c r="J1434">
        <v>47664</v>
      </c>
      <c r="K1434">
        <v>335.99999999999994</v>
      </c>
      <c r="L1434" t="s">
        <v>13</v>
      </c>
      <c r="M1434" t="s">
        <v>28</v>
      </c>
      <c r="N1434">
        <f>MONTH(Table1[[#This Row],[SaleDate]])</f>
        <v>6</v>
      </c>
      <c r="O1434" t="str">
        <f>TEXT(Table1[[#This Row],[SaleDate]],"MMM")</f>
        <v>Jun</v>
      </c>
    </row>
    <row r="1435" spans="1:15">
      <c r="A1435" s="1">
        <v>45096</v>
      </c>
      <c r="B1435" t="s">
        <v>23</v>
      </c>
      <c r="C1435" t="s">
        <v>19</v>
      </c>
      <c r="D1435">
        <v>1</v>
      </c>
      <c r="E1435" t="s">
        <v>7</v>
      </c>
      <c r="F1435">
        <v>33000</v>
      </c>
      <c r="G1435">
        <v>18000</v>
      </c>
      <c r="H1435">
        <f>Table1[[#This Row],[Qty]]*Table1[[#This Row],[SellingPrice]]</f>
        <v>33000</v>
      </c>
      <c r="I1435">
        <f>Table1[[#This Row],[Qty]]*Table1[[#This Row],[CostPrice]]</f>
        <v>18000</v>
      </c>
      <c r="J1435">
        <v>14895</v>
      </c>
      <c r="K1435">
        <v>104.99999999999999</v>
      </c>
      <c r="L1435" t="s">
        <v>8</v>
      </c>
      <c r="M1435" t="s">
        <v>30</v>
      </c>
      <c r="N1435">
        <f>MONTH(Table1[[#This Row],[SaleDate]])</f>
        <v>6</v>
      </c>
      <c r="O1435" t="str">
        <f>TEXT(Table1[[#This Row],[SaleDate]],"MMM")</f>
        <v>Jun</v>
      </c>
    </row>
    <row r="1436" spans="1:15">
      <c r="A1436" s="1">
        <v>45096</v>
      </c>
      <c r="B1436" t="s">
        <v>23</v>
      </c>
      <c r="C1436" t="s">
        <v>19</v>
      </c>
      <c r="D1436">
        <v>1</v>
      </c>
      <c r="E1436" t="s">
        <v>9</v>
      </c>
      <c r="F1436">
        <v>60000</v>
      </c>
      <c r="G1436">
        <v>31000</v>
      </c>
      <c r="H1436">
        <f>Table1[[#This Row],[Qty]]*Table1[[#This Row],[SellingPrice]]</f>
        <v>60000</v>
      </c>
      <c r="I1436">
        <f>Table1[[#This Row],[Qty]]*Table1[[#This Row],[CostPrice]]</f>
        <v>31000</v>
      </c>
      <c r="J1436">
        <v>28797</v>
      </c>
      <c r="K1436">
        <v>202.99999999999997</v>
      </c>
      <c r="L1436" t="s">
        <v>8</v>
      </c>
      <c r="M1436" t="s">
        <v>30</v>
      </c>
      <c r="N1436">
        <f>MONTH(Table1[[#This Row],[SaleDate]])</f>
        <v>6</v>
      </c>
      <c r="O1436" t="str">
        <f>TEXT(Table1[[#This Row],[SaleDate]],"MMM")</f>
        <v>Jun</v>
      </c>
    </row>
    <row r="1437" spans="1:15">
      <c r="A1437" s="1">
        <v>45096</v>
      </c>
      <c r="B1437" t="s">
        <v>23</v>
      </c>
      <c r="C1437" t="s">
        <v>19</v>
      </c>
      <c r="D1437">
        <v>1</v>
      </c>
      <c r="E1437" t="s">
        <v>10</v>
      </c>
      <c r="F1437">
        <v>89000</v>
      </c>
      <c r="G1437">
        <v>65000</v>
      </c>
      <c r="H1437">
        <f>Table1[[#This Row],[Qty]]*Table1[[#This Row],[SellingPrice]]</f>
        <v>89000</v>
      </c>
      <c r="I1437">
        <f>Table1[[#This Row],[Qty]]*Table1[[#This Row],[CostPrice]]</f>
        <v>65000</v>
      </c>
      <c r="J1437">
        <v>23832</v>
      </c>
      <c r="K1437">
        <v>167.99999999999997</v>
      </c>
      <c r="L1437" t="s">
        <v>8</v>
      </c>
      <c r="M1437" t="s">
        <v>30</v>
      </c>
      <c r="N1437">
        <f>MONTH(Table1[[#This Row],[SaleDate]])</f>
        <v>6</v>
      </c>
      <c r="O1437" t="str">
        <f>TEXT(Table1[[#This Row],[SaleDate]],"MMM")</f>
        <v>Jun</v>
      </c>
    </row>
    <row r="1438" spans="1:15">
      <c r="A1438" s="1">
        <v>45096</v>
      </c>
      <c r="B1438" t="s">
        <v>24</v>
      </c>
      <c r="C1438" t="s">
        <v>22</v>
      </c>
      <c r="D1438">
        <v>1</v>
      </c>
      <c r="E1438" t="s">
        <v>7</v>
      </c>
      <c r="F1438">
        <v>33000</v>
      </c>
      <c r="G1438">
        <v>18000</v>
      </c>
      <c r="H1438">
        <f>Table1[[#This Row],[Qty]]*Table1[[#This Row],[SellingPrice]]</f>
        <v>33000</v>
      </c>
      <c r="I1438">
        <f>Table1[[#This Row],[Qty]]*Table1[[#This Row],[CostPrice]]</f>
        <v>18000</v>
      </c>
      <c r="J1438">
        <v>14895</v>
      </c>
      <c r="K1438">
        <v>104.99999999999999</v>
      </c>
      <c r="L1438" t="s">
        <v>12</v>
      </c>
      <c r="M1438" t="s">
        <v>30</v>
      </c>
      <c r="N1438">
        <f>MONTH(Table1[[#This Row],[SaleDate]])</f>
        <v>6</v>
      </c>
      <c r="O1438" t="str">
        <f>TEXT(Table1[[#This Row],[SaleDate]],"MMM")</f>
        <v>Jun</v>
      </c>
    </row>
    <row r="1439" spans="1:15">
      <c r="A1439" s="1">
        <v>45096</v>
      </c>
      <c r="B1439" t="s">
        <v>24</v>
      </c>
      <c r="C1439" t="s">
        <v>22</v>
      </c>
      <c r="D1439">
        <v>1</v>
      </c>
      <c r="E1439" t="s">
        <v>9</v>
      </c>
      <c r="F1439">
        <v>60000</v>
      </c>
      <c r="G1439">
        <v>31000</v>
      </c>
      <c r="H1439">
        <f>Table1[[#This Row],[Qty]]*Table1[[#This Row],[SellingPrice]]</f>
        <v>60000</v>
      </c>
      <c r="I1439">
        <f>Table1[[#This Row],[Qty]]*Table1[[#This Row],[CostPrice]]</f>
        <v>31000</v>
      </c>
      <c r="J1439">
        <v>28797</v>
      </c>
      <c r="K1439">
        <v>202.99999999999997</v>
      </c>
      <c r="L1439" t="s">
        <v>12</v>
      </c>
      <c r="M1439" t="s">
        <v>29</v>
      </c>
      <c r="N1439">
        <f>MONTH(Table1[[#This Row],[SaleDate]])</f>
        <v>6</v>
      </c>
      <c r="O1439" t="str">
        <f>TEXT(Table1[[#This Row],[SaleDate]],"MMM")</f>
        <v>Jun</v>
      </c>
    </row>
    <row r="1440" spans="1:15">
      <c r="A1440" s="1">
        <v>45096</v>
      </c>
      <c r="B1440" t="s">
        <v>24</v>
      </c>
      <c r="C1440" t="s">
        <v>22</v>
      </c>
      <c r="D1440">
        <v>1</v>
      </c>
      <c r="E1440" t="s">
        <v>10</v>
      </c>
      <c r="F1440">
        <v>89000</v>
      </c>
      <c r="G1440">
        <v>65000</v>
      </c>
      <c r="H1440">
        <f>Table1[[#This Row],[Qty]]*Table1[[#This Row],[SellingPrice]]</f>
        <v>89000</v>
      </c>
      <c r="I1440">
        <f>Table1[[#This Row],[Qty]]*Table1[[#This Row],[CostPrice]]</f>
        <v>65000</v>
      </c>
      <c r="J1440">
        <v>23832</v>
      </c>
      <c r="K1440">
        <v>167.99999999999997</v>
      </c>
      <c r="L1440" t="s">
        <v>12</v>
      </c>
      <c r="M1440" t="s">
        <v>28</v>
      </c>
      <c r="N1440">
        <f>MONTH(Table1[[#This Row],[SaleDate]])</f>
        <v>6</v>
      </c>
      <c r="O1440" t="str">
        <f>TEXT(Table1[[#This Row],[SaleDate]],"MMM")</f>
        <v>Jun</v>
      </c>
    </row>
    <row r="1441" spans="1:15">
      <c r="A1441" s="1">
        <v>45096</v>
      </c>
      <c r="B1441" t="s">
        <v>25</v>
      </c>
      <c r="C1441" t="s">
        <v>21</v>
      </c>
      <c r="D1441">
        <v>1</v>
      </c>
      <c r="E1441" t="s">
        <v>7</v>
      </c>
      <c r="F1441">
        <v>33000</v>
      </c>
      <c r="G1441">
        <v>18000</v>
      </c>
      <c r="H1441">
        <f>Table1[[#This Row],[Qty]]*Table1[[#This Row],[SellingPrice]]</f>
        <v>33000</v>
      </c>
      <c r="I1441">
        <f>Table1[[#This Row],[Qty]]*Table1[[#This Row],[CostPrice]]</f>
        <v>18000</v>
      </c>
      <c r="J1441">
        <v>14895</v>
      </c>
      <c r="K1441">
        <v>104.99999999999999</v>
      </c>
      <c r="L1441" t="s">
        <v>13</v>
      </c>
      <c r="M1441" t="s">
        <v>29</v>
      </c>
      <c r="N1441">
        <f>MONTH(Table1[[#This Row],[SaleDate]])</f>
        <v>6</v>
      </c>
      <c r="O1441" t="str">
        <f>TEXT(Table1[[#This Row],[SaleDate]],"MMM")</f>
        <v>Jun</v>
      </c>
    </row>
    <row r="1442" spans="1:15">
      <c r="A1442" s="1">
        <v>45096</v>
      </c>
      <c r="B1442" t="s">
        <v>25</v>
      </c>
      <c r="C1442" t="s">
        <v>21</v>
      </c>
      <c r="D1442">
        <v>1</v>
      </c>
      <c r="E1442" t="s">
        <v>9</v>
      </c>
      <c r="F1442">
        <v>60000</v>
      </c>
      <c r="G1442">
        <v>31000</v>
      </c>
      <c r="H1442">
        <f>Table1[[#This Row],[Qty]]*Table1[[#This Row],[SellingPrice]]</f>
        <v>60000</v>
      </c>
      <c r="I1442">
        <f>Table1[[#This Row],[Qty]]*Table1[[#This Row],[CostPrice]]</f>
        <v>31000</v>
      </c>
      <c r="J1442">
        <v>28797</v>
      </c>
      <c r="K1442">
        <v>202.99999999999997</v>
      </c>
      <c r="L1442" t="s">
        <v>13</v>
      </c>
      <c r="M1442" t="s">
        <v>29</v>
      </c>
      <c r="N1442">
        <f>MONTH(Table1[[#This Row],[SaleDate]])</f>
        <v>6</v>
      </c>
      <c r="O1442" t="str">
        <f>TEXT(Table1[[#This Row],[SaleDate]],"MMM")</f>
        <v>Jun</v>
      </c>
    </row>
    <row r="1443" spans="1:15">
      <c r="A1443" s="1">
        <v>45096</v>
      </c>
      <c r="B1443" t="s">
        <v>25</v>
      </c>
      <c r="C1443" t="s">
        <v>21</v>
      </c>
      <c r="D1443">
        <v>1</v>
      </c>
      <c r="E1443" t="s">
        <v>10</v>
      </c>
      <c r="F1443">
        <v>89000</v>
      </c>
      <c r="G1443">
        <v>65000</v>
      </c>
      <c r="H1443">
        <f>Table1[[#This Row],[Qty]]*Table1[[#This Row],[SellingPrice]]</f>
        <v>89000</v>
      </c>
      <c r="I1443">
        <f>Table1[[#This Row],[Qty]]*Table1[[#This Row],[CostPrice]]</f>
        <v>65000</v>
      </c>
      <c r="J1443">
        <v>23832</v>
      </c>
      <c r="K1443">
        <v>167.99999999999997</v>
      </c>
      <c r="L1443" t="s">
        <v>13</v>
      </c>
      <c r="M1443" t="s">
        <v>29</v>
      </c>
      <c r="N1443">
        <f>MONTH(Table1[[#This Row],[SaleDate]])</f>
        <v>6</v>
      </c>
      <c r="O1443" t="str">
        <f>TEXT(Table1[[#This Row],[SaleDate]],"MMM")</f>
        <v>Jun</v>
      </c>
    </row>
    <row r="1444" spans="1:15">
      <c r="A1444" s="1">
        <v>45097</v>
      </c>
      <c r="B1444" t="s">
        <v>23</v>
      </c>
      <c r="C1444" t="s">
        <v>19</v>
      </c>
      <c r="D1444">
        <v>1</v>
      </c>
      <c r="E1444" t="s">
        <v>7</v>
      </c>
      <c r="F1444">
        <v>33000</v>
      </c>
      <c r="G1444">
        <v>18000</v>
      </c>
      <c r="H1444">
        <f>Table1[[#This Row],[Qty]]*Table1[[#This Row],[SellingPrice]]</f>
        <v>33000</v>
      </c>
      <c r="I1444">
        <f>Table1[[#This Row],[Qty]]*Table1[[#This Row],[CostPrice]]</f>
        <v>18000</v>
      </c>
      <c r="J1444">
        <v>14895</v>
      </c>
      <c r="K1444">
        <v>104.99999999999999</v>
      </c>
      <c r="L1444" t="s">
        <v>8</v>
      </c>
      <c r="M1444" t="s">
        <v>29</v>
      </c>
      <c r="N1444">
        <f>MONTH(Table1[[#This Row],[SaleDate]])</f>
        <v>6</v>
      </c>
      <c r="O1444" t="str">
        <f>TEXT(Table1[[#This Row],[SaleDate]],"MMM")</f>
        <v>Jun</v>
      </c>
    </row>
    <row r="1445" spans="1:15">
      <c r="A1445" s="1">
        <v>45097</v>
      </c>
      <c r="B1445" t="s">
        <v>23</v>
      </c>
      <c r="C1445" t="s">
        <v>19</v>
      </c>
      <c r="D1445">
        <v>1</v>
      </c>
      <c r="E1445" t="s">
        <v>9</v>
      </c>
      <c r="F1445">
        <v>60000</v>
      </c>
      <c r="G1445">
        <v>31000</v>
      </c>
      <c r="H1445">
        <f>Table1[[#This Row],[Qty]]*Table1[[#This Row],[SellingPrice]]</f>
        <v>60000</v>
      </c>
      <c r="I1445">
        <f>Table1[[#This Row],[Qty]]*Table1[[#This Row],[CostPrice]]</f>
        <v>31000</v>
      </c>
      <c r="J1445">
        <v>28797</v>
      </c>
      <c r="K1445">
        <v>202.99999999999997</v>
      </c>
      <c r="L1445" t="s">
        <v>8</v>
      </c>
      <c r="M1445" t="s">
        <v>30</v>
      </c>
      <c r="N1445">
        <f>MONTH(Table1[[#This Row],[SaleDate]])</f>
        <v>6</v>
      </c>
      <c r="O1445" t="str">
        <f>TEXT(Table1[[#This Row],[SaleDate]],"MMM")</f>
        <v>Jun</v>
      </c>
    </row>
    <row r="1446" spans="1:15">
      <c r="A1446" s="1">
        <v>45097</v>
      </c>
      <c r="B1446" t="s">
        <v>23</v>
      </c>
      <c r="C1446" t="s">
        <v>19</v>
      </c>
      <c r="D1446">
        <v>1</v>
      </c>
      <c r="E1446" t="s">
        <v>10</v>
      </c>
      <c r="F1446">
        <v>89000</v>
      </c>
      <c r="G1446">
        <v>65000</v>
      </c>
      <c r="H1446">
        <f>Table1[[#This Row],[Qty]]*Table1[[#This Row],[SellingPrice]]</f>
        <v>89000</v>
      </c>
      <c r="I1446">
        <f>Table1[[#This Row],[Qty]]*Table1[[#This Row],[CostPrice]]</f>
        <v>65000</v>
      </c>
      <c r="J1446">
        <v>23832</v>
      </c>
      <c r="K1446">
        <v>167.99999999999997</v>
      </c>
      <c r="L1446" t="s">
        <v>8</v>
      </c>
      <c r="M1446" t="s">
        <v>30</v>
      </c>
      <c r="N1446">
        <f>MONTH(Table1[[#This Row],[SaleDate]])</f>
        <v>6</v>
      </c>
      <c r="O1446" t="str">
        <f>TEXT(Table1[[#This Row],[SaleDate]],"MMM")</f>
        <v>Jun</v>
      </c>
    </row>
    <row r="1447" spans="1:15">
      <c r="A1447" s="1">
        <v>45097</v>
      </c>
      <c r="B1447" t="s">
        <v>24</v>
      </c>
      <c r="C1447" t="s">
        <v>22</v>
      </c>
      <c r="D1447">
        <v>1</v>
      </c>
      <c r="E1447" t="s">
        <v>7</v>
      </c>
      <c r="F1447">
        <v>33000</v>
      </c>
      <c r="G1447">
        <v>18000</v>
      </c>
      <c r="H1447">
        <f>Table1[[#This Row],[Qty]]*Table1[[#This Row],[SellingPrice]]</f>
        <v>33000</v>
      </c>
      <c r="I1447">
        <f>Table1[[#This Row],[Qty]]*Table1[[#This Row],[CostPrice]]</f>
        <v>18000</v>
      </c>
      <c r="J1447">
        <v>14895</v>
      </c>
      <c r="K1447">
        <v>104.99999999999999</v>
      </c>
      <c r="L1447" t="s">
        <v>12</v>
      </c>
      <c r="M1447" t="s">
        <v>29</v>
      </c>
      <c r="N1447">
        <f>MONTH(Table1[[#This Row],[SaleDate]])</f>
        <v>6</v>
      </c>
      <c r="O1447" t="str">
        <f>TEXT(Table1[[#This Row],[SaleDate]],"MMM")</f>
        <v>Jun</v>
      </c>
    </row>
    <row r="1448" spans="1:15">
      <c r="A1448" s="1">
        <v>45097</v>
      </c>
      <c r="B1448" t="s">
        <v>24</v>
      </c>
      <c r="C1448" t="s">
        <v>22</v>
      </c>
      <c r="D1448">
        <v>1</v>
      </c>
      <c r="E1448" t="s">
        <v>9</v>
      </c>
      <c r="F1448">
        <v>60000</v>
      </c>
      <c r="G1448">
        <v>31000</v>
      </c>
      <c r="H1448">
        <f>Table1[[#This Row],[Qty]]*Table1[[#This Row],[SellingPrice]]</f>
        <v>60000</v>
      </c>
      <c r="I1448">
        <f>Table1[[#This Row],[Qty]]*Table1[[#This Row],[CostPrice]]</f>
        <v>31000</v>
      </c>
      <c r="J1448">
        <v>28797</v>
      </c>
      <c r="K1448">
        <v>202.99999999999997</v>
      </c>
      <c r="L1448" t="s">
        <v>12</v>
      </c>
      <c r="M1448" t="s">
        <v>30</v>
      </c>
      <c r="N1448">
        <f>MONTH(Table1[[#This Row],[SaleDate]])</f>
        <v>6</v>
      </c>
      <c r="O1448" t="str">
        <f>TEXT(Table1[[#This Row],[SaleDate]],"MMM")</f>
        <v>Jun</v>
      </c>
    </row>
    <row r="1449" spans="1:15">
      <c r="A1449" s="1">
        <v>45097</v>
      </c>
      <c r="B1449" t="s">
        <v>24</v>
      </c>
      <c r="C1449" t="s">
        <v>22</v>
      </c>
      <c r="D1449">
        <v>1</v>
      </c>
      <c r="E1449" t="s">
        <v>10</v>
      </c>
      <c r="F1449">
        <v>89000</v>
      </c>
      <c r="G1449">
        <v>65000</v>
      </c>
      <c r="H1449">
        <f>Table1[[#This Row],[Qty]]*Table1[[#This Row],[SellingPrice]]</f>
        <v>89000</v>
      </c>
      <c r="I1449">
        <f>Table1[[#This Row],[Qty]]*Table1[[#This Row],[CostPrice]]</f>
        <v>65000</v>
      </c>
      <c r="J1449">
        <v>23832</v>
      </c>
      <c r="K1449">
        <v>167.99999999999997</v>
      </c>
      <c r="L1449" t="s">
        <v>12</v>
      </c>
      <c r="M1449" t="s">
        <v>28</v>
      </c>
      <c r="N1449">
        <f>MONTH(Table1[[#This Row],[SaleDate]])</f>
        <v>6</v>
      </c>
      <c r="O1449" t="str">
        <f>TEXT(Table1[[#This Row],[SaleDate]],"MMM")</f>
        <v>Jun</v>
      </c>
    </row>
    <row r="1450" spans="1:15">
      <c r="A1450" s="1">
        <v>45097</v>
      </c>
      <c r="B1450" t="s">
        <v>25</v>
      </c>
      <c r="C1450" t="s">
        <v>21</v>
      </c>
      <c r="D1450">
        <v>1</v>
      </c>
      <c r="E1450" t="s">
        <v>7</v>
      </c>
      <c r="F1450">
        <v>33000</v>
      </c>
      <c r="G1450">
        <v>18000</v>
      </c>
      <c r="H1450">
        <f>Table1[[#This Row],[Qty]]*Table1[[#This Row],[SellingPrice]]</f>
        <v>33000</v>
      </c>
      <c r="I1450">
        <f>Table1[[#This Row],[Qty]]*Table1[[#This Row],[CostPrice]]</f>
        <v>18000</v>
      </c>
      <c r="J1450">
        <v>14895</v>
      </c>
      <c r="K1450">
        <v>104.99999999999999</v>
      </c>
      <c r="L1450" t="s">
        <v>13</v>
      </c>
      <c r="M1450" t="s">
        <v>30</v>
      </c>
      <c r="N1450">
        <f>MONTH(Table1[[#This Row],[SaleDate]])</f>
        <v>6</v>
      </c>
      <c r="O1450" t="str">
        <f>TEXT(Table1[[#This Row],[SaleDate]],"MMM")</f>
        <v>Jun</v>
      </c>
    </row>
    <row r="1451" spans="1:15">
      <c r="A1451" s="1">
        <v>45097</v>
      </c>
      <c r="B1451" t="s">
        <v>25</v>
      </c>
      <c r="C1451" t="s">
        <v>21</v>
      </c>
      <c r="D1451">
        <v>1</v>
      </c>
      <c r="E1451" t="s">
        <v>9</v>
      </c>
      <c r="F1451">
        <v>60000</v>
      </c>
      <c r="G1451">
        <v>31000</v>
      </c>
      <c r="H1451">
        <f>Table1[[#This Row],[Qty]]*Table1[[#This Row],[SellingPrice]]</f>
        <v>60000</v>
      </c>
      <c r="I1451">
        <f>Table1[[#This Row],[Qty]]*Table1[[#This Row],[CostPrice]]</f>
        <v>31000</v>
      </c>
      <c r="J1451">
        <v>28797</v>
      </c>
      <c r="K1451">
        <v>202.99999999999997</v>
      </c>
      <c r="L1451" t="s">
        <v>13</v>
      </c>
      <c r="M1451" t="s">
        <v>29</v>
      </c>
      <c r="N1451">
        <f>MONTH(Table1[[#This Row],[SaleDate]])</f>
        <v>6</v>
      </c>
      <c r="O1451" t="str">
        <f>TEXT(Table1[[#This Row],[SaleDate]],"MMM")</f>
        <v>Jun</v>
      </c>
    </row>
    <row r="1452" spans="1:15">
      <c r="A1452" s="1">
        <v>45097</v>
      </c>
      <c r="B1452" t="s">
        <v>25</v>
      </c>
      <c r="C1452" t="s">
        <v>21</v>
      </c>
      <c r="D1452">
        <v>1</v>
      </c>
      <c r="E1452" t="s">
        <v>10</v>
      </c>
      <c r="F1452">
        <v>89000</v>
      </c>
      <c r="G1452">
        <v>65000</v>
      </c>
      <c r="H1452">
        <f>Table1[[#This Row],[Qty]]*Table1[[#This Row],[SellingPrice]]</f>
        <v>89000</v>
      </c>
      <c r="I1452">
        <f>Table1[[#This Row],[Qty]]*Table1[[#This Row],[CostPrice]]</f>
        <v>65000</v>
      </c>
      <c r="J1452">
        <v>23832</v>
      </c>
      <c r="K1452">
        <v>167.99999999999997</v>
      </c>
      <c r="L1452" t="s">
        <v>13</v>
      </c>
      <c r="M1452" t="s">
        <v>30</v>
      </c>
      <c r="N1452">
        <f>MONTH(Table1[[#This Row],[SaleDate]])</f>
        <v>6</v>
      </c>
      <c r="O1452" t="str">
        <f>TEXT(Table1[[#This Row],[SaleDate]],"MMM")</f>
        <v>Jun</v>
      </c>
    </row>
    <row r="1453" spans="1:15">
      <c r="A1453" s="1">
        <v>45098</v>
      </c>
      <c r="B1453" t="s">
        <v>23</v>
      </c>
      <c r="C1453" t="s">
        <v>19</v>
      </c>
      <c r="D1453">
        <v>2</v>
      </c>
      <c r="E1453" t="s">
        <v>7</v>
      </c>
      <c r="F1453">
        <v>33000</v>
      </c>
      <c r="G1453">
        <v>18000</v>
      </c>
      <c r="H1453">
        <f>Table1[[#This Row],[Qty]]*Table1[[#This Row],[SellingPrice]]</f>
        <v>66000</v>
      </c>
      <c r="I1453">
        <f>Table1[[#This Row],[Qty]]*Table1[[#This Row],[CostPrice]]</f>
        <v>36000</v>
      </c>
      <c r="J1453">
        <v>29790</v>
      </c>
      <c r="K1453">
        <v>209.99999999999997</v>
      </c>
      <c r="L1453" t="s">
        <v>8</v>
      </c>
      <c r="M1453" t="s">
        <v>29</v>
      </c>
      <c r="N1453">
        <f>MONTH(Table1[[#This Row],[SaleDate]])</f>
        <v>6</v>
      </c>
      <c r="O1453" t="str">
        <f>TEXT(Table1[[#This Row],[SaleDate]],"MMM")</f>
        <v>Jun</v>
      </c>
    </row>
    <row r="1454" spans="1:15">
      <c r="A1454" s="1">
        <v>45098</v>
      </c>
      <c r="B1454" t="s">
        <v>23</v>
      </c>
      <c r="C1454" t="s">
        <v>19</v>
      </c>
      <c r="D1454">
        <v>2</v>
      </c>
      <c r="E1454" t="s">
        <v>9</v>
      </c>
      <c r="F1454">
        <v>60000</v>
      </c>
      <c r="G1454">
        <v>31000</v>
      </c>
      <c r="H1454">
        <f>Table1[[#This Row],[Qty]]*Table1[[#This Row],[SellingPrice]]</f>
        <v>120000</v>
      </c>
      <c r="I1454">
        <f>Table1[[#This Row],[Qty]]*Table1[[#This Row],[CostPrice]]</f>
        <v>62000</v>
      </c>
      <c r="J1454">
        <v>57594</v>
      </c>
      <c r="K1454">
        <v>405.99999999999994</v>
      </c>
      <c r="L1454" t="s">
        <v>8</v>
      </c>
      <c r="M1454" t="s">
        <v>29</v>
      </c>
      <c r="N1454">
        <f>MONTH(Table1[[#This Row],[SaleDate]])</f>
        <v>6</v>
      </c>
      <c r="O1454" t="str">
        <f>TEXT(Table1[[#This Row],[SaleDate]],"MMM")</f>
        <v>Jun</v>
      </c>
    </row>
    <row r="1455" spans="1:15">
      <c r="A1455" s="1">
        <v>45098</v>
      </c>
      <c r="B1455" t="s">
        <v>23</v>
      </c>
      <c r="C1455" t="s">
        <v>19</v>
      </c>
      <c r="D1455">
        <v>2</v>
      </c>
      <c r="E1455" t="s">
        <v>10</v>
      </c>
      <c r="F1455">
        <v>89000</v>
      </c>
      <c r="G1455">
        <v>65000</v>
      </c>
      <c r="H1455">
        <f>Table1[[#This Row],[Qty]]*Table1[[#This Row],[SellingPrice]]</f>
        <v>178000</v>
      </c>
      <c r="I1455">
        <f>Table1[[#This Row],[Qty]]*Table1[[#This Row],[CostPrice]]</f>
        <v>130000</v>
      </c>
      <c r="J1455">
        <v>47664</v>
      </c>
      <c r="K1455">
        <v>335.99999999999994</v>
      </c>
      <c r="L1455" t="s">
        <v>8</v>
      </c>
      <c r="M1455" t="s">
        <v>30</v>
      </c>
      <c r="N1455">
        <f>MONTH(Table1[[#This Row],[SaleDate]])</f>
        <v>6</v>
      </c>
      <c r="O1455" t="str">
        <f>TEXT(Table1[[#This Row],[SaleDate]],"MMM")</f>
        <v>Jun</v>
      </c>
    </row>
    <row r="1456" spans="1:15">
      <c r="A1456" s="1">
        <v>45098</v>
      </c>
      <c r="B1456" t="s">
        <v>24</v>
      </c>
      <c r="C1456" t="s">
        <v>22</v>
      </c>
      <c r="D1456">
        <v>2</v>
      </c>
      <c r="E1456" t="s">
        <v>7</v>
      </c>
      <c r="F1456">
        <v>33000</v>
      </c>
      <c r="G1456">
        <v>18000</v>
      </c>
      <c r="H1456">
        <f>Table1[[#This Row],[Qty]]*Table1[[#This Row],[SellingPrice]]</f>
        <v>66000</v>
      </c>
      <c r="I1456">
        <f>Table1[[#This Row],[Qty]]*Table1[[#This Row],[CostPrice]]</f>
        <v>36000</v>
      </c>
      <c r="J1456">
        <v>29790</v>
      </c>
      <c r="K1456">
        <v>209.99999999999997</v>
      </c>
      <c r="L1456" t="s">
        <v>12</v>
      </c>
      <c r="M1456" t="s">
        <v>28</v>
      </c>
      <c r="N1456">
        <f>MONTH(Table1[[#This Row],[SaleDate]])</f>
        <v>6</v>
      </c>
      <c r="O1456" t="str">
        <f>TEXT(Table1[[#This Row],[SaleDate]],"MMM")</f>
        <v>Jun</v>
      </c>
    </row>
    <row r="1457" spans="1:15">
      <c r="A1457" s="1">
        <v>45098</v>
      </c>
      <c r="B1457" t="s">
        <v>24</v>
      </c>
      <c r="C1457" t="s">
        <v>22</v>
      </c>
      <c r="D1457">
        <v>2</v>
      </c>
      <c r="E1457" t="s">
        <v>9</v>
      </c>
      <c r="F1457">
        <v>60000</v>
      </c>
      <c r="G1457">
        <v>31000</v>
      </c>
      <c r="H1457">
        <f>Table1[[#This Row],[Qty]]*Table1[[#This Row],[SellingPrice]]</f>
        <v>120000</v>
      </c>
      <c r="I1457">
        <f>Table1[[#This Row],[Qty]]*Table1[[#This Row],[CostPrice]]</f>
        <v>62000</v>
      </c>
      <c r="J1457">
        <v>57594</v>
      </c>
      <c r="K1457">
        <v>405.99999999999994</v>
      </c>
      <c r="L1457" t="s">
        <v>12</v>
      </c>
      <c r="M1457" t="s">
        <v>28</v>
      </c>
      <c r="N1457">
        <f>MONTH(Table1[[#This Row],[SaleDate]])</f>
        <v>6</v>
      </c>
      <c r="O1457" t="str">
        <f>TEXT(Table1[[#This Row],[SaleDate]],"MMM")</f>
        <v>Jun</v>
      </c>
    </row>
    <row r="1458" spans="1:15">
      <c r="A1458" s="1">
        <v>45098</v>
      </c>
      <c r="B1458" t="s">
        <v>24</v>
      </c>
      <c r="C1458" t="s">
        <v>22</v>
      </c>
      <c r="D1458">
        <v>2</v>
      </c>
      <c r="E1458" t="s">
        <v>10</v>
      </c>
      <c r="F1458">
        <v>89000</v>
      </c>
      <c r="G1458">
        <v>65000</v>
      </c>
      <c r="H1458">
        <f>Table1[[#This Row],[Qty]]*Table1[[#This Row],[SellingPrice]]</f>
        <v>178000</v>
      </c>
      <c r="I1458">
        <f>Table1[[#This Row],[Qty]]*Table1[[#This Row],[CostPrice]]</f>
        <v>130000</v>
      </c>
      <c r="J1458">
        <v>47664</v>
      </c>
      <c r="K1458">
        <v>335.99999999999994</v>
      </c>
      <c r="L1458" t="s">
        <v>12</v>
      </c>
      <c r="M1458" t="s">
        <v>28</v>
      </c>
      <c r="N1458">
        <f>MONTH(Table1[[#This Row],[SaleDate]])</f>
        <v>6</v>
      </c>
      <c r="O1458" t="str">
        <f>TEXT(Table1[[#This Row],[SaleDate]],"MMM")</f>
        <v>Jun</v>
      </c>
    </row>
    <row r="1459" spans="1:15">
      <c r="A1459" s="1">
        <v>45098</v>
      </c>
      <c r="B1459" t="s">
        <v>25</v>
      </c>
      <c r="C1459" t="s">
        <v>21</v>
      </c>
      <c r="D1459">
        <v>2</v>
      </c>
      <c r="E1459" t="s">
        <v>7</v>
      </c>
      <c r="F1459">
        <v>33000</v>
      </c>
      <c r="G1459">
        <v>18000</v>
      </c>
      <c r="H1459">
        <f>Table1[[#This Row],[Qty]]*Table1[[#This Row],[SellingPrice]]</f>
        <v>66000</v>
      </c>
      <c r="I1459">
        <f>Table1[[#This Row],[Qty]]*Table1[[#This Row],[CostPrice]]</f>
        <v>36000</v>
      </c>
      <c r="J1459">
        <v>29790</v>
      </c>
      <c r="K1459">
        <v>209.99999999999997</v>
      </c>
      <c r="L1459" t="s">
        <v>13</v>
      </c>
      <c r="M1459" t="s">
        <v>30</v>
      </c>
      <c r="N1459">
        <f>MONTH(Table1[[#This Row],[SaleDate]])</f>
        <v>6</v>
      </c>
      <c r="O1459" t="str">
        <f>TEXT(Table1[[#This Row],[SaleDate]],"MMM")</f>
        <v>Jun</v>
      </c>
    </row>
    <row r="1460" spans="1:15">
      <c r="A1460" s="1">
        <v>45098</v>
      </c>
      <c r="B1460" t="s">
        <v>25</v>
      </c>
      <c r="C1460" t="s">
        <v>21</v>
      </c>
      <c r="D1460">
        <v>2</v>
      </c>
      <c r="E1460" t="s">
        <v>9</v>
      </c>
      <c r="F1460">
        <v>60000</v>
      </c>
      <c r="G1460">
        <v>31000</v>
      </c>
      <c r="H1460">
        <f>Table1[[#This Row],[Qty]]*Table1[[#This Row],[SellingPrice]]</f>
        <v>120000</v>
      </c>
      <c r="I1460">
        <f>Table1[[#This Row],[Qty]]*Table1[[#This Row],[CostPrice]]</f>
        <v>62000</v>
      </c>
      <c r="J1460">
        <v>57594</v>
      </c>
      <c r="K1460">
        <v>405.99999999999994</v>
      </c>
      <c r="L1460" t="s">
        <v>13</v>
      </c>
      <c r="M1460" t="s">
        <v>27</v>
      </c>
      <c r="N1460">
        <f>MONTH(Table1[[#This Row],[SaleDate]])</f>
        <v>6</v>
      </c>
      <c r="O1460" t="str">
        <f>TEXT(Table1[[#This Row],[SaleDate]],"MMM")</f>
        <v>Jun</v>
      </c>
    </row>
    <row r="1461" spans="1:15">
      <c r="A1461" s="1">
        <v>45098</v>
      </c>
      <c r="B1461" t="s">
        <v>25</v>
      </c>
      <c r="C1461" t="s">
        <v>21</v>
      </c>
      <c r="D1461">
        <v>2</v>
      </c>
      <c r="E1461" t="s">
        <v>10</v>
      </c>
      <c r="F1461">
        <v>89000</v>
      </c>
      <c r="G1461">
        <v>65000</v>
      </c>
      <c r="H1461">
        <f>Table1[[#This Row],[Qty]]*Table1[[#This Row],[SellingPrice]]</f>
        <v>178000</v>
      </c>
      <c r="I1461">
        <f>Table1[[#This Row],[Qty]]*Table1[[#This Row],[CostPrice]]</f>
        <v>130000</v>
      </c>
      <c r="J1461">
        <v>47664</v>
      </c>
      <c r="K1461">
        <v>335.99999999999994</v>
      </c>
      <c r="L1461" t="s">
        <v>13</v>
      </c>
      <c r="M1461" t="s">
        <v>27</v>
      </c>
      <c r="N1461">
        <f>MONTH(Table1[[#This Row],[SaleDate]])</f>
        <v>6</v>
      </c>
      <c r="O1461" t="str">
        <f>TEXT(Table1[[#This Row],[SaleDate]],"MMM")</f>
        <v>Jun</v>
      </c>
    </row>
    <row r="1462" spans="1:15">
      <c r="A1462" s="1">
        <v>45099</v>
      </c>
      <c r="B1462" t="s">
        <v>23</v>
      </c>
      <c r="C1462" t="s">
        <v>19</v>
      </c>
      <c r="D1462">
        <v>1</v>
      </c>
      <c r="E1462" t="s">
        <v>7</v>
      </c>
      <c r="F1462">
        <v>33000</v>
      </c>
      <c r="G1462">
        <v>18000</v>
      </c>
      <c r="H1462">
        <f>Table1[[#This Row],[Qty]]*Table1[[#This Row],[SellingPrice]]</f>
        <v>33000</v>
      </c>
      <c r="I1462">
        <f>Table1[[#This Row],[Qty]]*Table1[[#This Row],[CostPrice]]</f>
        <v>18000</v>
      </c>
      <c r="J1462">
        <v>14895</v>
      </c>
      <c r="K1462">
        <v>104.99999999999999</v>
      </c>
      <c r="L1462" t="s">
        <v>8</v>
      </c>
      <c r="M1462" t="s">
        <v>30</v>
      </c>
      <c r="N1462">
        <f>MONTH(Table1[[#This Row],[SaleDate]])</f>
        <v>6</v>
      </c>
      <c r="O1462" t="str">
        <f>TEXT(Table1[[#This Row],[SaleDate]],"MMM")</f>
        <v>Jun</v>
      </c>
    </row>
    <row r="1463" spans="1:15">
      <c r="A1463" s="1">
        <v>45099</v>
      </c>
      <c r="B1463" t="s">
        <v>23</v>
      </c>
      <c r="C1463" t="s">
        <v>19</v>
      </c>
      <c r="D1463">
        <v>1</v>
      </c>
      <c r="E1463" t="s">
        <v>9</v>
      </c>
      <c r="F1463">
        <v>60000</v>
      </c>
      <c r="G1463">
        <v>31000</v>
      </c>
      <c r="H1463">
        <f>Table1[[#This Row],[Qty]]*Table1[[#This Row],[SellingPrice]]</f>
        <v>60000</v>
      </c>
      <c r="I1463">
        <f>Table1[[#This Row],[Qty]]*Table1[[#This Row],[CostPrice]]</f>
        <v>31000</v>
      </c>
      <c r="J1463">
        <v>28797</v>
      </c>
      <c r="K1463">
        <v>202.99999999999997</v>
      </c>
      <c r="L1463" t="s">
        <v>8</v>
      </c>
      <c r="M1463" t="s">
        <v>27</v>
      </c>
      <c r="N1463">
        <f>MONTH(Table1[[#This Row],[SaleDate]])</f>
        <v>6</v>
      </c>
      <c r="O1463" t="str">
        <f>TEXT(Table1[[#This Row],[SaleDate]],"MMM")</f>
        <v>Jun</v>
      </c>
    </row>
    <row r="1464" spans="1:15">
      <c r="A1464" s="1">
        <v>45099</v>
      </c>
      <c r="B1464" t="s">
        <v>23</v>
      </c>
      <c r="C1464" t="s">
        <v>19</v>
      </c>
      <c r="D1464">
        <v>1</v>
      </c>
      <c r="E1464" t="s">
        <v>10</v>
      </c>
      <c r="F1464">
        <v>89000</v>
      </c>
      <c r="G1464">
        <v>65000</v>
      </c>
      <c r="H1464">
        <f>Table1[[#This Row],[Qty]]*Table1[[#This Row],[SellingPrice]]</f>
        <v>89000</v>
      </c>
      <c r="I1464">
        <f>Table1[[#This Row],[Qty]]*Table1[[#This Row],[CostPrice]]</f>
        <v>65000</v>
      </c>
      <c r="J1464">
        <v>23832</v>
      </c>
      <c r="K1464">
        <v>167.99999999999997</v>
      </c>
      <c r="L1464" t="s">
        <v>8</v>
      </c>
      <c r="M1464" t="s">
        <v>28</v>
      </c>
      <c r="N1464">
        <f>MONTH(Table1[[#This Row],[SaleDate]])</f>
        <v>6</v>
      </c>
      <c r="O1464" t="str">
        <f>TEXT(Table1[[#This Row],[SaleDate]],"MMM")</f>
        <v>Jun</v>
      </c>
    </row>
    <row r="1465" spans="1:15">
      <c r="A1465" s="1">
        <v>45099</v>
      </c>
      <c r="B1465" t="s">
        <v>24</v>
      </c>
      <c r="C1465" t="s">
        <v>22</v>
      </c>
      <c r="D1465">
        <v>1</v>
      </c>
      <c r="E1465" t="s">
        <v>7</v>
      </c>
      <c r="F1465">
        <v>33000</v>
      </c>
      <c r="G1465">
        <v>18000</v>
      </c>
      <c r="H1465">
        <f>Table1[[#This Row],[Qty]]*Table1[[#This Row],[SellingPrice]]</f>
        <v>33000</v>
      </c>
      <c r="I1465">
        <f>Table1[[#This Row],[Qty]]*Table1[[#This Row],[CostPrice]]</f>
        <v>18000</v>
      </c>
      <c r="J1465">
        <v>14895</v>
      </c>
      <c r="K1465">
        <v>104.99999999999999</v>
      </c>
      <c r="L1465" t="s">
        <v>12</v>
      </c>
      <c r="M1465" t="s">
        <v>27</v>
      </c>
      <c r="N1465">
        <f>MONTH(Table1[[#This Row],[SaleDate]])</f>
        <v>6</v>
      </c>
      <c r="O1465" t="str">
        <f>TEXT(Table1[[#This Row],[SaleDate]],"MMM")</f>
        <v>Jun</v>
      </c>
    </row>
    <row r="1466" spans="1:15">
      <c r="A1466" s="1">
        <v>45099</v>
      </c>
      <c r="B1466" t="s">
        <v>24</v>
      </c>
      <c r="C1466" t="s">
        <v>22</v>
      </c>
      <c r="D1466">
        <v>1</v>
      </c>
      <c r="E1466" t="s">
        <v>9</v>
      </c>
      <c r="F1466">
        <v>60000</v>
      </c>
      <c r="G1466">
        <v>31000</v>
      </c>
      <c r="H1466">
        <f>Table1[[#This Row],[Qty]]*Table1[[#This Row],[SellingPrice]]</f>
        <v>60000</v>
      </c>
      <c r="I1466">
        <f>Table1[[#This Row],[Qty]]*Table1[[#This Row],[CostPrice]]</f>
        <v>31000</v>
      </c>
      <c r="J1466">
        <v>28797</v>
      </c>
      <c r="K1466">
        <v>202.99999999999997</v>
      </c>
      <c r="L1466" t="s">
        <v>12</v>
      </c>
      <c r="M1466" t="s">
        <v>29</v>
      </c>
      <c r="N1466">
        <f>MONTH(Table1[[#This Row],[SaleDate]])</f>
        <v>6</v>
      </c>
      <c r="O1466" t="str">
        <f>TEXT(Table1[[#This Row],[SaleDate]],"MMM")</f>
        <v>Jun</v>
      </c>
    </row>
    <row r="1467" spans="1:15">
      <c r="A1467" s="1">
        <v>45099</v>
      </c>
      <c r="B1467" t="s">
        <v>24</v>
      </c>
      <c r="C1467" t="s">
        <v>22</v>
      </c>
      <c r="D1467">
        <v>1</v>
      </c>
      <c r="E1467" t="s">
        <v>10</v>
      </c>
      <c r="F1467">
        <v>89000</v>
      </c>
      <c r="G1467">
        <v>65000</v>
      </c>
      <c r="H1467">
        <f>Table1[[#This Row],[Qty]]*Table1[[#This Row],[SellingPrice]]</f>
        <v>89000</v>
      </c>
      <c r="I1467">
        <f>Table1[[#This Row],[Qty]]*Table1[[#This Row],[CostPrice]]</f>
        <v>65000</v>
      </c>
      <c r="J1467">
        <v>23832</v>
      </c>
      <c r="K1467">
        <v>167.99999999999997</v>
      </c>
      <c r="L1467" t="s">
        <v>12</v>
      </c>
      <c r="M1467" t="s">
        <v>30</v>
      </c>
      <c r="N1467">
        <f>MONTH(Table1[[#This Row],[SaleDate]])</f>
        <v>6</v>
      </c>
      <c r="O1467" t="str">
        <f>TEXT(Table1[[#This Row],[SaleDate]],"MMM")</f>
        <v>Jun</v>
      </c>
    </row>
    <row r="1468" spans="1:15">
      <c r="A1468" s="1">
        <v>45099</v>
      </c>
      <c r="B1468" t="s">
        <v>25</v>
      </c>
      <c r="C1468" t="s">
        <v>21</v>
      </c>
      <c r="D1468">
        <v>1</v>
      </c>
      <c r="E1468" t="s">
        <v>7</v>
      </c>
      <c r="F1468">
        <v>33000</v>
      </c>
      <c r="G1468">
        <v>18000</v>
      </c>
      <c r="H1468">
        <f>Table1[[#This Row],[Qty]]*Table1[[#This Row],[SellingPrice]]</f>
        <v>33000</v>
      </c>
      <c r="I1468">
        <f>Table1[[#This Row],[Qty]]*Table1[[#This Row],[CostPrice]]</f>
        <v>18000</v>
      </c>
      <c r="J1468">
        <v>14895</v>
      </c>
      <c r="K1468">
        <v>104.99999999999999</v>
      </c>
      <c r="L1468" t="s">
        <v>13</v>
      </c>
      <c r="M1468" t="s">
        <v>29</v>
      </c>
      <c r="N1468">
        <f>MONTH(Table1[[#This Row],[SaleDate]])</f>
        <v>6</v>
      </c>
      <c r="O1468" t="str">
        <f>TEXT(Table1[[#This Row],[SaleDate]],"MMM")</f>
        <v>Jun</v>
      </c>
    </row>
    <row r="1469" spans="1:15">
      <c r="A1469" s="1">
        <v>45099</v>
      </c>
      <c r="B1469" t="s">
        <v>25</v>
      </c>
      <c r="C1469" t="s">
        <v>21</v>
      </c>
      <c r="D1469">
        <v>1</v>
      </c>
      <c r="E1469" t="s">
        <v>9</v>
      </c>
      <c r="F1469">
        <v>60000</v>
      </c>
      <c r="G1469">
        <v>31000</v>
      </c>
      <c r="H1469">
        <f>Table1[[#This Row],[Qty]]*Table1[[#This Row],[SellingPrice]]</f>
        <v>60000</v>
      </c>
      <c r="I1469">
        <f>Table1[[#This Row],[Qty]]*Table1[[#This Row],[CostPrice]]</f>
        <v>31000</v>
      </c>
      <c r="J1469">
        <v>28797</v>
      </c>
      <c r="K1469">
        <v>202.99999999999997</v>
      </c>
      <c r="L1469" t="s">
        <v>13</v>
      </c>
      <c r="M1469" t="s">
        <v>30</v>
      </c>
      <c r="N1469">
        <f>MONTH(Table1[[#This Row],[SaleDate]])</f>
        <v>6</v>
      </c>
      <c r="O1469" t="str">
        <f>TEXT(Table1[[#This Row],[SaleDate]],"MMM")</f>
        <v>Jun</v>
      </c>
    </row>
    <row r="1470" spans="1:15">
      <c r="A1470" s="1">
        <v>45099</v>
      </c>
      <c r="B1470" t="s">
        <v>25</v>
      </c>
      <c r="C1470" t="s">
        <v>21</v>
      </c>
      <c r="D1470">
        <v>1</v>
      </c>
      <c r="E1470" t="s">
        <v>10</v>
      </c>
      <c r="F1470">
        <v>89000</v>
      </c>
      <c r="G1470">
        <v>65000</v>
      </c>
      <c r="H1470">
        <f>Table1[[#This Row],[Qty]]*Table1[[#This Row],[SellingPrice]]</f>
        <v>89000</v>
      </c>
      <c r="I1470">
        <f>Table1[[#This Row],[Qty]]*Table1[[#This Row],[CostPrice]]</f>
        <v>65000</v>
      </c>
      <c r="J1470">
        <v>23832</v>
      </c>
      <c r="K1470">
        <v>167.99999999999997</v>
      </c>
      <c r="L1470" t="s">
        <v>13</v>
      </c>
      <c r="M1470" t="s">
        <v>29</v>
      </c>
      <c r="N1470">
        <f>MONTH(Table1[[#This Row],[SaleDate]])</f>
        <v>6</v>
      </c>
      <c r="O1470" t="str">
        <f>TEXT(Table1[[#This Row],[SaleDate]],"MMM")</f>
        <v>Jun</v>
      </c>
    </row>
    <row r="1471" spans="1:15">
      <c r="A1471" s="1">
        <v>45100</v>
      </c>
      <c r="B1471" t="s">
        <v>23</v>
      </c>
      <c r="C1471" t="s">
        <v>19</v>
      </c>
      <c r="D1471">
        <v>1</v>
      </c>
      <c r="E1471" t="s">
        <v>7</v>
      </c>
      <c r="F1471">
        <v>33000</v>
      </c>
      <c r="G1471">
        <v>18000</v>
      </c>
      <c r="H1471">
        <f>Table1[[#This Row],[Qty]]*Table1[[#This Row],[SellingPrice]]</f>
        <v>33000</v>
      </c>
      <c r="I1471">
        <f>Table1[[#This Row],[Qty]]*Table1[[#This Row],[CostPrice]]</f>
        <v>18000</v>
      </c>
      <c r="J1471">
        <v>14895</v>
      </c>
      <c r="K1471">
        <v>104.99999999999999</v>
      </c>
      <c r="L1471" t="s">
        <v>8</v>
      </c>
      <c r="M1471" t="s">
        <v>29</v>
      </c>
      <c r="N1471">
        <f>MONTH(Table1[[#This Row],[SaleDate]])</f>
        <v>6</v>
      </c>
      <c r="O1471" t="str">
        <f>TEXT(Table1[[#This Row],[SaleDate]],"MMM")</f>
        <v>Jun</v>
      </c>
    </row>
    <row r="1472" spans="1:15">
      <c r="A1472" s="1">
        <v>45100</v>
      </c>
      <c r="B1472" t="s">
        <v>23</v>
      </c>
      <c r="C1472" t="s">
        <v>19</v>
      </c>
      <c r="D1472">
        <v>1</v>
      </c>
      <c r="E1472" t="s">
        <v>9</v>
      </c>
      <c r="F1472">
        <v>60000</v>
      </c>
      <c r="G1472">
        <v>31000</v>
      </c>
      <c r="H1472">
        <f>Table1[[#This Row],[Qty]]*Table1[[#This Row],[SellingPrice]]</f>
        <v>60000</v>
      </c>
      <c r="I1472">
        <f>Table1[[#This Row],[Qty]]*Table1[[#This Row],[CostPrice]]</f>
        <v>31000</v>
      </c>
      <c r="J1472">
        <v>28797</v>
      </c>
      <c r="K1472">
        <v>202.99999999999997</v>
      </c>
      <c r="L1472" t="s">
        <v>8</v>
      </c>
      <c r="M1472" t="s">
        <v>27</v>
      </c>
      <c r="N1472">
        <f>MONTH(Table1[[#This Row],[SaleDate]])</f>
        <v>6</v>
      </c>
      <c r="O1472" t="str">
        <f>TEXT(Table1[[#This Row],[SaleDate]],"MMM")</f>
        <v>Jun</v>
      </c>
    </row>
    <row r="1473" spans="1:15">
      <c r="A1473" s="1">
        <v>45100</v>
      </c>
      <c r="B1473" t="s">
        <v>23</v>
      </c>
      <c r="C1473" t="s">
        <v>19</v>
      </c>
      <c r="D1473">
        <v>1</v>
      </c>
      <c r="E1473" t="s">
        <v>10</v>
      </c>
      <c r="F1473">
        <v>89000</v>
      </c>
      <c r="G1473">
        <v>65000</v>
      </c>
      <c r="H1473">
        <f>Table1[[#This Row],[Qty]]*Table1[[#This Row],[SellingPrice]]</f>
        <v>89000</v>
      </c>
      <c r="I1473">
        <f>Table1[[#This Row],[Qty]]*Table1[[#This Row],[CostPrice]]</f>
        <v>65000</v>
      </c>
      <c r="J1473">
        <v>23832</v>
      </c>
      <c r="K1473">
        <v>167.99999999999997</v>
      </c>
      <c r="L1473" t="s">
        <v>8</v>
      </c>
      <c r="M1473" t="s">
        <v>28</v>
      </c>
      <c r="N1473">
        <f>MONTH(Table1[[#This Row],[SaleDate]])</f>
        <v>6</v>
      </c>
      <c r="O1473" t="str">
        <f>TEXT(Table1[[#This Row],[SaleDate]],"MMM")</f>
        <v>Jun</v>
      </c>
    </row>
    <row r="1474" spans="1:15">
      <c r="A1474" s="1">
        <v>45100</v>
      </c>
      <c r="B1474" t="s">
        <v>24</v>
      </c>
      <c r="C1474" t="s">
        <v>22</v>
      </c>
      <c r="D1474">
        <v>1</v>
      </c>
      <c r="E1474" t="s">
        <v>7</v>
      </c>
      <c r="F1474">
        <v>33000</v>
      </c>
      <c r="G1474">
        <v>18000</v>
      </c>
      <c r="H1474">
        <f>Table1[[#This Row],[Qty]]*Table1[[#This Row],[SellingPrice]]</f>
        <v>33000</v>
      </c>
      <c r="I1474">
        <f>Table1[[#This Row],[Qty]]*Table1[[#This Row],[CostPrice]]</f>
        <v>18000</v>
      </c>
      <c r="J1474">
        <v>14895</v>
      </c>
      <c r="K1474">
        <v>104.99999999999999</v>
      </c>
      <c r="L1474" t="s">
        <v>12</v>
      </c>
      <c r="M1474" t="s">
        <v>30</v>
      </c>
      <c r="N1474">
        <f>MONTH(Table1[[#This Row],[SaleDate]])</f>
        <v>6</v>
      </c>
      <c r="O1474" t="str">
        <f>TEXT(Table1[[#This Row],[SaleDate]],"MMM")</f>
        <v>Jun</v>
      </c>
    </row>
    <row r="1475" spans="1:15">
      <c r="A1475" s="1">
        <v>45100</v>
      </c>
      <c r="B1475" t="s">
        <v>24</v>
      </c>
      <c r="C1475" t="s">
        <v>22</v>
      </c>
      <c r="D1475">
        <v>1</v>
      </c>
      <c r="E1475" t="s">
        <v>9</v>
      </c>
      <c r="F1475">
        <v>60000</v>
      </c>
      <c r="G1475">
        <v>31000</v>
      </c>
      <c r="H1475">
        <f>Table1[[#This Row],[Qty]]*Table1[[#This Row],[SellingPrice]]</f>
        <v>60000</v>
      </c>
      <c r="I1475">
        <f>Table1[[#This Row],[Qty]]*Table1[[#This Row],[CostPrice]]</f>
        <v>31000</v>
      </c>
      <c r="J1475">
        <v>28797</v>
      </c>
      <c r="K1475">
        <v>202.99999999999997</v>
      </c>
      <c r="L1475" t="s">
        <v>12</v>
      </c>
      <c r="M1475" t="s">
        <v>27</v>
      </c>
      <c r="N1475">
        <f>MONTH(Table1[[#This Row],[SaleDate]])</f>
        <v>6</v>
      </c>
      <c r="O1475" t="str">
        <f>TEXT(Table1[[#This Row],[SaleDate]],"MMM")</f>
        <v>Jun</v>
      </c>
    </row>
    <row r="1476" spans="1:15">
      <c r="A1476" s="1">
        <v>45100</v>
      </c>
      <c r="B1476" t="s">
        <v>24</v>
      </c>
      <c r="C1476" t="s">
        <v>22</v>
      </c>
      <c r="D1476">
        <v>1</v>
      </c>
      <c r="E1476" t="s">
        <v>10</v>
      </c>
      <c r="F1476">
        <v>89000</v>
      </c>
      <c r="G1476">
        <v>65000</v>
      </c>
      <c r="H1476">
        <f>Table1[[#This Row],[Qty]]*Table1[[#This Row],[SellingPrice]]</f>
        <v>89000</v>
      </c>
      <c r="I1476">
        <f>Table1[[#This Row],[Qty]]*Table1[[#This Row],[CostPrice]]</f>
        <v>65000</v>
      </c>
      <c r="J1476">
        <v>23832</v>
      </c>
      <c r="K1476">
        <v>167.99999999999997</v>
      </c>
      <c r="L1476" t="s">
        <v>12</v>
      </c>
      <c r="M1476" t="s">
        <v>30</v>
      </c>
      <c r="N1476">
        <f>MONTH(Table1[[#This Row],[SaleDate]])</f>
        <v>6</v>
      </c>
      <c r="O1476" t="str">
        <f>TEXT(Table1[[#This Row],[SaleDate]],"MMM")</f>
        <v>Jun</v>
      </c>
    </row>
    <row r="1477" spans="1:15">
      <c r="A1477" s="1">
        <v>45100</v>
      </c>
      <c r="B1477" t="s">
        <v>25</v>
      </c>
      <c r="C1477" t="s">
        <v>21</v>
      </c>
      <c r="D1477">
        <v>1</v>
      </c>
      <c r="E1477" t="s">
        <v>7</v>
      </c>
      <c r="F1477">
        <v>33000</v>
      </c>
      <c r="G1477">
        <v>18000</v>
      </c>
      <c r="H1477">
        <f>Table1[[#This Row],[Qty]]*Table1[[#This Row],[SellingPrice]]</f>
        <v>33000</v>
      </c>
      <c r="I1477">
        <f>Table1[[#This Row],[Qty]]*Table1[[#This Row],[CostPrice]]</f>
        <v>18000</v>
      </c>
      <c r="J1477">
        <v>14895</v>
      </c>
      <c r="K1477">
        <v>104.99999999999999</v>
      </c>
      <c r="L1477" t="s">
        <v>13</v>
      </c>
      <c r="M1477" t="s">
        <v>29</v>
      </c>
      <c r="N1477">
        <f>MONTH(Table1[[#This Row],[SaleDate]])</f>
        <v>6</v>
      </c>
      <c r="O1477" t="str">
        <f>TEXT(Table1[[#This Row],[SaleDate]],"MMM")</f>
        <v>Jun</v>
      </c>
    </row>
    <row r="1478" spans="1:15">
      <c r="A1478" s="1">
        <v>45100</v>
      </c>
      <c r="B1478" t="s">
        <v>25</v>
      </c>
      <c r="C1478" t="s">
        <v>21</v>
      </c>
      <c r="D1478">
        <v>1</v>
      </c>
      <c r="E1478" t="s">
        <v>9</v>
      </c>
      <c r="F1478">
        <v>60000</v>
      </c>
      <c r="G1478">
        <v>31000</v>
      </c>
      <c r="H1478">
        <f>Table1[[#This Row],[Qty]]*Table1[[#This Row],[SellingPrice]]</f>
        <v>60000</v>
      </c>
      <c r="I1478">
        <f>Table1[[#This Row],[Qty]]*Table1[[#This Row],[CostPrice]]</f>
        <v>31000</v>
      </c>
      <c r="J1478">
        <v>28797</v>
      </c>
      <c r="K1478">
        <v>202.99999999999997</v>
      </c>
      <c r="L1478" t="s">
        <v>13</v>
      </c>
      <c r="M1478" t="s">
        <v>28</v>
      </c>
      <c r="N1478">
        <f>MONTH(Table1[[#This Row],[SaleDate]])</f>
        <v>6</v>
      </c>
      <c r="O1478" t="str">
        <f>TEXT(Table1[[#This Row],[SaleDate]],"MMM")</f>
        <v>Jun</v>
      </c>
    </row>
    <row r="1479" spans="1:15">
      <c r="A1479" s="1">
        <v>45100</v>
      </c>
      <c r="B1479" t="s">
        <v>25</v>
      </c>
      <c r="C1479" t="s">
        <v>21</v>
      </c>
      <c r="D1479">
        <v>1</v>
      </c>
      <c r="E1479" t="s">
        <v>10</v>
      </c>
      <c r="F1479">
        <v>89000</v>
      </c>
      <c r="G1479">
        <v>65000</v>
      </c>
      <c r="H1479">
        <f>Table1[[#This Row],[Qty]]*Table1[[#This Row],[SellingPrice]]</f>
        <v>89000</v>
      </c>
      <c r="I1479">
        <f>Table1[[#This Row],[Qty]]*Table1[[#This Row],[CostPrice]]</f>
        <v>65000</v>
      </c>
      <c r="J1479">
        <v>23832</v>
      </c>
      <c r="K1479">
        <v>167.99999999999997</v>
      </c>
      <c r="L1479" t="s">
        <v>13</v>
      </c>
      <c r="M1479" t="s">
        <v>27</v>
      </c>
      <c r="N1479">
        <f>MONTH(Table1[[#This Row],[SaleDate]])</f>
        <v>6</v>
      </c>
      <c r="O1479" t="str">
        <f>TEXT(Table1[[#This Row],[SaleDate]],"MMM")</f>
        <v>Jun</v>
      </c>
    </row>
    <row r="1480" spans="1:15">
      <c r="A1480" s="1">
        <v>45101</v>
      </c>
      <c r="B1480" t="s">
        <v>23</v>
      </c>
      <c r="C1480" t="s">
        <v>19</v>
      </c>
      <c r="D1480">
        <v>1</v>
      </c>
      <c r="E1480" t="s">
        <v>7</v>
      </c>
      <c r="F1480">
        <v>33000</v>
      </c>
      <c r="G1480">
        <v>18000</v>
      </c>
      <c r="H1480">
        <f>Table1[[#This Row],[Qty]]*Table1[[#This Row],[SellingPrice]]</f>
        <v>33000</v>
      </c>
      <c r="I1480">
        <f>Table1[[#This Row],[Qty]]*Table1[[#This Row],[CostPrice]]</f>
        <v>18000</v>
      </c>
      <c r="J1480">
        <v>14895</v>
      </c>
      <c r="K1480">
        <v>104.99999999999999</v>
      </c>
      <c r="L1480" t="s">
        <v>8</v>
      </c>
      <c r="M1480" t="s">
        <v>30</v>
      </c>
      <c r="N1480">
        <f>MONTH(Table1[[#This Row],[SaleDate]])</f>
        <v>6</v>
      </c>
      <c r="O1480" t="str">
        <f>TEXT(Table1[[#This Row],[SaleDate]],"MMM")</f>
        <v>Jun</v>
      </c>
    </row>
    <row r="1481" spans="1:15">
      <c r="A1481" s="1">
        <v>45101</v>
      </c>
      <c r="B1481" t="s">
        <v>23</v>
      </c>
      <c r="C1481" t="s">
        <v>19</v>
      </c>
      <c r="D1481">
        <v>1</v>
      </c>
      <c r="E1481" t="s">
        <v>9</v>
      </c>
      <c r="F1481">
        <v>60000</v>
      </c>
      <c r="G1481">
        <v>31000</v>
      </c>
      <c r="H1481">
        <f>Table1[[#This Row],[Qty]]*Table1[[#This Row],[SellingPrice]]</f>
        <v>60000</v>
      </c>
      <c r="I1481">
        <f>Table1[[#This Row],[Qty]]*Table1[[#This Row],[CostPrice]]</f>
        <v>31000</v>
      </c>
      <c r="J1481">
        <v>28797</v>
      </c>
      <c r="K1481">
        <v>202.99999999999997</v>
      </c>
      <c r="L1481" t="s">
        <v>8</v>
      </c>
      <c r="M1481" t="s">
        <v>30</v>
      </c>
      <c r="N1481">
        <f>MONTH(Table1[[#This Row],[SaleDate]])</f>
        <v>6</v>
      </c>
      <c r="O1481" t="str">
        <f>TEXT(Table1[[#This Row],[SaleDate]],"MMM")</f>
        <v>Jun</v>
      </c>
    </row>
    <row r="1482" spans="1:15">
      <c r="A1482" s="1">
        <v>45101</v>
      </c>
      <c r="B1482" t="s">
        <v>23</v>
      </c>
      <c r="C1482" t="s">
        <v>19</v>
      </c>
      <c r="D1482">
        <v>1</v>
      </c>
      <c r="E1482" t="s">
        <v>10</v>
      </c>
      <c r="F1482">
        <v>89000</v>
      </c>
      <c r="G1482">
        <v>65000</v>
      </c>
      <c r="H1482">
        <f>Table1[[#This Row],[Qty]]*Table1[[#This Row],[SellingPrice]]</f>
        <v>89000</v>
      </c>
      <c r="I1482">
        <f>Table1[[#This Row],[Qty]]*Table1[[#This Row],[CostPrice]]</f>
        <v>65000</v>
      </c>
      <c r="J1482">
        <v>23832</v>
      </c>
      <c r="K1482">
        <v>167.99999999999997</v>
      </c>
      <c r="L1482" t="s">
        <v>8</v>
      </c>
      <c r="M1482" t="s">
        <v>27</v>
      </c>
      <c r="N1482">
        <f>MONTH(Table1[[#This Row],[SaleDate]])</f>
        <v>6</v>
      </c>
      <c r="O1482" t="str">
        <f>TEXT(Table1[[#This Row],[SaleDate]],"MMM")</f>
        <v>Jun</v>
      </c>
    </row>
    <row r="1483" spans="1:15">
      <c r="A1483" s="1">
        <v>45101</v>
      </c>
      <c r="B1483" t="s">
        <v>24</v>
      </c>
      <c r="C1483" t="s">
        <v>22</v>
      </c>
      <c r="D1483">
        <v>1</v>
      </c>
      <c r="E1483" t="s">
        <v>7</v>
      </c>
      <c r="F1483">
        <v>33000</v>
      </c>
      <c r="G1483">
        <v>18000</v>
      </c>
      <c r="H1483">
        <f>Table1[[#This Row],[Qty]]*Table1[[#This Row],[SellingPrice]]</f>
        <v>33000</v>
      </c>
      <c r="I1483">
        <f>Table1[[#This Row],[Qty]]*Table1[[#This Row],[CostPrice]]</f>
        <v>18000</v>
      </c>
      <c r="J1483">
        <v>14895</v>
      </c>
      <c r="K1483">
        <v>104.99999999999999</v>
      </c>
      <c r="L1483" t="s">
        <v>12</v>
      </c>
      <c r="M1483" t="s">
        <v>27</v>
      </c>
      <c r="N1483">
        <f>MONTH(Table1[[#This Row],[SaleDate]])</f>
        <v>6</v>
      </c>
      <c r="O1483" t="str">
        <f>TEXT(Table1[[#This Row],[SaleDate]],"MMM")</f>
        <v>Jun</v>
      </c>
    </row>
    <row r="1484" spans="1:15">
      <c r="A1484" s="1">
        <v>45101</v>
      </c>
      <c r="B1484" t="s">
        <v>24</v>
      </c>
      <c r="C1484" t="s">
        <v>22</v>
      </c>
      <c r="D1484">
        <v>1</v>
      </c>
      <c r="E1484" t="s">
        <v>9</v>
      </c>
      <c r="F1484">
        <v>60000</v>
      </c>
      <c r="G1484">
        <v>31000</v>
      </c>
      <c r="H1484">
        <f>Table1[[#This Row],[Qty]]*Table1[[#This Row],[SellingPrice]]</f>
        <v>60000</v>
      </c>
      <c r="I1484">
        <f>Table1[[#This Row],[Qty]]*Table1[[#This Row],[CostPrice]]</f>
        <v>31000</v>
      </c>
      <c r="J1484">
        <v>28797</v>
      </c>
      <c r="K1484">
        <v>202.99999999999997</v>
      </c>
      <c r="L1484" t="s">
        <v>12</v>
      </c>
      <c r="M1484" t="s">
        <v>29</v>
      </c>
      <c r="N1484">
        <f>MONTH(Table1[[#This Row],[SaleDate]])</f>
        <v>6</v>
      </c>
      <c r="O1484" t="str">
        <f>TEXT(Table1[[#This Row],[SaleDate]],"MMM")</f>
        <v>Jun</v>
      </c>
    </row>
    <row r="1485" spans="1:15">
      <c r="A1485" s="1">
        <v>45101</v>
      </c>
      <c r="B1485" t="s">
        <v>24</v>
      </c>
      <c r="C1485" t="s">
        <v>22</v>
      </c>
      <c r="D1485">
        <v>1</v>
      </c>
      <c r="E1485" t="s">
        <v>10</v>
      </c>
      <c r="F1485">
        <v>89000</v>
      </c>
      <c r="G1485">
        <v>65000</v>
      </c>
      <c r="H1485">
        <f>Table1[[#This Row],[Qty]]*Table1[[#This Row],[SellingPrice]]</f>
        <v>89000</v>
      </c>
      <c r="I1485">
        <f>Table1[[#This Row],[Qty]]*Table1[[#This Row],[CostPrice]]</f>
        <v>65000</v>
      </c>
      <c r="J1485">
        <v>23832</v>
      </c>
      <c r="K1485">
        <v>167.99999999999997</v>
      </c>
      <c r="L1485" t="s">
        <v>12</v>
      </c>
      <c r="M1485" t="s">
        <v>27</v>
      </c>
      <c r="N1485">
        <f>MONTH(Table1[[#This Row],[SaleDate]])</f>
        <v>6</v>
      </c>
      <c r="O1485" t="str">
        <f>TEXT(Table1[[#This Row],[SaleDate]],"MMM")</f>
        <v>Jun</v>
      </c>
    </row>
    <row r="1486" spans="1:15">
      <c r="A1486" s="1">
        <v>45101</v>
      </c>
      <c r="B1486" t="s">
        <v>25</v>
      </c>
      <c r="C1486" t="s">
        <v>21</v>
      </c>
      <c r="D1486">
        <v>1</v>
      </c>
      <c r="E1486" t="s">
        <v>7</v>
      </c>
      <c r="F1486">
        <v>33000</v>
      </c>
      <c r="G1486">
        <v>18000</v>
      </c>
      <c r="H1486">
        <f>Table1[[#This Row],[Qty]]*Table1[[#This Row],[SellingPrice]]</f>
        <v>33000</v>
      </c>
      <c r="I1486">
        <f>Table1[[#This Row],[Qty]]*Table1[[#This Row],[CostPrice]]</f>
        <v>18000</v>
      </c>
      <c r="J1486">
        <v>14895</v>
      </c>
      <c r="K1486">
        <v>104.99999999999999</v>
      </c>
      <c r="L1486" t="s">
        <v>13</v>
      </c>
      <c r="M1486" t="s">
        <v>28</v>
      </c>
      <c r="N1486">
        <f>MONTH(Table1[[#This Row],[SaleDate]])</f>
        <v>6</v>
      </c>
      <c r="O1486" t="str">
        <f>TEXT(Table1[[#This Row],[SaleDate]],"MMM")</f>
        <v>Jun</v>
      </c>
    </row>
    <row r="1487" spans="1:15">
      <c r="A1487" s="1">
        <v>45101</v>
      </c>
      <c r="B1487" t="s">
        <v>25</v>
      </c>
      <c r="C1487" t="s">
        <v>21</v>
      </c>
      <c r="D1487">
        <v>1</v>
      </c>
      <c r="E1487" t="s">
        <v>9</v>
      </c>
      <c r="F1487">
        <v>60000</v>
      </c>
      <c r="G1487">
        <v>31000</v>
      </c>
      <c r="H1487">
        <f>Table1[[#This Row],[Qty]]*Table1[[#This Row],[SellingPrice]]</f>
        <v>60000</v>
      </c>
      <c r="I1487">
        <f>Table1[[#This Row],[Qty]]*Table1[[#This Row],[CostPrice]]</f>
        <v>31000</v>
      </c>
      <c r="J1487">
        <v>28797</v>
      </c>
      <c r="K1487">
        <v>202.99999999999997</v>
      </c>
      <c r="L1487" t="s">
        <v>13</v>
      </c>
      <c r="M1487" t="s">
        <v>27</v>
      </c>
      <c r="N1487">
        <f>MONTH(Table1[[#This Row],[SaleDate]])</f>
        <v>6</v>
      </c>
      <c r="O1487" t="str">
        <f>TEXT(Table1[[#This Row],[SaleDate]],"MMM")</f>
        <v>Jun</v>
      </c>
    </row>
    <row r="1488" spans="1:15">
      <c r="A1488" s="1">
        <v>45101</v>
      </c>
      <c r="B1488" t="s">
        <v>25</v>
      </c>
      <c r="C1488" t="s">
        <v>21</v>
      </c>
      <c r="D1488">
        <v>1</v>
      </c>
      <c r="E1488" t="s">
        <v>10</v>
      </c>
      <c r="F1488">
        <v>89000</v>
      </c>
      <c r="G1488">
        <v>65000</v>
      </c>
      <c r="H1488">
        <f>Table1[[#This Row],[Qty]]*Table1[[#This Row],[SellingPrice]]</f>
        <v>89000</v>
      </c>
      <c r="I1488">
        <f>Table1[[#This Row],[Qty]]*Table1[[#This Row],[CostPrice]]</f>
        <v>65000</v>
      </c>
      <c r="J1488">
        <v>23832</v>
      </c>
      <c r="K1488">
        <v>167.99999999999997</v>
      </c>
      <c r="L1488" t="s">
        <v>13</v>
      </c>
      <c r="M1488" t="s">
        <v>30</v>
      </c>
      <c r="N1488">
        <f>MONTH(Table1[[#This Row],[SaleDate]])</f>
        <v>6</v>
      </c>
      <c r="O1488" t="str">
        <f>TEXT(Table1[[#This Row],[SaleDate]],"MMM")</f>
        <v>Jun</v>
      </c>
    </row>
    <row r="1489" spans="1:15">
      <c r="A1489" s="1">
        <v>45102</v>
      </c>
      <c r="B1489" t="s">
        <v>23</v>
      </c>
      <c r="C1489" t="s">
        <v>19</v>
      </c>
      <c r="D1489">
        <v>1</v>
      </c>
      <c r="E1489" t="s">
        <v>7</v>
      </c>
      <c r="F1489">
        <v>33000</v>
      </c>
      <c r="G1489">
        <v>18000</v>
      </c>
      <c r="H1489">
        <f>Table1[[#This Row],[Qty]]*Table1[[#This Row],[SellingPrice]]</f>
        <v>33000</v>
      </c>
      <c r="I1489">
        <f>Table1[[#This Row],[Qty]]*Table1[[#This Row],[CostPrice]]</f>
        <v>18000</v>
      </c>
      <c r="J1489">
        <v>14895</v>
      </c>
      <c r="K1489">
        <v>104.99999999999999</v>
      </c>
      <c r="L1489" t="s">
        <v>8</v>
      </c>
      <c r="M1489" t="s">
        <v>29</v>
      </c>
      <c r="N1489">
        <f>MONTH(Table1[[#This Row],[SaleDate]])</f>
        <v>6</v>
      </c>
      <c r="O1489" t="str">
        <f>TEXT(Table1[[#This Row],[SaleDate]],"MMM")</f>
        <v>Jun</v>
      </c>
    </row>
    <row r="1490" spans="1:15">
      <c r="A1490" s="1">
        <v>45102</v>
      </c>
      <c r="B1490" t="s">
        <v>23</v>
      </c>
      <c r="C1490" t="s">
        <v>19</v>
      </c>
      <c r="D1490">
        <v>1</v>
      </c>
      <c r="E1490" t="s">
        <v>9</v>
      </c>
      <c r="F1490">
        <v>60000</v>
      </c>
      <c r="G1490">
        <v>31000</v>
      </c>
      <c r="H1490">
        <f>Table1[[#This Row],[Qty]]*Table1[[#This Row],[SellingPrice]]</f>
        <v>60000</v>
      </c>
      <c r="I1490">
        <f>Table1[[#This Row],[Qty]]*Table1[[#This Row],[CostPrice]]</f>
        <v>31000</v>
      </c>
      <c r="J1490">
        <v>28797</v>
      </c>
      <c r="K1490">
        <v>202.99999999999997</v>
      </c>
      <c r="L1490" t="s">
        <v>8</v>
      </c>
      <c r="M1490" t="s">
        <v>27</v>
      </c>
      <c r="N1490">
        <f>MONTH(Table1[[#This Row],[SaleDate]])</f>
        <v>6</v>
      </c>
      <c r="O1490" t="str">
        <f>TEXT(Table1[[#This Row],[SaleDate]],"MMM")</f>
        <v>Jun</v>
      </c>
    </row>
    <row r="1491" spans="1:15">
      <c r="A1491" s="1">
        <v>45102</v>
      </c>
      <c r="B1491" t="s">
        <v>23</v>
      </c>
      <c r="C1491" t="s">
        <v>19</v>
      </c>
      <c r="D1491">
        <v>1</v>
      </c>
      <c r="E1491" t="s">
        <v>10</v>
      </c>
      <c r="F1491">
        <v>89000</v>
      </c>
      <c r="G1491">
        <v>65000</v>
      </c>
      <c r="H1491">
        <f>Table1[[#This Row],[Qty]]*Table1[[#This Row],[SellingPrice]]</f>
        <v>89000</v>
      </c>
      <c r="I1491">
        <f>Table1[[#This Row],[Qty]]*Table1[[#This Row],[CostPrice]]</f>
        <v>65000</v>
      </c>
      <c r="J1491">
        <v>23832</v>
      </c>
      <c r="K1491">
        <v>167.99999999999997</v>
      </c>
      <c r="L1491" t="s">
        <v>8</v>
      </c>
      <c r="M1491" t="s">
        <v>30</v>
      </c>
      <c r="N1491">
        <f>MONTH(Table1[[#This Row],[SaleDate]])</f>
        <v>6</v>
      </c>
      <c r="O1491" t="str">
        <f>TEXT(Table1[[#This Row],[SaleDate]],"MMM")</f>
        <v>Jun</v>
      </c>
    </row>
    <row r="1492" spans="1:15">
      <c r="A1492" s="1">
        <v>45102</v>
      </c>
      <c r="B1492" t="s">
        <v>24</v>
      </c>
      <c r="C1492" t="s">
        <v>22</v>
      </c>
      <c r="D1492">
        <v>1</v>
      </c>
      <c r="E1492" t="s">
        <v>7</v>
      </c>
      <c r="F1492">
        <v>33000</v>
      </c>
      <c r="G1492">
        <v>18000</v>
      </c>
      <c r="H1492">
        <f>Table1[[#This Row],[Qty]]*Table1[[#This Row],[SellingPrice]]</f>
        <v>33000</v>
      </c>
      <c r="I1492">
        <f>Table1[[#This Row],[Qty]]*Table1[[#This Row],[CostPrice]]</f>
        <v>18000</v>
      </c>
      <c r="J1492">
        <v>14895</v>
      </c>
      <c r="K1492">
        <v>104.99999999999999</v>
      </c>
      <c r="L1492" t="s">
        <v>12</v>
      </c>
      <c r="M1492" t="s">
        <v>30</v>
      </c>
      <c r="N1492">
        <f>MONTH(Table1[[#This Row],[SaleDate]])</f>
        <v>6</v>
      </c>
      <c r="O1492" t="str">
        <f>TEXT(Table1[[#This Row],[SaleDate]],"MMM")</f>
        <v>Jun</v>
      </c>
    </row>
    <row r="1493" spans="1:15">
      <c r="A1493" s="1">
        <v>45102</v>
      </c>
      <c r="B1493" t="s">
        <v>24</v>
      </c>
      <c r="C1493" t="s">
        <v>22</v>
      </c>
      <c r="D1493">
        <v>1</v>
      </c>
      <c r="E1493" t="s">
        <v>9</v>
      </c>
      <c r="F1493">
        <v>60000</v>
      </c>
      <c r="G1493">
        <v>31000</v>
      </c>
      <c r="H1493">
        <f>Table1[[#This Row],[Qty]]*Table1[[#This Row],[SellingPrice]]</f>
        <v>60000</v>
      </c>
      <c r="I1493">
        <f>Table1[[#This Row],[Qty]]*Table1[[#This Row],[CostPrice]]</f>
        <v>31000</v>
      </c>
      <c r="J1493">
        <v>28797</v>
      </c>
      <c r="K1493">
        <v>202.99999999999997</v>
      </c>
      <c r="L1493" t="s">
        <v>12</v>
      </c>
      <c r="M1493" t="s">
        <v>30</v>
      </c>
      <c r="N1493">
        <f>MONTH(Table1[[#This Row],[SaleDate]])</f>
        <v>6</v>
      </c>
      <c r="O1493" t="str">
        <f>TEXT(Table1[[#This Row],[SaleDate]],"MMM")</f>
        <v>Jun</v>
      </c>
    </row>
    <row r="1494" spans="1:15">
      <c r="A1494" s="1">
        <v>45102</v>
      </c>
      <c r="B1494" t="s">
        <v>24</v>
      </c>
      <c r="C1494" t="s">
        <v>22</v>
      </c>
      <c r="D1494">
        <v>1</v>
      </c>
      <c r="E1494" t="s">
        <v>10</v>
      </c>
      <c r="F1494">
        <v>89000</v>
      </c>
      <c r="G1494">
        <v>65000</v>
      </c>
      <c r="H1494">
        <f>Table1[[#This Row],[Qty]]*Table1[[#This Row],[SellingPrice]]</f>
        <v>89000</v>
      </c>
      <c r="I1494">
        <f>Table1[[#This Row],[Qty]]*Table1[[#This Row],[CostPrice]]</f>
        <v>65000</v>
      </c>
      <c r="J1494">
        <v>23832</v>
      </c>
      <c r="K1494">
        <v>167.99999999999997</v>
      </c>
      <c r="L1494" t="s">
        <v>12</v>
      </c>
      <c r="M1494" t="s">
        <v>30</v>
      </c>
      <c r="N1494">
        <f>MONTH(Table1[[#This Row],[SaleDate]])</f>
        <v>6</v>
      </c>
      <c r="O1494" t="str">
        <f>TEXT(Table1[[#This Row],[SaleDate]],"MMM")</f>
        <v>Jun</v>
      </c>
    </row>
    <row r="1495" spans="1:15">
      <c r="A1495" s="1">
        <v>45102</v>
      </c>
      <c r="B1495" t="s">
        <v>25</v>
      </c>
      <c r="C1495" t="s">
        <v>21</v>
      </c>
      <c r="D1495">
        <v>1</v>
      </c>
      <c r="E1495" t="s">
        <v>7</v>
      </c>
      <c r="F1495">
        <v>33000</v>
      </c>
      <c r="G1495">
        <v>18000</v>
      </c>
      <c r="H1495">
        <f>Table1[[#This Row],[Qty]]*Table1[[#This Row],[SellingPrice]]</f>
        <v>33000</v>
      </c>
      <c r="I1495">
        <f>Table1[[#This Row],[Qty]]*Table1[[#This Row],[CostPrice]]</f>
        <v>18000</v>
      </c>
      <c r="J1495">
        <v>14895</v>
      </c>
      <c r="K1495">
        <v>104.99999999999999</v>
      </c>
      <c r="L1495" t="s">
        <v>13</v>
      </c>
      <c r="M1495" t="s">
        <v>29</v>
      </c>
      <c r="N1495">
        <f>MONTH(Table1[[#This Row],[SaleDate]])</f>
        <v>6</v>
      </c>
      <c r="O1495" t="str">
        <f>TEXT(Table1[[#This Row],[SaleDate]],"MMM")</f>
        <v>Jun</v>
      </c>
    </row>
    <row r="1496" spans="1:15">
      <c r="A1496" s="1">
        <v>45102</v>
      </c>
      <c r="B1496" t="s">
        <v>25</v>
      </c>
      <c r="C1496" t="s">
        <v>21</v>
      </c>
      <c r="D1496">
        <v>1</v>
      </c>
      <c r="E1496" t="s">
        <v>9</v>
      </c>
      <c r="F1496">
        <v>60000</v>
      </c>
      <c r="G1496">
        <v>31000</v>
      </c>
      <c r="H1496">
        <f>Table1[[#This Row],[Qty]]*Table1[[#This Row],[SellingPrice]]</f>
        <v>60000</v>
      </c>
      <c r="I1496">
        <f>Table1[[#This Row],[Qty]]*Table1[[#This Row],[CostPrice]]</f>
        <v>31000</v>
      </c>
      <c r="J1496">
        <v>28797</v>
      </c>
      <c r="K1496">
        <v>202.99999999999997</v>
      </c>
      <c r="L1496" t="s">
        <v>13</v>
      </c>
      <c r="M1496" t="s">
        <v>27</v>
      </c>
      <c r="N1496">
        <f>MONTH(Table1[[#This Row],[SaleDate]])</f>
        <v>6</v>
      </c>
      <c r="O1496" t="str">
        <f>TEXT(Table1[[#This Row],[SaleDate]],"MMM")</f>
        <v>Jun</v>
      </c>
    </row>
    <row r="1497" spans="1:15">
      <c r="A1497" s="1">
        <v>45102</v>
      </c>
      <c r="B1497" t="s">
        <v>25</v>
      </c>
      <c r="C1497" t="s">
        <v>21</v>
      </c>
      <c r="D1497">
        <v>1</v>
      </c>
      <c r="E1497" t="s">
        <v>10</v>
      </c>
      <c r="F1497">
        <v>89000</v>
      </c>
      <c r="G1497">
        <v>65000</v>
      </c>
      <c r="H1497">
        <f>Table1[[#This Row],[Qty]]*Table1[[#This Row],[SellingPrice]]</f>
        <v>89000</v>
      </c>
      <c r="I1497">
        <f>Table1[[#This Row],[Qty]]*Table1[[#This Row],[CostPrice]]</f>
        <v>65000</v>
      </c>
      <c r="J1497">
        <v>23832</v>
      </c>
      <c r="K1497">
        <v>167.99999999999997</v>
      </c>
      <c r="L1497" t="s">
        <v>13</v>
      </c>
      <c r="M1497" t="s">
        <v>30</v>
      </c>
      <c r="N1497">
        <f>MONTH(Table1[[#This Row],[SaleDate]])</f>
        <v>6</v>
      </c>
      <c r="O1497" t="str">
        <f>TEXT(Table1[[#This Row],[SaleDate]],"MMM")</f>
        <v>Jun</v>
      </c>
    </row>
    <row r="1498" spans="1:15">
      <c r="A1498" s="1">
        <v>45103</v>
      </c>
      <c r="B1498" t="s">
        <v>23</v>
      </c>
      <c r="C1498" t="s">
        <v>19</v>
      </c>
      <c r="D1498">
        <v>2</v>
      </c>
      <c r="E1498" t="s">
        <v>7</v>
      </c>
      <c r="F1498">
        <v>33000</v>
      </c>
      <c r="G1498">
        <v>18000</v>
      </c>
      <c r="H1498">
        <f>Table1[[#This Row],[Qty]]*Table1[[#This Row],[SellingPrice]]</f>
        <v>66000</v>
      </c>
      <c r="I1498">
        <f>Table1[[#This Row],[Qty]]*Table1[[#This Row],[CostPrice]]</f>
        <v>36000</v>
      </c>
      <c r="J1498">
        <v>29790</v>
      </c>
      <c r="K1498">
        <v>209.99999999999997</v>
      </c>
      <c r="L1498" t="s">
        <v>8</v>
      </c>
      <c r="M1498" t="s">
        <v>30</v>
      </c>
      <c r="N1498">
        <f>MONTH(Table1[[#This Row],[SaleDate]])</f>
        <v>6</v>
      </c>
      <c r="O1498" t="str">
        <f>TEXT(Table1[[#This Row],[SaleDate]],"MMM")</f>
        <v>Jun</v>
      </c>
    </row>
    <row r="1499" spans="1:15">
      <c r="A1499" s="1">
        <v>45103</v>
      </c>
      <c r="B1499" t="s">
        <v>23</v>
      </c>
      <c r="C1499" t="s">
        <v>19</v>
      </c>
      <c r="D1499">
        <v>2</v>
      </c>
      <c r="E1499" t="s">
        <v>9</v>
      </c>
      <c r="F1499">
        <v>60000</v>
      </c>
      <c r="G1499">
        <v>31000</v>
      </c>
      <c r="H1499">
        <f>Table1[[#This Row],[Qty]]*Table1[[#This Row],[SellingPrice]]</f>
        <v>120000</v>
      </c>
      <c r="I1499">
        <f>Table1[[#This Row],[Qty]]*Table1[[#This Row],[CostPrice]]</f>
        <v>62000</v>
      </c>
      <c r="J1499">
        <v>57594</v>
      </c>
      <c r="K1499">
        <v>405.99999999999994</v>
      </c>
      <c r="L1499" t="s">
        <v>8</v>
      </c>
      <c r="M1499" t="s">
        <v>27</v>
      </c>
      <c r="N1499">
        <f>MONTH(Table1[[#This Row],[SaleDate]])</f>
        <v>6</v>
      </c>
      <c r="O1499" t="str">
        <f>TEXT(Table1[[#This Row],[SaleDate]],"MMM")</f>
        <v>Jun</v>
      </c>
    </row>
    <row r="1500" spans="1:15">
      <c r="A1500" s="1">
        <v>45103</v>
      </c>
      <c r="B1500" t="s">
        <v>23</v>
      </c>
      <c r="C1500" t="s">
        <v>19</v>
      </c>
      <c r="D1500">
        <v>2</v>
      </c>
      <c r="E1500" t="s">
        <v>10</v>
      </c>
      <c r="F1500">
        <v>89000</v>
      </c>
      <c r="G1500">
        <v>65000</v>
      </c>
      <c r="H1500">
        <f>Table1[[#This Row],[Qty]]*Table1[[#This Row],[SellingPrice]]</f>
        <v>178000</v>
      </c>
      <c r="I1500">
        <f>Table1[[#This Row],[Qty]]*Table1[[#This Row],[CostPrice]]</f>
        <v>130000</v>
      </c>
      <c r="J1500">
        <v>47664</v>
      </c>
      <c r="K1500">
        <v>335.99999999999994</v>
      </c>
      <c r="L1500" t="s">
        <v>8</v>
      </c>
      <c r="M1500" t="s">
        <v>27</v>
      </c>
      <c r="N1500">
        <f>MONTH(Table1[[#This Row],[SaleDate]])</f>
        <v>6</v>
      </c>
      <c r="O1500" t="str">
        <f>TEXT(Table1[[#This Row],[SaleDate]],"MMM")</f>
        <v>Jun</v>
      </c>
    </row>
    <row r="1501" spans="1:15">
      <c r="A1501" s="1">
        <v>45103</v>
      </c>
      <c r="B1501" t="s">
        <v>24</v>
      </c>
      <c r="C1501" t="s">
        <v>22</v>
      </c>
      <c r="D1501">
        <v>2</v>
      </c>
      <c r="E1501" t="s">
        <v>7</v>
      </c>
      <c r="F1501">
        <v>33000</v>
      </c>
      <c r="G1501">
        <v>18000</v>
      </c>
      <c r="H1501">
        <f>Table1[[#This Row],[Qty]]*Table1[[#This Row],[SellingPrice]]</f>
        <v>66000</v>
      </c>
      <c r="I1501">
        <f>Table1[[#This Row],[Qty]]*Table1[[#This Row],[CostPrice]]</f>
        <v>36000</v>
      </c>
      <c r="J1501">
        <v>29790</v>
      </c>
      <c r="K1501">
        <v>209.99999999999997</v>
      </c>
      <c r="L1501" t="s">
        <v>12</v>
      </c>
      <c r="M1501" t="s">
        <v>27</v>
      </c>
      <c r="N1501">
        <f>MONTH(Table1[[#This Row],[SaleDate]])</f>
        <v>6</v>
      </c>
      <c r="O1501" t="str">
        <f>TEXT(Table1[[#This Row],[SaleDate]],"MMM")</f>
        <v>Jun</v>
      </c>
    </row>
    <row r="1502" spans="1:15">
      <c r="A1502" s="1">
        <v>45103</v>
      </c>
      <c r="B1502" t="s">
        <v>24</v>
      </c>
      <c r="C1502" t="s">
        <v>22</v>
      </c>
      <c r="D1502">
        <v>2</v>
      </c>
      <c r="E1502" t="s">
        <v>9</v>
      </c>
      <c r="F1502">
        <v>60000</v>
      </c>
      <c r="G1502">
        <v>31000</v>
      </c>
      <c r="H1502">
        <f>Table1[[#This Row],[Qty]]*Table1[[#This Row],[SellingPrice]]</f>
        <v>120000</v>
      </c>
      <c r="I1502">
        <f>Table1[[#This Row],[Qty]]*Table1[[#This Row],[CostPrice]]</f>
        <v>62000</v>
      </c>
      <c r="J1502">
        <v>57594</v>
      </c>
      <c r="K1502">
        <v>405.99999999999994</v>
      </c>
      <c r="L1502" t="s">
        <v>12</v>
      </c>
      <c r="M1502" t="s">
        <v>27</v>
      </c>
      <c r="N1502">
        <f>MONTH(Table1[[#This Row],[SaleDate]])</f>
        <v>6</v>
      </c>
      <c r="O1502" t="str">
        <f>TEXT(Table1[[#This Row],[SaleDate]],"MMM")</f>
        <v>Jun</v>
      </c>
    </row>
    <row r="1503" spans="1:15">
      <c r="A1503" s="1">
        <v>45103</v>
      </c>
      <c r="B1503" t="s">
        <v>24</v>
      </c>
      <c r="C1503" t="s">
        <v>22</v>
      </c>
      <c r="D1503">
        <v>2</v>
      </c>
      <c r="E1503" t="s">
        <v>10</v>
      </c>
      <c r="F1503">
        <v>89000</v>
      </c>
      <c r="G1503">
        <v>65000</v>
      </c>
      <c r="H1503">
        <f>Table1[[#This Row],[Qty]]*Table1[[#This Row],[SellingPrice]]</f>
        <v>178000</v>
      </c>
      <c r="I1503">
        <f>Table1[[#This Row],[Qty]]*Table1[[#This Row],[CostPrice]]</f>
        <v>130000</v>
      </c>
      <c r="J1503">
        <v>47664</v>
      </c>
      <c r="K1503">
        <v>335.99999999999994</v>
      </c>
      <c r="L1503" t="s">
        <v>12</v>
      </c>
      <c r="M1503" t="s">
        <v>30</v>
      </c>
      <c r="N1503">
        <f>MONTH(Table1[[#This Row],[SaleDate]])</f>
        <v>6</v>
      </c>
      <c r="O1503" t="str">
        <f>TEXT(Table1[[#This Row],[SaleDate]],"MMM")</f>
        <v>Jun</v>
      </c>
    </row>
    <row r="1504" spans="1:15">
      <c r="A1504" s="1">
        <v>45103</v>
      </c>
      <c r="B1504" t="s">
        <v>25</v>
      </c>
      <c r="C1504" t="s">
        <v>21</v>
      </c>
      <c r="D1504">
        <v>2</v>
      </c>
      <c r="E1504" t="s">
        <v>7</v>
      </c>
      <c r="F1504">
        <v>33000</v>
      </c>
      <c r="G1504">
        <v>18000</v>
      </c>
      <c r="H1504">
        <f>Table1[[#This Row],[Qty]]*Table1[[#This Row],[SellingPrice]]</f>
        <v>66000</v>
      </c>
      <c r="I1504">
        <f>Table1[[#This Row],[Qty]]*Table1[[#This Row],[CostPrice]]</f>
        <v>36000</v>
      </c>
      <c r="J1504">
        <v>29790</v>
      </c>
      <c r="K1504">
        <v>209.99999999999997</v>
      </c>
      <c r="L1504" t="s">
        <v>13</v>
      </c>
      <c r="M1504" t="s">
        <v>30</v>
      </c>
      <c r="N1504">
        <f>MONTH(Table1[[#This Row],[SaleDate]])</f>
        <v>6</v>
      </c>
      <c r="O1504" t="str">
        <f>TEXT(Table1[[#This Row],[SaleDate]],"MMM")</f>
        <v>Jun</v>
      </c>
    </row>
    <row r="1505" spans="1:15">
      <c r="A1505" s="1">
        <v>45103</v>
      </c>
      <c r="B1505" t="s">
        <v>25</v>
      </c>
      <c r="C1505" t="s">
        <v>21</v>
      </c>
      <c r="D1505">
        <v>2</v>
      </c>
      <c r="E1505" t="s">
        <v>9</v>
      </c>
      <c r="F1505">
        <v>60000</v>
      </c>
      <c r="G1505">
        <v>31000</v>
      </c>
      <c r="H1505">
        <f>Table1[[#This Row],[Qty]]*Table1[[#This Row],[SellingPrice]]</f>
        <v>120000</v>
      </c>
      <c r="I1505">
        <f>Table1[[#This Row],[Qty]]*Table1[[#This Row],[CostPrice]]</f>
        <v>62000</v>
      </c>
      <c r="J1505">
        <v>57594</v>
      </c>
      <c r="K1505">
        <v>405.99999999999994</v>
      </c>
      <c r="L1505" t="s">
        <v>13</v>
      </c>
      <c r="M1505" t="s">
        <v>27</v>
      </c>
      <c r="N1505">
        <f>MONTH(Table1[[#This Row],[SaleDate]])</f>
        <v>6</v>
      </c>
      <c r="O1505" t="str">
        <f>TEXT(Table1[[#This Row],[SaleDate]],"MMM")</f>
        <v>Jun</v>
      </c>
    </row>
    <row r="1506" spans="1:15">
      <c r="A1506" s="1">
        <v>45103</v>
      </c>
      <c r="B1506" t="s">
        <v>25</v>
      </c>
      <c r="C1506" t="s">
        <v>21</v>
      </c>
      <c r="D1506">
        <v>2</v>
      </c>
      <c r="E1506" t="s">
        <v>10</v>
      </c>
      <c r="F1506">
        <v>89000</v>
      </c>
      <c r="G1506">
        <v>65000</v>
      </c>
      <c r="H1506">
        <f>Table1[[#This Row],[Qty]]*Table1[[#This Row],[SellingPrice]]</f>
        <v>178000</v>
      </c>
      <c r="I1506">
        <f>Table1[[#This Row],[Qty]]*Table1[[#This Row],[CostPrice]]</f>
        <v>130000</v>
      </c>
      <c r="J1506">
        <v>47664</v>
      </c>
      <c r="K1506">
        <v>335.99999999999994</v>
      </c>
      <c r="L1506" t="s">
        <v>13</v>
      </c>
      <c r="M1506" t="s">
        <v>30</v>
      </c>
      <c r="N1506">
        <f>MONTH(Table1[[#This Row],[SaleDate]])</f>
        <v>6</v>
      </c>
      <c r="O1506" t="str">
        <f>TEXT(Table1[[#This Row],[SaleDate]],"MMM")</f>
        <v>Jun</v>
      </c>
    </row>
    <row r="1507" spans="1:15">
      <c r="A1507" s="1">
        <v>45104</v>
      </c>
      <c r="B1507" t="s">
        <v>23</v>
      </c>
      <c r="C1507" t="s">
        <v>19</v>
      </c>
      <c r="D1507">
        <v>1</v>
      </c>
      <c r="E1507" t="s">
        <v>7</v>
      </c>
      <c r="F1507">
        <v>33000</v>
      </c>
      <c r="G1507">
        <v>18000</v>
      </c>
      <c r="H1507">
        <f>Table1[[#This Row],[Qty]]*Table1[[#This Row],[SellingPrice]]</f>
        <v>33000</v>
      </c>
      <c r="I1507">
        <f>Table1[[#This Row],[Qty]]*Table1[[#This Row],[CostPrice]]</f>
        <v>18000</v>
      </c>
      <c r="J1507">
        <v>14895</v>
      </c>
      <c r="K1507">
        <v>104.99999999999999</v>
      </c>
      <c r="L1507" t="s">
        <v>8</v>
      </c>
      <c r="M1507" t="s">
        <v>30</v>
      </c>
      <c r="N1507">
        <f>MONTH(Table1[[#This Row],[SaleDate]])</f>
        <v>6</v>
      </c>
      <c r="O1507" t="str">
        <f>TEXT(Table1[[#This Row],[SaleDate]],"MMM")</f>
        <v>Jun</v>
      </c>
    </row>
    <row r="1508" spans="1:15">
      <c r="A1508" s="1">
        <v>45104</v>
      </c>
      <c r="B1508" t="s">
        <v>23</v>
      </c>
      <c r="C1508" t="s">
        <v>19</v>
      </c>
      <c r="D1508">
        <v>1</v>
      </c>
      <c r="E1508" t="s">
        <v>9</v>
      </c>
      <c r="F1508">
        <v>60000</v>
      </c>
      <c r="G1508">
        <v>31000</v>
      </c>
      <c r="H1508">
        <f>Table1[[#This Row],[Qty]]*Table1[[#This Row],[SellingPrice]]</f>
        <v>60000</v>
      </c>
      <c r="I1508">
        <f>Table1[[#This Row],[Qty]]*Table1[[#This Row],[CostPrice]]</f>
        <v>31000</v>
      </c>
      <c r="J1508">
        <v>28797</v>
      </c>
      <c r="K1508">
        <v>202.99999999999997</v>
      </c>
      <c r="L1508" t="s">
        <v>8</v>
      </c>
      <c r="M1508" t="s">
        <v>30</v>
      </c>
      <c r="N1508">
        <f>MONTH(Table1[[#This Row],[SaleDate]])</f>
        <v>6</v>
      </c>
      <c r="O1508" t="str">
        <f>TEXT(Table1[[#This Row],[SaleDate]],"MMM")</f>
        <v>Jun</v>
      </c>
    </row>
    <row r="1509" spans="1:15">
      <c r="A1509" s="1">
        <v>45104</v>
      </c>
      <c r="B1509" t="s">
        <v>23</v>
      </c>
      <c r="C1509" t="s">
        <v>19</v>
      </c>
      <c r="D1509">
        <v>1</v>
      </c>
      <c r="E1509" t="s">
        <v>10</v>
      </c>
      <c r="F1509">
        <v>89000</v>
      </c>
      <c r="G1509">
        <v>65000</v>
      </c>
      <c r="H1509">
        <f>Table1[[#This Row],[Qty]]*Table1[[#This Row],[SellingPrice]]</f>
        <v>89000</v>
      </c>
      <c r="I1509">
        <f>Table1[[#This Row],[Qty]]*Table1[[#This Row],[CostPrice]]</f>
        <v>65000</v>
      </c>
      <c r="J1509">
        <v>23832</v>
      </c>
      <c r="K1509">
        <v>167.99999999999997</v>
      </c>
      <c r="L1509" t="s">
        <v>8</v>
      </c>
      <c r="M1509" t="s">
        <v>27</v>
      </c>
      <c r="N1509">
        <f>MONTH(Table1[[#This Row],[SaleDate]])</f>
        <v>6</v>
      </c>
      <c r="O1509" t="str">
        <f>TEXT(Table1[[#This Row],[SaleDate]],"MMM")</f>
        <v>Jun</v>
      </c>
    </row>
    <row r="1510" spans="1:15">
      <c r="A1510" s="1">
        <v>45104</v>
      </c>
      <c r="B1510" t="s">
        <v>26</v>
      </c>
      <c r="C1510" t="s">
        <v>20</v>
      </c>
      <c r="D1510">
        <v>1</v>
      </c>
      <c r="E1510" t="s">
        <v>7</v>
      </c>
      <c r="F1510">
        <v>33000</v>
      </c>
      <c r="G1510">
        <v>18000</v>
      </c>
      <c r="H1510">
        <f>Table1[[#This Row],[Qty]]*Table1[[#This Row],[SellingPrice]]</f>
        <v>33000</v>
      </c>
      <c r="I1510">
        <f>Table1[[#This Row],[Qty]]*Table1[[#This Row],[CostPrice]]</f>
        <v>18000</v>
      </c>
      <c r="J1510">
        <v>14895</v>
      </c>
      <c r="K1510">
        <v>104.99999999999999</v>
      </c>
      <c r="L1510" t="s">
        <v>11</v>
      </c>
      <c r="M1510" t="s">
        <v>30</v>
      </c>
      <c r="N1510">
        <f>MONTH(Table1[[#This Row],[SaleDate]])</f>
        <v>6</v>
      </c>
      <c r="O1510" t="str">
        <f>TEXT(Table1[[#This Row],[SaleDate]],"MMM")</f>
        <v>Jun</v>
      </c>
    </row>
    <row r="1511" spans="1:15">
      <c r="A1511" s="1">
        <v>45104</v>
      </c>
      <c r="B1511" t="s">
        <v>24</v>
      </c>
      <c r="C1511" t="s">
        <v>22</v>
      </c>
      <c r="D1511">
        <v>1</v>
      </c>
      <c r="E1511" t="s">
        <v>7</v>
      </c>
      <c r="F1511">
        <v>33000</v>
      </c>
      <c r="G1511">
        <v>18000</v>
      </c>
      <c r="H1511">
        <f>Table1[[#This Row],[Qty]]*Table1[[#This Row],[SellingPrice]]</f>
        <v>33000</v>
      </c>
      <c r="I1511">
        <f>Table1[[#This Row],[Qty]]*Table1[[#This Row],[CostPrice]]</f>
        <v>18000</v>
      </c>
      <c r="J1511">
        <v>14895</v>
      </c>
      <c r="K1511">
        <v>104.99999999999999</v>
      </c>
      <c r="L1511" t="s">
        <v>12</v>
      </c>
      <c r="M1511" t="s">
        <v>28</v>
      </c>
      <c r="N1511">
        <f>MONTH(Table1[[#This Row],[SaleDate]])</f>
        <v>6</v>
      </c>
      <c r="O1511" t="str">
        <f>TEXT(Table1[[#This Row],[SaleDate]],"MMM")</f>
        <v>Jun</v>
      </c>
    </row>
    <row r="1512" spans="1:15">
      <c r="A1512" s="1">
        <v>45104</v>
      </c>
      <c r="B1512" t="s">
        <v>24</v>
      </c>
      <c r="C1512" t="s">
        <v>22</v>
      </c>
      <c r="D1512">
        <v>1</v>
      </c>
      <c r="E1512" t="s">
        <v>9</v>
      </c>
      <c r="F1512">
        <v>60000</v>
      </c>
      <c r="G1512">
        <v>31000</v>
      </c>
      <c r="H1512">
        <f>Table1[[#This Row],[Qty]]*Table1[[#This Row],[SellingPrice]]</f>
        <v>60000</v>
      </c>
      <c r="I1512">
        <f>Table1[[#This Row],[Qty]]*Table1[[#This Row],[CostPrice]]</f>
        <v>31000</v>
      </c>
      <c r="J1512">
        <v>28797</v>
      </c>
      <c r="K1512">
        <v>202.99999999999997</v>
      </c>
      <c r="L1512" t="s">
        <v>12</v>
      </c>
      <c r="M1512" t="s">
        <v>29</v>
      </c>
      <c r="N1512">
        <f>MONTH(Table1[[#This Row],[SaleDate]])</f>
        <v>6</v>
      </c>
      <c r="O1512" t="str">
        <f>TEXT(Table1[[#This Row],[SaleDate]],"MMM")</f>
        <v>Jun</v>
      </c>
    </row>
    <row r="1513" spans="1:15">
      <c r="A1513" s="1">
        <v>45104</v>
      </c>
      <c r="B1513" t="s">
        <v>24</v>
      </c>
      <c r="C1513" t="s">
        <v>22</v>
      </c>
      <c r="D1513">
        <v>1</v>
      </c>
      <c r="E1513" t="s">
        <v>10</v>
      </c>
      <c r="F1513">
        <v>89000</v>
      </c>
      <c r="G1513">
        <v>65000</v>
      </c>
      <c r="H1513">
        <f>Table1[[#This Row],[Qty]]*Table1[[#This Row],[SellingPrice]]</f>
        <v>89000</v>
      </c>
      <c r="I1513">
        <f>Table1[[#This Row],[Qty]]*Table1[[#This Row],[CostPrice]]</f>
        <v>65000</v>
      </c>
      <c r="J1513">
        <v>23832</v>
      </c>
      <c r="K1513">
        <v>167.99999999999997</v>
      </c>
      <c r="L1513" t="s">
        <v>12</v>
      </c>
      <c r="M1513" t="s">
        <v>29</v>
      </c>
      <c r="N1513">
        <f>MONTH(Table1[[#This Row],[SaleDate]])</f>
        <v>6</v>
      </c>
      <c r="O1513" t="str">
        <f>TEXT(Table1[[#This Row],[SaleDate]],"MMM")</f>
        <v>Jun</v>
      </c>
    </row>
    <row r="1514" spans="1:15">
      <c r="A1514" s="1">
        <v>45104</v>
      </c>
      <c r="B1514" t="s">
        <v>25</v>
      </c>
      <c r="C1514" t="s">
        <v>21</v>
      </c>
      <c r="D1514">
        <v>1</v>
      </c>
      <c r="E1514" t="s">
        <v>7</v>
      </c>
      <c r="F1514">
        <v>33000</v>
      </c>
      <c r="G1514">
        <v>18000</v>
      </c>
      <c r="H1514">
        <f>Table1[[#This Row],[Qty]]*Table1[[#This Row],[SellingPrice]]</f>
        <v>33000</v>
      </c>
      <c r="I1514">
        <f>Table1[[#This Row],[Qty]]*Table1[[#This Row],[CostPrice]]</f>
        <v>18000</v>
      </c>
      <c r="J1514">
        <v>14895</v>
      </c>
      <c r="K1514">
        <v>104.99999999999999</v>
      </c>
      <c r="L1514" t="s">
        <v>13</v>
      </c>
      <c r="M1514" t="s">
        <v>27</v>
      </c>
      <c r="N1514">
        <f>MONTH(Table1[[#This Row],[SaleDate]])</f>
        <v>6</v>
      </c>
      <c r="O1514" t="str">
        <f>TEXT(Table1[[#This Row],[SaleDate]],"MMM")</f>
        <v>Jun</v>
      </c>
    </row>
    <row r="1515" spans="1:15">
      <c r="A1515" s="1">
        <v>45104</v>
      </c>
      <c r="B1515" t="s">
        <v>25</v>
      </c>
      <c r="C1515" t="s">
        <v>21</v>
      </c>
      <c r="D1515">
        <v>1</v>
      </c>
      <c r="E1515" t="s">
        <v>9</v>
      </c>
      <c r="F1515">
        <v>60000</v>
      </c>
      <c r="G1515">
        <v>31000</v>
      </c>
      <c r="H1515">
        <f>Table1[[#This Row],[Qty]]*Table1[[#This Row],[SellingPrice]]</f>
        <v>60000</v>
      </c>
      <c r="I1515">
        <f>Table1[[#This Row],[Qty]]*Table1[[#This Row],[CostPrice]]</f>
        <v>31000</v>
      </c>
      <c r="J1515">
        <v>28797</v>
      </c>
      <c r="K1515">
        <v>202.99999999999997</v>
      </c>
      <c r="L1515" t="s">
        <v>13</v>
      </c>
      <c r="M1515" t="s">
        <v>28</v>
      </c>
      <c r="N1515">
        <f>MONTH(Table1[[#This Row],[SaleDate]])</f>
        <v>6</v>
      </c>
      <c r="O1515" t="str">
        <f>TEXT(Table1[[#This Row],[SaleDate]],"MMM")</f>
        <v>Jun</v>
      </c>
    </row>
    <row r="1516" spans="1:15">
      <c r="A1516" s="1">
        <v>45104</v>
      </c>
      <c r="B1516" t="s">
        <v>25</v>
      </c>
      <c r="C1516" t="s">
        <v>21</v>
      </c>
      <c r="D1516">
        <v>1</v>
      </c>
      <c r="E1516" t="s">
        <v>10</v>
      </c>
      <c r="F1516">
        <v>89000</v>
      </c>
      <c r="G1516">
        <v>65000</v>
      </c>
      <c r="H1516">
        <f>Table1[[#This Row],[Qty]]*Table1[[#This Row],[SellingPrice]]</f>
        <v>89000</v>
      </c>
      <c r="I1516">
        <f>Table1[[#This Row],[Qty]]*Table1[[#This Row],[CostPrice]]</f>
        <v>65000</v>
      </c>
      <c r="J1516">
        <v>23832</v>
      </c>
      <c r="K1516">
        <v>167.99999999999997</v>
      </c>
      <c r="L1516" t="s">
        <v>13</v>
      </c>
      <c r="M1516" t="s">
        <v>30</v>
      </c>
      <c r="N1516">
        <f>MONTH(Table1[[#This Row],[SaleDate]])</f>
        <v>6</v>
      </c>
      <c r="O1516" t="str">
        <f>TEXT(Table1[[#This Row],[SaleDate]],"MMM")</f>
        <v>Jun</v>
      </c>
    </row>
    <row r="1517" spans="1:15">
      <c r="A1517" s="1">
        <v>45105</v>
      </c>
      <c r="B1517" t="s">
        <v>23</v>
      </c>
      <c r="C1517" t="s">
        <v>19</v>
      </c>
      <c r="D1517">
        <v>1</v>
      </c>
      <c r="E1517" t="s">
        <v>7</v>
      </c>
      <c r="F1517">
        <v>33000</v>
      </c>
      <c r="G1517">
        <v>18000</v>
      </c>
      <c r="H1517">
        <f>Table1[[#This Row],[Qty]]*Table1[[#This Row],[SellingPrice]]</f>
        <v>33000</v>
      </c>
      <c r="I1517">
        <f>Table1[[#This Row],[Qty]]*Table1[[#This Row],[CostPrice]]</f>
        <v>18000</v>
      </c>
      <c r="J1517">
        <v>14895</v>
      </c>
      <c r="K1517">
        <v>104.99999999999999</v>
      </c>
      <c r="L1517" t="s">
        <v>8</v>
      </c>
      <c r="M1517" t="s">
        <v>30</v>
      </c>
      <c r="N1517">
        <f>MONTH(Table1[[#This Row],[SaleDate]])</f>
        <v>6</v>
      </c>
      <c r="O1517" t="str">
        <f>TEXT(Table1[[#This Row],[SaleDate]],"MMM")</f>
        <v>Jun</v>
      </c>
    </row>
    <row r="1518" spans="1:15">
      <c r="A1518" s="1">
        <v>45105</v>
      </c>
      <c r="B1518" t="s">
        <v>23</v>
      </c>
      <c r="C1518" t="s">
        <v>19</v>
      </c>
      <c r="D1518">
        <v>1</v>
      </c>
      <c r="E1518" t="s">
        <v>9</v>
      </c>
      <c r="F1518">
        <v>60000</v>
      </c>
      <c r="G1518">
        <v>31000</v>
      </c>
      <c r="H1518">
        <f>Table1[[#This Row],[Qty]]*Table1[[#This Row],[SellingPrice]]</f>
        <v>60000</v>
      </c>
      <c r="I1518">
        <f>Table1[[#This Row],[Qty]]*Table1[[#This Row],[CostPrice]]</f>
        <v>31000</v>
      </c>
      <c r="J1518">
        <v>28797</v>
      </c>
      <c r="K1518">
        <v>202.99999999999997</v>
      </c>
      <c r="L1518" t="s">
        <v>8</v>
      </c>
      <c r="M1518" t="s">
        <v>28</v>
      </c>
      <c r="N1518">
        <f>MONTH(Table1[[#This Row],[SaleDate]])</f>
        <v>6</v>
      </c>
      <c r="O1518" t="str">
        <f>TEXT(Table1[[#This Row],[SaleDate]],"MMM")</f>
        <v>Jun</v>
      </c>
    </row>
    <row r="1519" spans="1:15">
      <c r="A1519" s="1">
        <v>45105</v>
      </c>
      <c r="B1519" t="s">
        <v>23</v>
      </c>
      <c r="C1519" t="s">
        <v>19</v>
      </c>
      <c r="D1519">
        <v>1</v>
      </c>
      <c r="E1519" t="s">
        <v>10</v>
      </c>
      <c r="F1519">
        <v>89000</v>
      </c>
      <c r="G1519">
        <v>65000</v>
      </c>
      <c r="H1519">
        <f>Table1[[#This Row],[Qty]]*Table1[[#This Row],[SellingPrice]]</f>
        <v>89000</v>
      </c>
      <c r="I1519">
        <f>Table1[[#This Row],[Qty]]*Table1[[#This Row],[CostPrice]]</f>
        <v>65000</v>
      </c>
      <c r="J1519">
        <v>23832</v>
      </c>
      <c r="K1519">
        <v>167.99999999999997</v>
      </c>
      <c r="L1519" t="s">
        <v>8</v>
      </c>
      <c r="M1519" t="s">
        <v>28</v>
      </c>
      <c r="N1519">
        <f>MONTH(Table1[[#This Row],[SaleDate]])</f>
        <v>6</v>
      </c>
      <c r="O1519" t="str">
        <f>TEXT(Table1[[#This Row],[SaleDate]],"MMM")</f>
        <v>Jun</v>
      </c>
    </row>
    <row r="1520" spans="1:15">
      <c r="A1520" s="1">
        <v>45105</v>
      </c>
      <c r="B1520" t="s">
        <v>26</v>
      </c>
      <c r="C1520" t="s">
        <v>20</v>
      </c>
      <c r="D1520">
        <v>1</v>
      </c>
      <c r="E1520" t="s">
        <v>7</v>
      </c>
      <c r="F1520">
        <v>33000</v>
      </c>
      <c r="G1520">
        <v>18000</v>
      </c>
      <c r="H1520">
        <f>Table1[[#This Row],[Qty]]*Table1[[#This Row],[SellingPrice]]</f>
        <v>33000</v>
      </c>
      <c r="I1520">
        <f>Table1[[#This Row],[Qty]]*Table1[[#This Row],[CostPrice]]</f>
        <v>18000</v>
      </c>
      <c r="J1520">
        <v>14895</v>
      </c>
      <c r="K1520">
        <v>104.99999999999999</v>
      </c>
      <c r="L1520" t="s">
        <v>11</v>
      </c>
      <c r="M1520" t="s">
        <v>27</v>
      </c>
      <c r="N1520">
        <f>MONTH(Table1[[#This Row],[SaleDate]])</f>
        <v>6</v>
      </c>
      <c r="O1520" t="str">
        <f>TEXT(Table1[[#This Row],[SaleDate]],"MMM")</f>
        <v>Jun</v>
      </c>
    </row>
    <row r="1521" spans="1:15">
      <c r="A1521" s="1">
        <v>45105</v>
      </c>
      <c r="B1521" t="s">
        <v>24</v>
      </c>
      <c r="C1521" t="s">
        <v>22</v>
      </c>
      <c r="D1521">
        <v>1</v>
      </c>
      <c r="E1521" t="s">
        <v>7</v>
      </c>
      <c r="F1521">
        <v>33000</v>
      </c>
      <c r="G1521">
        <v>18000</v>
      </c>
      <c r="H1521">
        <f>Table1[[#This Row],[Qty]]*Table1[[#This Row],[SellingPrice]]</f>
        <v>33000</v>
      </c>
      <c r="I1521">
        <f>Table1[[#This Row],[Qty]]*Table1[[#This Row],[CostPrice]]</f>
        <v>18000</v>
      </c>
      <c r="J1521">
        <v>14895</v>
      </c>
      <c r="K1521">
        <v>104.99999999999999</v>
      </c>
      <c r="L1521" t="s">
        <v>12</v>
      </c>
      <c r="M1521" t="s">
        <v>30</v>
      </c>
      <c r="N1521">
        <f>MONTH(Table1[[#This Row],[SaleDate]])</f>
        <v>6</v>
      </c>
      <c r="O1521" t="str">
        <f>TEXT(Table1[[#This Row],[SaleDate]],"MMM")</f>
        <v>Jun</v>
      </c>
    </row>
    <row r="1522" spans="1:15">
      <c r="A1522" s="1">
        <v>45105</v>
      </c>
      <c r="B1522" t="s">
        <v>24</v>
      </c>
      <c r="C1522" t="s">
        <v>22</v>
      </c>
      <c r="D1522">
        <v>1</v>
      </c>
      <c r="E1522" t="s">
        <v>9</v>
      </c>
      <c r="F1522">
        <v>60000</v>
      </c>
      <c r="G1522">
        <v>31000</v>
      </c>
      <c r="H1522">
        <f>Table1[[#This Row],[Qty]]*Table1[[#This Row],[SellingPrice]]</f>
        <v>60000</v>
      </c>
      <c r="I1522">
        <f>Table1[[#This Row],[Qty]]*Table1[[#This Row],[CostPrice]]</f>
        <v>31000</v>
      </c>
      <c r="J1522">
        <v>28797</v>
      </c>
      <c r="K1522">
        <v>202.99999999999997</v>
      </c>
      <c r="L1522" t="s">
        <v>12</v>
      </c>
      <c r="M1522" t="s">
        <v>27</v>
      </c>
      <c r="N1522">
        <f>MONTH(Table1[[#This Row],[SaleDate]])</f>
        <v>6</v>
      </c>
      <c r="O1522" t="str">
        <f>TEXT(Table1[[#This Row],[SaleDate]],"MMM")</f>
        <v>Jun</v>
      </c>
    </row>
    <row r="1523" spans="1:15">
      <c r="A1523" s="1">
        <v>45105</v>
      </c>
      <c r="B1523" t="s">
        <v>24</v>
      </c>
      <c r="C1523" t="s">
        <v>22</v>
      </c>
      <c r="D1523">
        <v>1</v>
      </c>
      <c r="E1523" t="s">
        <v>10</v>
      </c>
      <c r="F1523">
        <v>89000</v>
      </c>
      <c r="G1523">
        <v>65000</v>
      </c>
      <c r="H1523">
        <f>Table1[[#This Row],[Qty]]*Table1[[#This Row],[SellingPrice]]</f>
        <v>89000</v>
      </c>
      <c r="I1523">
        <f>Table1[[#This Row],[Qty]]*Table1[[#This Row],[CostPrice]]</f>
        <v>65000</v>
      </c>
      <c r="J1523">
        <v>23832</v>
      </c>
      <c r="K1523">
        <v>167.99999999999997</v>
      </c>
      <c r="L1523" t="s">
        <v>12</v>
      </c>
      <c r="M1523" t="s">
        <v>29</v>
      </c>
      <c r="N1523">
        <f>MONTH(Table1[[#This Row],[SaleDate]])</f>
        <v>6</v>
      </c>
      <c r="O1523" t="str">
        <f>TEXT(Table1[[#This Row],[SaleDate]],"MMM")</f>
        <v>Jun</v>
      </c>
    </row>
    <row r="1524" spans="1:15">
      <c r="A1524" s="1">
        <v>45105</v>
      </c>
      <c r="B1524" t="s">
        <v>25</v>
      </c>
      <c r="C1524" t="s">
        <v>21</v>
      </c>
      <c r="D1524">
        <v>1</v>
      </c>
      <c r="E1524" t="s">
        <v>7</v>
      </c>
      <c r="F1524">
        <v>33000</v>
      </c>
      <c r="G1524">
        <v>18000</v>
      </c>
      <c r="H1524">
        <f>Table1[[#This Row],[Qty]]*Table1[[#This Row],[SellingPrice]]</f>
        <v>33000</v>
      </c>
      <c r="I1524">
        <f>Table1[[#This Row],[Qty]]*Table1[[#This Row],[CostPrice]]</f>
        <v>18000</v>
      </c>
      <c r="J1524">
        <v>14895</v>
      </c>
      <c r="K1524">
        <v>104.99999999999999</v>
      </c>
      <c r="L1524" t="s">
        <v>13</v>
      </c>
      <c r="M1524" t="s">
        <v>30</v>
      </c>
      <c r="N1524">
        <f>MONTH(Table1[[#This Row],[SaleDate]])</f>
        <v>6</v>
      </c>
      <c r="O1524" t="str">
        <f>TEXT(Table1[[#This Row],[SaleDate]],"MMM")</f>
        <v>Jun</v>
      </c>
    </row>
    <row r="1525" spans="1:15">
      <c r="A1525" s="1">
        <v>45105</v>
      </c>
      <c r="B1525" t="s">
        <v>25</v>
      </c>
      <c r="C1525" t="s">
        <v>21</v>
      </c>
      <c r="D1525">
        <v>1</v>
      </c>
      <c r="E1525" t="s">
        <v>9</v>
      </c>
      <c r="F1525">
        <v>60000</v>
      </c>
      <c r="G1525">
        <v>31000</v>
      </c>
      <c r="H1525">
        <f>Table1[[#This Row],[Qty]]*Table1[[#This Row],[SellingPrice]]</f>
        <v>60000</v>
      </c>
      <c r="I1525">
        <f>Table1[[#This Row],[Qty]]*Table1[[#This Row],[CostPrice]]</f>
        <v>31000</v>
      </c>
      <c r="J1525">
        <v>28797</v>
      </c>
      <c r="K1525">
        <v>202.99999999999997</v>
      </c>
      <c r="L1525" t="s">
        <v>13</v>
      </c>
      <c r="M1525" t="s">
        <v>27</v>
      </c>
      <c r="N1525">
        <f>MONTH(Table1[[#This Row],[SaleDate]])</f>
        <v>6</v>
      </c>
      <c r="O1525" t="str">
        <f>TEXT(Table1[[#This Row],[SaleDate]],"MMM")</f>
        <v>Jun</v>
      </c>
    </row>
    <row r="1526" spans="1:15">
      <c r="A1526" s="1">
        <v>45105</v>
      </c>
      <c r="B1526" t="s">
        <v>25</v>
      </c>
      <c r="C1526" t="s">
        <v>21</v>
      </c>
      <c r="D1526">
        <v>1</v>
      </c>
      <c r="E1526" t="s">
        <v>10</v>
      </c>
      <c r="F1526">
        <v>89000</v>
      </c>
      <c r="G1526">
        <v>65000</v>
      </c>
      <c r="H1526">
        <f>Table1[[#This Row],[Qty]]*Table1[[#This Row],[SellingPrice]]</f>
        <v>89000</v>
      </c>
      <c r="I1526">
        <f>Table1[[#This Row],[Qty]]*Table1[[#This Row],[CostPrice]]</f>
        <v>65000</v>
      </c>
      <c r="J1526">
        <v>23832</v>
      </c>
      <c r="K1526">
        <v>167.99999999999997</v>
      </c>
      <c r="L1526" t="s">
        <v>13</v>
      </c>
      <c r="M1526" t="s">
        <v>30</v>
      </c>
      <c r="N1526">
        <f>MONTH(Table1[[#This Row],[SaleDate]])</f>
        <v>6</v>
      </c>
      <c r="O1526" t="str">
        <f>TEXT(Table1[[#This Row],[SaleDate]],"MMM")</f>
        <v>Jun</v>
      </c>
    </row>
    <row r="1527" spans="1:15">
      <c r="A1527" s="1">
        <v>45106</v>
      </c>
      <c r="B1527" t="s">
        <v>23</v>
      </c>
      <c r="C1527" t="s">
        <v>19</v>
      </c>
      <c r="D1527">
        <v>1</v>
      </c>
      <c r="E1527" t="s">
        <v>7</v>
      </c>
      <c r="F1527">
        <v>33000</v>
      </c>
      <c r="G1527">
        <v>18000</v>
      </c>
      <c r="H1527">
        <f>Table1[[#This Row],[Qty]]*Table1[[#This Row],[SellingPrice]]</f>
        <v>33000</v>
      </c>
      <c r="I1527">
        <f>Table1[[#This Row],[Qty]]*Table1[[#This Row],[CostPrice]]</f>
        <v>18000</v>
      </c>
      <c r="J1527">
        <v>14895</v>
      </c>
      <c r="K1527">
        <v>104.99999999999999</v>
      </c>
      <c r="L1527" t="s">
        <v>8</v>
      </c>
      <c r="M1527" t="s">
        <v>28</v>
      </c>
      <c r="N1527">
        <f>MONTH(Table1[[#This Row],[SaleDate]])</f>
        <v>6</v>
      </c>
      <c r="O1527" t="str">
        <f>TEXT(Table1[[#This Row],[SaleDate]],"MMM")</f>
        <v>Jun</v>
      </c>
    </row>
    <row r="1528" spans="1:15">
      <c r="A1528" s="1">
        <v>45106</v>
      </c>
      <c r="B1528" t="s">
        <v>23</v>
      </c>
      <c r="C1528" t="s">
        <v>19</v>
      </c>
      <c r="D1528">
        <v>1</v>
      </c>
      <c r="E1528" t="s">
        <v>9</v>
      </c>
      <c r="F1528">
        <v>60000</v>
      </c>
      <c r="G1528">
        <v>31000</v>
      </c>
      <c r="H1528">
        <f>Table1[[#This Row],[Qty]]*Table1[[#This Row],[SellingPrice]]</f>
        <v>60000</v>
      </c>
      <c r="I1528">
        <f>Table1[[#This Row],[Qty]]*Table1[[#This Row],[CostPrice]]</f>
        <v>31000</v>
      </c>
      <c r="J1528">
        <v>28797</v>
      </c>
      <c r="K1528">
        <v>202.99999999999997</v>
      </c>
      <c r="L1528" t="s">
        <v>8</v>
      </c>
      <c r="M1528" t="s">
        <v>30</v>
      </c>
      <c r="N1528">
        <f>MONTH(Table1[[#This Row],[SaleDate]])</f>
        <v>6</v>
      </c>
      <c r="O1528" t="str">
        <f>TEXT(Table1[[#This Row],[SaleDate]],"MMM")</f>
        <v>Jun</v>
      </c>
    </row>
    <row r="1529" spans="1:15">
      <c r="A1529" s="1">
        <v>45106</v>
      </c>
      <c r="B1529" t="s">
        <v>23</v>
      </c>
      <c r="C1529" t="s">
        <v>19</v>
      </c>
      <c r="D1529">
        <v>1</v>
      </c>
      <c r="E1529" t="s">
        <v>10</v>
      </c>
      <c r="F1529">
        <v>89000</v>
      </c>
      <c r="G1529">
        <v>65000</v>
      </c>
      <c r="H1529">
        <f>Table1[[#This Row],[Qty]]*Table1[[#This Row],[SellingPrice]]</f>
        <v>89000</v>
      </c>
      <c r="I1529">
        <f>Table1[[#This Row],[Qty]]*Table1[[#This Row],[CostPrice]]</f>
        <v>65000</v>
      </c>
      <c r="J1529">
        <v>23832</v>
      </c>
      <c r="K1529">
        <v>167.99999999999997</v>
      </c>
      <c r="L1529" t="s">
        <v>8</v>
      </c>
      <c r="M1529" t="s">
        <v>29</v>
      </c>
      <c r="N1529">
        <f>MONTH(Table1[[#This Row],[SaleDate]])</f>
        <v>6</v>
      </c>
      <c r="O1529" t="str">
        <f>TEXT(Table1[[#This Row],[SaleDate]],"MMM")</f>
        <v>Jun</v>
      </c>
    </row>
    <row r="1530" spans="1:15">
      <c r="A1530" s="1">
        <v>45106</v>
      </c>
      <c r="B1530" t="s">
        <v>26</v>
      </c>
      <c r="C1530" t="s">
        <v>20</v>
      </c>
      <c r="D1530">
        <v>1</v>
      </c>
      <c r="E1530" t="s">
        <v>7</v>
      </c>
      <c r="F1530">
        <v>33000</v>
      </c>
      <c r="G1530">
        <v>18000</v>
      </c>
      <c r="H1530">
        <f>Table1[[#This Row],[Qty]]*Table1[[#This Row],[SellingPrice]]</f>
        <v>33000</v>
      </c>
      <c r="I1530">
        <f>Table1[[#This Row],[Qty]]*Table1[[#This Row],[CostPrice]]</f>
        <v>18000</v>
      </c>
      <c r="J1530">
        <v>14895</v>
      </c>
      <c r="K1530">
        <v>104.99999999999999</v>
      </c>
      <c r="L1530" t="s">
        <v>11</v>
      </c>
      <c r="M1530" t="s">
        <v>29</v>
      </c>
      <c r="N1530">
        <f>MONTH(Table1[[#This Row],[SaleDate]])</f>
        <v>6</v>
      </c>
      <c r="O1530" t="str">
        <f>TEXT(Table1[[#This Row],[SaleDate]],"MMM")</f>
        <v>Jun</v>
      </c>
    </row>
    <row r="1531" spans="1:15">
      <c r="A1531" s="1">
        <v>45106</v>
      </c>
      <c r="B1531" t="s">
        <v>24</v>
      </c>
      <c r="C1531" t="s">
        <v>22</v>
      </c>
      <c r="D1531">
        <v>1</v>
      </c>
      <c r="E1531" t="s">
        <v>7</v>
      </c>
      <c r="F1531">
        <v>33000</v>
      </c>
      <c r="G1531">
        <v>18000</v>
      </c>
      <c r="H1531">
        <f>Table1[[#This Row],[Qty]]*Table1[[#This Row],[SellingPrice]]</f>
        <v>33000</v>
      </c>
      <c r="I1531">
        <f>Table1[[#This Row],[Qty]]*Table1[[#This Row],[CostPrice]]</f>
        <v>18000</v>
      </c>
      <c r="J1531">
        <v>14895</v>
      </c>
      <c r="K1531">
        <v>104.99999999999999</v>
      </c>
      <c r="L1531" t="s">
        <v>12</v>
      </c>
      <c r="M1531" t="s">
        <v>28</v>
      </c>
      <c r="N1531">
        <f>MONTH(Table1[[#This Row],[SaleDate]])</f>
        <v>6</v>
      </c>
      <c r="O1531" t="str">
        <f>TEXT(Table1[[#This Row],[SaleDate]],"MMM")</f>
        <v>Jun</v>
      </c>
    </row>
    <row r="1532" spans="1:15">
      <c r="A1532" s="1">
        <v>45106</v>
      </c>
      <c r="B1532" t="s">
        <v>24</v>
      </c>
      <c r="C1532" t="s">
        <v>22</v>
      </c>
      <c r="D1532">
        <v>1</v>
      </c>
      <c r="E1532" t="s">
        <v>9</v>
      </c>
      <c r="F1532">
        <v>60000</v>
      </c>
      <c r="G1532">
        <v>31000</v>
      </c>
      <c r="H1532">
        <f>Table1[[#This Row],[Qty]]*Table1[[#This Row],[SellingPrice]]</f>
        <v>60000</v>
      </c>
      <c r="I1532">
        <f>Table1[[#This Row],[Qty]]*Table1[[#This Row],[CostPrice]]</f>
        <v>31000</v>
      </c>
      <c r="J1532">
        <v>28797</v>
      </c>
      <c r="K1532">
        <v>202.99999999999997</v>
      </c>
      <c r="L1532" t="s">
        <v>12</v>
      </c>
      <c r="M1532" t="s">
        <v>30</v>
      </c>
      <c r="N1532">
        <f>MONTH(Table1[[#This Row],[SaleDate]])</f>
        <v>6</v>
      </c>
      <c r="O1532" t="str">
        <f>TEXT(Table1[[#This Row],[SaleDate]],"MMM")</f>
        <v>Jun</v>
      </c>
    </row>
    <row r="1533" spans="1:15">
      <c r="A1533" s="1">
        <v>45106</v>
      </c>
      <c r="B1533" t="s">
        <v>24</v>
      </c>
      <c r="C1533" t="s">
        <v>22</v>
      </c>
      <c r="D1533">
        <v>1</v>
      </c>
      <c r="E1533" t="s">
        <v>10</v>
      </c>
      <c r="F1533">
        <v>89000</v>
      </c>
      <c r="G1533">
        <v>65000</v>
      </c>
      <c r="H1533">
        <f>Table1[[#This Row],[Qty]]*Table1[[#This Row],[SellingPrice]]</f>
        <v>89000</v>
      </c>
      <c r="I1533">
        <f>Table1[[#This Row],[Qty]]*Table1[[#This Row],[CostPrice]]</f>
        <v>65000</v>
      </c>
      <c r="J1533">
        <v>23832</v>
      </c>
      <c r="K1533">
        <v>167.99999999999997</v>
      </c>
      <c r="L1533" t="s">
        <v>12</v>
      </c>
      <c r="M1533" t="s">
        <v>29</v>
      </c>
      <c r="N1533">
        <f>MONTH(Table1[[#This Row],[SaleDate]])</f>
        <v>6</v>
      </c>
      <c r="O1533" t="str">
        <f>TEXT(Table1[[#This Row],[SaleDate]],"MMM")</f>
        <v>Jun</v>
      </c>
    </row>
    <row r="1534" spans="1:15">
      <c r="A1534" s="1">
        <v>45106</v>
      </c>
      <c r="B1534" t="s">
        <v>25</v>
      </c>
      <c r="C1534" t="s">
        <v>21</v>
      </c>
      <c r="D1534">
        <v>1</v>
      </c>
      <c r="E1534" t="s">
        <v>7</v>
      </c>
      <c r="F1534">
        <v>33000</v>
      </c>
      <c r="G1534">
        <v>18000</v>
      </c>
      <c r="H1534">
        <f>Table1[[#This Row],[Qty]]*Table1[[#This Row],[SellingPrice]]</f>
        <v>33000</v>
      </c>
      <c r="I1534">
        <f>Table1[[#This Row],[Qty]]*Table1[[#This Row],[CostPrice]]</f>
        <v>18000</v>
      </c>
      <c r="J1534">
        <v>14895</v>
      </c>
      <c r="K1534">
        <v>104.99999999999999</v>
      </c>
      <c r="L1534" t="s">
        <v>13</v>
      </c>
      <c r="M1534" t="s">
        <v>28</v>
      </c>
      <c r="N1534">
        <f>MONTH(Table1[[#This Row],[SaleDate]])</f>
        <v>6</v>
      </c>
      <c r="O1534" t="str">
        <f>TEXT(Table1[[#This Row],[SaleDate]],"MMM")</f>
        <v>Jun</v>
      </c>
    </row>
    <row r="1535" spans="1:15">
      <c r="A1535" s="1">
        <v>45106</v>
      </c>
      <c r="B1535" t="s">
        <v>25</v>
      </c>
      <c r="C1535" t="s">
        <v>21</v>
      </c>
      <c r="D1535">
        <v>1</v>
      </c>
      <c r="E1535" t="s">
        <v>9</v>
      </c>
      <c r="F1535">
        <v>60000</v>
      </c>
      <c r="G1535">
        <v>31000</v>
      </c>
      <c r="H1535">
        <f>Table1[[#This Row],[Qty]]*Table1[[#This Row],[SellingPrice]]</f>
        <v>60000</v>
      </c>
      <c r="I1535">
        <f>Table1[[#This Row],[Qty]]*Table1[[#This Row],[CostPrice]]</f>
        <v>31000</v>
      </c>
      <c r="J1535">
        <v>28797</v>
      </c>
      <c r="K1535">
        <v>202.99999999999997</v>
      </c>
      <c r="L1535" t="s">
        <v>13</v>
      </c>
      <c r="M1535" t="s">
        <v>29</v>
      </c>
      <c r="N1535">
        <f>MONTH(Table1[[#This Row],[SaleDate]])</f>
        <v>6</v>
      </c>
      <c r="O1535" t="str">
        <f>TEXT(Table1[[#This Row],[SaleDate]],"MMM")</f>
        <v>Jun</v>
      </c>
    </row>
    <row r="1536" spans="1:15">
      <c r="A1536" s="1">
        <v>45106</v>
      </c>
      <c r="B1536" t="s">
        <v>25</v>
      </c>
      <c r="C1536" t="s">
        <v>21</v>
      </c>
      <c r="D1536">
        <v>1</v>
      </c>
      <c r="E1536" t="s">
        <v>10</v>
      </c>
      <c r="F1536">
        <v>89000</v>
      </c>
      <c r="G1536">
        <v>65000</v>
      </c>
      <c r="H1536">
        <f>Table1[[#This Row],[Qty]]*Table1[[#This Row],[SellingPrice]]</f>
        <v>89000</v>
      </c>
      <c r="I1536">
        <f>Table1[[#This Row],[Qty]]*Table1[[#This Row],[CostPrice]]</f>
        <v>65000</v>
      </c>
      <c r="J1536">
        <v>23832</v>
      </c>
      <c r="K1536">
        <v>167.99999999999997</v>
      </c>
      <c r="L1536" t="s">
        <v>13</v>
      </c>
      <c r="M1536" t="s">
        <v>27</v>
      </c>
      <c r="N1536">
        <f>MONTH(Table1[[#This Row],[SaleDate]])</f>
        <v>6</v>
      </c>
      <c r="O1536" t="str">
        <f>TEXT(Table1[[#This Row],[SaleDate]],"MMM")</f>
        <v>Jun</v>
      </c>
    </row>
    <row r="1537" spans="1:15">
      <c r="A1537" s="1">
        <v>45107</v>
      </c>
      <c r="B1537" t="s">
        <v>23</v>
      </c>
      <c r="C1537" t="s">
        <v>19</v>
      </c>
      <c r="D1537">
        <v>1</v>
      </c>
      <c r="E1537" t="s">
        <v>7</v>
      </c>
      <c r="F1537">
        <v>33000</v>
      </c>
      <c r="G1537">
        <v>18000</v>
      </c>
      <c r="H1537">
        <f>Table1[[#This Row],[Qty]]*Table1[[#This Row],[SellingPrice]]</f>
        <v>33000</v>
      </c>
      <c r="I1537">
        <f>Table1[[#This Row],[Qty]]*Table1[[#This Row],[CostPrice]]</f>
        <v>18000</v>
      </c>
      <c r="J1537">
        <v>14895</v>
      </c>
      <c r="K1537">
        <v>104.99999999999999</v>
      </c>
      <c r="L1537" t="s">
        <v>8</v>
      </c>
      <c r="M1537" t="s">
        <v>28</v>
      </c>
      <c r="N1537">
        <f>MONTH(Table1[[#This Row],[SaleDate]])</f>
        <v>6</v>
      </c>
      <c r="O1537" t="str">
        <f>TEXT(Table1[[#This Row],[SaleDate]],"MMM")</f>
        <v>Jun</v>
      </c>
    </row>
    <row r="1538" spans="1:15">
      <c r="A1538" s="1">
        <v>45107</v>
      </c>
      <c r="B1538" t="s">
        <v>23</v>
      </c>
      <c r="C1538" t="s">
        <v>19</v>
      </c>
      <c r="D1538">
        <v>1</v>
      </c>
      <c r="E1538" t="s">
        <v>9</v>
      </c>
      <c r="F1538">
        <v>60000</v>
      </c>
      <c r="G1538">
        <v>31000</v>
      </c>
      <c r="H1538">
        <f>Table1[[#This Row],[Qty]]*Table1[[#This Row],[SellingPrice]]</f>
        <v>60000</v>
      </c>
      <c r="I1538">
        <f>Table1[[#This Row],[Qty]]*Table1[[#This Row],[CostPrice]]</f>
        <v>31000</v>
      </c>
      <c r="J1538">
        <v>28797</v>
      </c>
      <c r="K1538">
        <v>202.99999999999997</v>
      </c>
      <c r="L1538" t="s">
        <v>8</v>
      </c>
      <c r="M1538" t="s">
        <v>30</v>
      </c>
      <c r="N1538">
        <f>MONTH(Table1[[#This Row],[SaleDate]])</f>
        <v>6</v>
      </c>
      <c r="O1538" t="str">
        <f>TEXT(Table1[[#This Row],[SaleDate]],"MMM")</f>
        <v>Jun</v>
      </c>
    </row>
    <row r="1539" spans="1:15">
      <c r="A1539" s="1">
        <v>45107</v>
      </c>
      <c r="B1539" t="s">
        <v>23</v>
      </c>
      <c r="C1539" t="s">
        <v>19</v>
      </c>
      <c r="D1539">
        <v>1</v>
      </c>
      <c r="E1539" t="s">
        <v>10</v>
      </c>
      <c r="F1539">
        <v>89000</v>
      </c>
      <c r="G1539">
        <v>65000</v>
      </c>
      <c r="H1539">
        <f>Table1[[#This Row],[Qty]]*Table1[[#This Row],[SellingPrice]]</f>
        <v>89000</v>
      </c>
      <c r="I1539">
        <f>Table1[[#This Row],[Qty]]*Table1[[#This Row],[CostPrice]]</f>
        <v>65000</v>
      </c>
      <c r="J1539">
        <v>23832</v>
      </c>
      <c r="K1539">
        <v>167.99999999999997</v>
      </c>
      <c r="L1539" t="s">
        <v>8</v>
      </c>
      <c r="M1539" t="s">
        <v>27</v>
      </c>
      <c r="N1539">
        <f>MONTH(Table1[[#This Row],[SaleDate]])</f>
        <v>6</v>
      </c>
      <c r="O1539" t="str">
        <f>TEXT(Table1[[#This Row],[SaleDate]],"MMM")</f>
        <v>Jun</v>
      </c>
    </row>
    <row r="1540" spans="1:15">
      <c r="A1540" s="1">
        <v>45107</v>
      </c>
      <c r="B1540" t="s">
        <v>26</v>
      </c>
      <c r="C1540" t="s">
        <v>20</v>
      </c>
      <c r="D1540">
        <v>1</v>
      </c>
      <c r="E1540" t="s">
        <v>7</v>
      </c>
      <c r="F1540">
        <v>33000</v>
      </c>
      <c r="G1540">
        <v>18000</v>
      </c>
      <c r="H1540">
        <f>Table1[[#This Row],[Qty]]*Table1[[#This Row],[SellingPrice]]</f>
        <v>33000</v>
      </c>
      <c r="I1540">
        <f>Table1[[#This Row],[Qty]]*Table1[[#This Row],[CostPrice]]</f>
        <v>18000</v>
      </c>
      <c r="J1540">
        <v>14895</v>
      </c>
      <c r="K1540">
        <v>104.99999999999999</v>
      </c>
      <c r="L1540" t="s">
        <v>11</v>
      </c>
      <c r="M1540" t="s">
        <v>27</v>
      </c>
      <c r="N1540">
        <f>MONTH(Table1[[#This Row],[SaleDate]])</f>
        <v>6</v>
      </c>
      <c r="O1540" t="str">
        <f>TEXT(Table1[[#This Row],[SaleDate]],"MMM")</f>
        <v>Jun</v>
      </c>
    </row>
    <row r="1541" spans="1:15">
      <c r="A1541" s="1">
        <v>45107</v>
      </c>
      <c r="B1541" t="s">
        <v>24</v>
      </c>
      <c r="C1541" t="s">
        <v>22</v>
      </c>
      <c r="D1541">
        <v>1</v>
      </c>
      <c r="E1541" t="s">
        <v>7</v>
      </c>
      <c r="F1541">
        <v>33000</v>
      </c>
      <c r="G1541">
        <v>18000</v>
      </c>
      <c r="H1541">
        <f>Table1[[#This Row],[Qty]]*Table1[[#This Row],[SellingPrice]]</f>
        <v>33000</v>
      </c>
      <c r="I1541">
        <f>Table1[[#This Row],[Qty]]*Table1[[#This Row],[CostPrice]]</f>
        <v>18000</v>
      </c>
      <c r="J1541">
        <v>14895</v>
      </c>
      <c r="K1541">
        <v>104.99999999999999</v>
      </c>
      <c r="L1541" t="s">
        <v>12</v>
      </c>
      <c r="M1541" t="s">
        <v>27</v>
      </c>
      <c r="N1541">
        <f>MONTH(Table1[[#This Row],[SaleDate]])</f>
        <v>6</v>
      </c>
      <c r="O1541" t="str">
        <f>TEXT(Table1[[#This Row],[SaleDate]],"MMM")</f>
        <v>Jun</v>
      </c>
    </row>
    <row r="1542" spans="1:15">
      <c r="A1542" s="1">
        <v>45107</v>
      </c>
      <c r="B1542" t="s">
        <v>24</v>
      </c>
      <c r="C1542" t="s">
        <v>22</v>
      </c>
      <c r="D1542">
        <v>1</v>
      </c>
      <c r="E1542" t="s">
        <v>9</v>
      </c>
      <c r="F1542">
        <v>60000</v>
      </c>
      <c r="G1542">
        <v>31000</v>
      </c>
      <c r="H1542">
        <f>Table1[[#This Row],[Qty]]*Table1[[#This Row],[SellingPrice]]</f>
        <v>60000</v>
      </c>
      <c r="I1542">
        <f>Table1[[#This Row],[Qty]]*Table1[[#This Row],[CostPrice]]</f>
        <v>31000</v>
      </c>
      <c r="J1542">
        <v>28797</v>
      </c>
      <c r="K1542">
        <v>202.99999999999997</v>
      </c>
      <c r="L1542" t="s">
        <v>12</v>
      </c>
      <c r="M1542" t="s">
        <v>27</v>
      </c>
      <c r="N1542">
        <f>MONTH(Table1[[#This Row],[SaleDate]])</f>
        <v>6</v>
      </c>
      <c r="O1542" t="str">
        <f>TEXT(Table1[[#This Row],[SaleDate]],"MMM")</f>
        <v>Jun</v>
      </c>
    </row>
    <row r="1543" spans="1:15">
      <c r="A1543" s="1">
        <v>45107</v>
      </c>
      <c r="B1543" t="s">
        <v>24</v>
      </c>
      <c r="C1543" t="s">
        <v>22</v>
      </c>
      <c r="D1543">
        <v>1</v>
      </c>
      <c r="E1543" t="s">
        <v>10</v>
      </c>
      <c r="F1543">
        <v>89000</v>
      </c>
      <c r="G1543">
        <v>65000</v>
      </c>
      <c r="H1543">
        <f>Table1[[#This Row],[Qty]]*Table1[[#This Row],[SellingPrice]]</f>
        <v>89000</v>
      </c>
      <c r="I1543">
        <f>Table1[[#This Row],[Qty]]*Table1[[#This Row],[CostPrice]]</f>
        <v>65000</v>
      </c>
      <c r="J1543">
        <v>23832</v>
      </c>
      <c r="K1543">
        <v>167.99999999999997</v>
      </c>
      <c r="L1543" t="s">
        <v>12</v>
      </c>
      <c r="M1543" t="s">
        <v>29</v>
      </c>
      <c r="N1543">
        <f>MONTH(Table1[[#This Row],[SaleDate]])</f>
        <v>6</v>
      </c>
      <c r="O1543" t="str">
        <f>TEXT(Table1[[#This Row],[SaleDate]],"MMM")</f>
        <v>Jun</v>
      </c>
    </row>
    <row r="1544" spans="1:15">
      <c r="A1544" s="1">
        <v>45107</v>
      </c>
      <c r="B1544" t="s">
        <v>25</v>
      </c>
      <c r="C1544" t="s">
        <v>21</v>
      </c>
      <c r="D1544">
        <v>1</v>
      </c>
      <c r="E1544" t="s">
        <v>7</v>
      </c>
      <c r="F1544">
        <v>33000</v>
      </c>
      <c r="G1544">
        <v>18000</v>
      </c>
      <c r="H1544">
        <f>Table1[[#This Row],[Qty]]*Table1[[#This Row],[SellingPrice]]</f>
        <v>33000</v>
      </c>
      <c r="I1544">
        <f>Table1[[#This Row],[Qty]]*Table1[[#This Row],[CostPrice]]</f>
        <v>18000</v>
      </c>
      <c r="J1544">
        <v>14895</v>
      </c>
      <c r="K1544">
        <v>104.99999999999999</v>
      </c>
      <c r="L1544" t="s">
        <v>13</v>
      </c>
      <c r="M1544" t="s">
        <v>27</v>
      </c>
      <c r="N1544">
        <f>MONTH(Table1[[#This Row],[SaleDate]])</f>
        <v>6</v>
      </c>
      <c r="O1544" t="str">
        <f>TEXT(Table1[[#This Row],[SaleDate]],"MMM")</f>
        <v>Jun</v>
      </c>
    </row>
    <row r="1545" spans="1:15">
      <c r="A1545" s="1">
        <v>45107</v>
      </c>
      <c r="B1545" t="s">
        <v>25</v>
      </c>
      <c r="C1545" t="s">
        <v>21</v>
      </c>
      <c r="D1545">
        <v>1</v>
      </c>
      <c r="E1545" t="s">
        <v>9</v>
      </c>
      <c r="F1545">
        <v>60000</v>
      </c>
      <c r="G1545">
        <v>31000</v>
      </c>
      <c r="H1545">
        <f>Table1[[#This Row],[Qty]]*Table1[[#This Row],[SellingPrice]]</f>
        <v>60000</v>
      </c>
      <c r="I1545">
        <f>Table1[[#This Row],[Qty]]*Table1[[#This Row],[CostPrice]]</f>
        <v>31000</v>
      </c>
      <c r="J1545">
        <v>28797</v>
      </c>
      <c r="K1545">
        <v>202.99999999999997</v>
      </c>
      <c r="L1545" t="s">
        <v>13</v>
      </c>
      <c r="M1545" t="s">
        <v>30</v>
      </c>
      <c r="N1545">
        <f>MONTH(Table1[[#This Row],[SaleDate]])</f>
        <v>6</v>
      </c>
      <c r="O1545" t="str">
        <f>TEXT(Table1[[#This Row],[SaleDate]],"MMM")</f>
        <v>Jun</v>
      </c>
    </row>
    <row r="1546" spans="1:15">
      <c r="A1546" s="1">
        <v>45107</v>
      </c>
      <c r="B1546" t="s">
        <v>25</v>
      </c>
      <c r="C1546" t="s">
        <v>21</v>
      </c>
      <c r="D1546">
        <v>1</v>
      </c>
      <c r="E1546" t="s">
        <v>10</v>
      </c>
      <c r="F1546">
        <v>89000</v>
      </c>
      <c r="G1546">
        <v>65000</v>
      </c>
      <c r="H1546">
        <f>Table1[[#This Row],[Qty]]*Table1[[#This Row],[SellingPrice]]</f>
        <v>89000</v>
      </c>
      <c r="I1546">
        <f>Table1[[#This Row],[Qty]]*Table1[[#This Row],[CostPrice]]</f>
        <v>65000</v>
      </c>
      <c r="J1546">
        <v>23832</v>
      </c>
      <c r="K1546">
        <v>167.99999999999997</v>
      </c>
      <c r="L1546" t="s">
        <v>13</v>
      </c>
      <c r="M1546" t="s">
        <v>29</v>
      </c>
      <c r="N1546">
        <f>MONTH(Table1[[#This Row],[SaleDate]])</f>
        <v>6</v>
      </c>
      <c r="O1546" t="str">
        <f>TEXT(Table1[[#This Row],[SaleDate]],"MMM")</f>
        <v>Jun</v>
      </c>
    </row>
    <row r="1547" spans="1:15">
      <c r="A1547" s="1">
        <v>45108</v>
      </c>
      <c r="B1547" t="s">
        <v>23</v>
      </c>
      <c r="C1547" t="s">
        <v>19</v>
      </c>
      <c r="D1547">
        <v>1</v>
      </c>
      <c r="E1547" t="s">
        <v>7</v>
      </c>
      <c r="F1547">
        <v>33000</v>
      </c>
      <c r="G1547">
        <v>18000</v>
      </c>
      <c r="H1547">
        <f>Table1[[#This Row],[Qty]]*Table1[[#This Row],[SellingPrice]]</f>
        <v>33000</v>
      </c>
      <c r="I1547">
        <f>Table1[[#This Row],[Qty]]*Table1[[#This Row],[CostPrice]]</f>
        <v>18000</v>
      </c>
      <c r="J1547">
        <v>14895</v>
      </c>
      <c r="K1547">
        <v>104.99999999999999</v>
      </c>
      <c r="L1547" t="s">
        <v>8</v>
      </c>
      <c r="M1547" t="s">
        <v>30</v>
      </c>
      <c r="N1547">
        <f>MONTH(Table1[[#This Row],[SaleDate]])</f>
        <v>7</v>
      </c>
      <c r="O1547" t="str">
        <f>TEXT(Table1[[#This Row],[SaleDate]],"MMM")</f>
        <v>Jul</v>
      </c>
    </row>
    <row r="1548" spans="1:15">
      <c r="A1548" s="1">
        <v>45108</v>
      </c>
      <c r="B1548" t="s">
        <v>23</v>
      </c>
      <c r="C1548" t="s">
        <v>19</v>
      </c>
      <c r="D1548">
        <v>1</v>
      </c>
      <c r="E1548" t="s">
        <v>9</v>
      </c>
      <c r="F1548">
        <v>60000</v>
      </c>
      <c r="G1548">
        <v>31000</v>
      </c>
      <c r="H1548">
        <f>Table1[[#This Row],[Qty]]*Table1[[#This Row],[SellingPrice]]</f>
        <v>60000</v>
      </c>
      <c r="I1548">
        <f>Table1[[#This Row],[Qty]]*Table1[[#This Row],[CostPrice]]</f>
        <v>31000</v>
      </c>
      <c r="J1548">
        <v>28797</v>
      </c>
      <c r="K1548">
        <v>202.99999999999997</v>
      </c>
      <c r="L1548" t="s">
        <v>8</v>
      </c>
      <c r="M1548" t="s">
        <v>29</v>
      </c>
      <c r="N1548">
        <f>MONTH(Table1[[#This Row],[SaleDate]])</f>
        <v>7</v>
      </c>
      <c r="O1548" t="str">
        <f>TEXT(Table1[[#This Row],[SaleDate]],"MMM")</f>
        <v>Jul</v>
      </c>
    </row>
    <row r="1549" spans="1:15">
      <c r="A1549" s="1">
        <v>45108</v>
      </c>
      <c r="B1549" t="s">
        <v>23</v>
      </c>
      <c r="C1549" t="s">
        <v>19</v>
      </c>
      <c r="D1549">
        <v>1</v>
      </c>
      <c r="E1549" t="s">
        <v>10</v>
      </c>
      <c r="F1549">
        <v>89000</v>
      </c>
      <c r="G1549">
        <v>65000</v>
      </c>
      <c r="H1549">
        <f>Table1[[#This Row],[Qty]]*Table1[[#This Row],[SellingPrice]]</f>
        <v>89000</v>
      </c>
      <c r="I1549">
        <f>Table1[[#This Row],[Qty]]*Table1[[#This Row],[CostPrice]]</f>
        <v>65000</v>
      </c>
      <c r="J1549">
        <v>23832</v>
      </c>
      <c r="K1549">
        <v>167.99999999999997</v>
      </c>
      <c r="L1549" t="s">
        <v>8</v>
      </c>
      <c r="M1549" t="s">
        <v>28</v>
      </c>
      <c r="N1549">
        <f>MONTH(Table1[[#This Row],[SaleDate]])</f>
        <v>7</v>
      </c>
      <c r="O1549" t="str">
        <f>TEXT(Table1[[#This Row],[SaleDate]],"MMM")</f>
        <v>Jul</v>
      </c>
    </row>
    <row r="1550" spans="1:15">
      <c r="A1550" s="1">
        <v>45108</v>
      </c>
      <c r="B1550" t="s">
        <v>26</v>
      </c>
      <c r="C1550" t="s">
        <v>20</v>
      </c>
      <c r="D1550">
        <v>1</v>
      </c>
      <c r="E1550" t="s">
        <v>7</v>
      </c>
      <c r="F1550">
        <v>33000</v>
      </c>
      <c r="G1550">
        <v>18000</v>
      </c>
      <c r="H1550">
        <f>Table1[[#This Row],[Qty]]*Table1[[#This Row],[SellingPrice]]</f>
        <v>33000</v>
      </c>
      <c r="I1550">
        <f>Table1[[#This Row],[Qty]]*Table1[[#This Row],[CostPrice]]</f>
        <v>18000</v>
      </c>
      <c r="J1550">
        <v>14895</v>
      </c>
      <c r="K1550">
        <v>104.99999999999999</v>
      </c>
      <c r="L1550" t="s">
        <v>11</v>
      </c>
      <c r="M1550" t="s">
        <v>30</v>
      </c>
      <c r="N1550">
        <f>MONTH(Table1[[#This Row],[SaleDate]])</f>
        <v>7</v>
      </c>
      <c r="O1550" t="str">
        <f>TEXT(Table1[[#This Row],[SaleDate]],"MMM")</f>
        <v>Jul</v>
      </c>
    </row>
    <row r="1551" spans="1:15">
      <c r="A1551" s="1">
        <v>45108</v>
      </c>
      <c r="B1551" t="s">
        <v>24</v>
      </c>
      <c r="C1551" t="s">
        <v>22</v>
      </c>
      <c r="D1551">
        <v>1</v>
      </c>
      <c r="E1551" t="s">
        <v>7</v>
      </c>
      <c r="F1551">
        <v>33000</v>
      </c>
      <c r="G1551">
        <v>18000</v>
      </c>
      <c r="H1551">
        <f>Table1[[#This Row],[Qty]]*Table1[[#This Row],[SellingPrice]]</f>
        <v>33000</v>
      </c>
      <c r="I1551">
        <f>Table1[[#This Row],[Qty]]*Table1[[#This Row],[CostPrice]]</f>
        <v>18000</v>
      </c>
      <c r="J1551">
        <v>14895</v>
      </c>
      <c r="K1551">
        <v>104.99999999999999</v>
      </c>
      <c r="L1551" t="s">
        <v>12</v>
      </c>
      <c r="M1551" t="s">
        <v>30</v>
      </c>
      <c r="N1551">
        <f>MONTH(Table1[[#This Row],[SaleDate]])</f>
        <v>7</v>
      </c>
      <c r="O1551" t="str">
        <f>TEXT(Table1[[#This Row],[SaleDate]],"MMM")</f>
        <v>Jul</v>
      </c>
    </row>
    <row r="1552" spans="1:15">
      <c r="A1552" s="1">
        <v>45108</v>
      </c>
      <c r="B1552" t="s">
        <v>24</v>
      </c>
      <c r="C1552" t="s">
        <v>22</v>
      </c>
      <c r="D1552">
        <v>1</v>
      </c>
      <c r="E1552" t="s">
        <v>9</v>
      </c>
      <c r="F1552">
        <v>60000</v>
      </c>
      <c r="G1552">
        <v>31000</v>
      </c>
      <c r="H1552">
        <f>Table1[[#This Row],[Qty]]*Table1[[#This Row],[SellingPrice]]</f>
        <v>60000</v>
      </c>
      <c r="I1552">
        <f>Table1[[#This Row],[Qty]]*Table1[[#This Row],[CostPrice]]</f>
        <v>31000</v>
      </c>
      <c r="J1552">
        <v>28797</v>
      </c>
      <c r="K1552">
        <v>202.99999999999997</v>
      </c>
      <c r="L1552" t="s">
        <v>12</v>
      </c>
      <c r="M1552" t="s">
        <v>30</v>
      </c>
      <c r="N1552">
        <f>MONTH(Table1[[#This Row],[SaleDate]])</f>
        <v>7</v>
      </c>
      <c r="O1552" t="str">
        <f>TEXT(Table1[[#This Row],[SaleDate]],"MMM")</f>
        <v>Jul</v>
      </c>
    </row>
    <row r="1553" spans="1:15">
      <c r="A1553" s="1">
        <v>45108</v>
      </c>
      <c r="B1553" t="s">
        <v>24</v>
      </c>
      <c r="C1553" t="s">
        <v>22</v>
      </c>
      <c r="D1553">
        <v>1</v>
      </c>
      <c r="E1553" t="s">
        <v>10</v>
      </c>
      <c r="F1553">
        <v>89000</v>
      </c>
      <c r="G1553">
        <v>65000</v>
      </c>
      <c r="H1553">
        <f>Table1[[#This Row],[Qty]]*Table1[[#This Row],[SellingPrice]]</f>
        <v>89000</v>
      </c>
      <c r="I1553">
        <f>Table1[[#This Row],[Qty]]*Table1[[#This Row],[CostPrice]]</f>
        <v>65000</v>
      </c>
      <c r="J1553">
        <v>23832</v>
      </c>
      <c r="K1553">
        <v>167.99999999999997</v>
      </c>
      <c r="L1553" t="s">
        <v>12</v>
      </c>
      <c r="M1553" t="s">
        <v>30</v>
      </c>
      <c r="N1553">
        <f>MONTH(Table1[[#This Row],[SaleDate]])</f>
        <v>7</v>
      </c>
      <c r="O1553" t="str">
        <f>TEXT(Table1[[#This Row],[SaleDate]],"MMM")</f>
        <v>Jul</v>
      </c>
    </row>
    <row r="1554" spans="1:15">
      <c r="A1554" s="1">
        <v>45108</v>
      </c>
      <c r="B1554" t="s">
        <v>25</v>
      </c>
      <c r="C1554" t="s">
        <v>21</v>
      </c>
      <c r="D1554">
        <v>1</v>
      </c>
      <c r="E1554" t="s">
        <v>7</v>
      </c>
      <c r="F1554">
        <v>33000</v>
      </c>
      <c r="G1554">
        <v>18000</v>
      </c>
      <c r="H1554">
        <f>Table1[[#This Row],[Qty]]*Table1[[#This Row],[SellingPrice]]</f>
        <v>33000</v>
      </c>
      <c r="I1554">
        <f>Table1[[#This Row],[Qty]]*Table1[[#This Row],[CostPrice]]</f>
        <v>18000</v>
      </c>
      <c r="J1554">
        <v>14895</v>
      </c>
      <c r="K1554">
        <v>104.99999999999999</v>
      </c>
      <c r="L1554" t="s">
        <v>13</v>
      </c>
      <c r="M1554" t="s">
        <v>27</v>
      </c>
      <c r="N1554">
        <f>MONTH(Table1[[#This Row],[SaleDate]])</f>
        <v>7</v>
      </c>
      <c r="O1554" t="str">
        <f>TEXT(Table1[[#This Row],[SaleDate]],"MMM")</f>
        <v>Jul</v>
      </c>
    </row>
    <row r="1555" spans="1:15">
      <c r="A1555" s="1">
        <v>45108</v>
      </c>
      <c r="B1555" t="s">
        <v>25</v>
      </c>
      <c r="C1555" t="s">
        <v>21</v>
      </c>
      <c r="D1555">
        <v>1</v>
      </c>
      <c r="E1555" t="s">
        <v>9</v>
      </c>
      <c r="F1555">
        <v>60000</v>
      </c>
      <c r="G1555">
        <v>31000</v>
      </c>
      <c r="H1555">
        <f>Table1[[#This Row],[Qty]]*Table1[[#This Row],[SellingPrice]]</f>
        <v>60000</v>
      </c>
      <c r="I1555">
        <f>Table1[[#This Row],[Qty]]*Table1[[#This Row],[CostPrice]]</f>
        <v>31000</v>
      </c>
      <c r="J1555">
        <v>28797</v>
      </c>
      <c r="K1555">
        <v>202.99999999999997</v>
      </c>
      <c r="L1555" t="s">
        <v>13</v>
      </c>
      <c r="M1555" t="s">
        <v>30</v>
      </c>
      <c r="N1555">
        <f>MONTH(Table1[[#This Row],[SaleDate]])</f>
        <v>7</v>
      </c>
      <c r="O1555" t="str">
        <f>TEXT(Table1[[#This Row],[SaleDate]],"MMM")</f>
        <v>Jul</v>
      </c>
    </row>
    <row r="1556" spans="1:15">
      <c r="A1556" s="1">
        <v>45108</v>
      </c>
      <c r="B1556" t="s">
        <v>25</v>
      </c>
      <c r="C1556" t="s">
        <v>21</v>
      </c>
      <c r="D1556">
        <v>1</v>
      </c>
      <c r="E1556" t="s">
        <v>10</v>
      </c>
      <c r="F1556">
        <v>89000</v>
      </c>
      <c r="G1556">
        <v>65000</v>
      </c>
      <c r="H1556">
        <f>Table1[[#This Row],[Qty]]*Table1[[#This Row],[SellingPrice]]</f>
        <v>89000</v>
      </c>
      <c r="I1556">
        <f>Table1[[#This Row],[Qty]]*Table1[[#This Row],[CostPrice]]</f>
        <v>65000</v>
      </c>
      <c r="J1556">
        <v>23832</v>
      </c>
      <c r="K1556">
        <v>167.99999999999997</v>
      </c>
      <c r="L1556" t="s">
        <v>13</v>
      </c>
      <c r="M1556" t="s">
        <v>30</v>
      </c>
      <c r="N1556">
        <f>MONTH(Table1[[#This Row],[SaleDate]])</f>
        <v>7</v>
      </c>
      <c r="O1556" t="str">
        <f>TEXT(Table1[[#This Row],[SaleDate]],"MMM")</f>
        <v>Jul</v>
      </c>
    </row>
    <row r="1557" spans="1:15">
      <c r="A1557" s="1">
        <v>45109</v>
      </c>
      <c r="B1557" t="s">
        <v>23</v>
      </c>
      <c r="C1557" t="s">
        <v>19</v>
      </c>
      <c r="D1557">
        <v>1</v>
      </c>
      <c r="E1557" t="s">
        <v>7</v>
      </c>
      <c r="F1557">
        <v>33000</v>
      </c>
      <c r="G1557">
        <v>18000</v>
      </c>
      <c r="H1557">
        <f>Table1[[#This Row],[Qty]]*Table1[[#This Row],[SellingPrice]]</f>
        <v>33000</v>
      </c>
      <c r="I1557">
        <f>Table1[[#This Row],[Qty]]*Table1[[#This Row],[CostPrice]]</f>
        <v>18000</v>
      </c>
      <c r="J1557">
        <v>14895</v>
      </c>
      <c r="K1557">
        <v>104.99999999999999</v>
      </c>
      <c r="L1557" t="s">
        <v>8</v>
      </c>
      <c r="M1557" t="s">
        <v>30</v>
      </c>
      <c r="N1557">
        <f>MONTH(Table1[[#This Row],[SaleDate]])</f>
        <v>7</v>
      </c>
      <c r="O1557" t="str">
        <f>TEXT(Table1[[#This Row],[SaleDate]],"MMM")</f>
        <v>Jul</v>
      </c>
    </row>
    <row r="1558" spans="1:15">
      <c r="A1558" s="1">
        <v>45109</v>
      </c>
      <c r="B1558" t="s">
        <v>23</v>
      </c>
      <c r="C1558" t="s">
        <v>19</v>
      </c>
      <c r="D1558">
        <v>1</v>
      </c>
      <c r="E1558" t="s">
        <v>9</v>
      </c>
      <c r="F1558">
        <v>60000</v>
      </c>
      <c r="G1558">
        <v>31000</v>
      </c>
      <c r="H1558">
        <f>Table1[[#This Row],[Qty]]*Table1[[#This Row],[SellingPrice]]</f>
        <v>60000</v>
      </c>
      <c r="I1558">
        <f>Table1[[#This Row],[Qty]]*Table1[[#This Row],[CostPrice]]</f>
        <v>31000</v>
      </c>
      <c r="J1558">
        <v>28797</v>
      </c>
      <c r="K1558">
        <v>202.99999999999997</v>
      </c>
      <c r="L1558" t="s">
        <v>8</v>
      </c>
      <c r="M1558" t="s">
        <v>29</v>
      </c>
      <c r="N1558">
        <f>MONTH(Table1[[#This Row],[SaleDate]])</f>
        <v>7</v>
      </c>
      <c r="O1558" t="str">
        <f>TEXT(Table1[[#This Row],[SaleDate]],"MMM")</f>
        <v>Jul</v>
      </c>
    </row>
    <row r="1559" spans="1:15">
      <c r="A1559" s="1">
        <v>45109</v>
      </c>
      <c r="B1559" t="s">
        <v>23</v>
      </c>
      <c r="C1559" t="s">
        <v>19</v>
      </c>
      <c r="D1559">
        <v>1</v>
      </c>
      <c r="E1559" t="s">
        <v>10</v>
      </c>
      <c r="F1559">
        <v>89000</v>
      </c>
      <c r="G1559">
        <v>65000</v>
      </c>
      <c r="H1559">
        <f>Table1[[#This Row],[Qty]]*Table1[[#This Row],[SellingPrice]]</f>
        <v>89000</v>
      </c>
      <c r="I1559">
        <f>Table1[[#This Row],[Qty]]*Table1[[#This Row],[CostPrice]]</f>
        <v>65000</v>
      </c>
      <c r="J1559">
        <v>23832</v>
      </c>
      <c r="K1559">
        <v>167.99999999999997</v>
      </c>
      <c r="L1559" t="s">
        <v>8</v>
      </c>
      <c r="M1559" t="s">
        <v>29</v>
      </c>
      <c r="N1559">
        <f>MONTH(Table1[[#This Row],[SaleDate]])</f>
        <v>7</v>
      </c>
      <c r="O1559" t="str">
        <f>TEXT(Table1[[#This Row],[SaleDate]],"MMM")</f>
        <v>Jul</v>
      </c>
    </row>
    <row r="1560" spans="1:15">
      <c r="A1560" s="1">
        <v>45109</v>
      </c>
      <c r="B1560" t="s">
        <v>26</v>
      </c>
      <c r="C1560" t="s">
        <v>20</v>
      </c>
      <c r="D1560">
        <v>1</v>
      </c>
      <c r="E1560" t="s">
        <v>7</v>
      </c>
      <c r="F1560">
        <v>33000</v>
      </c>
      <c r="G1560">
        <v>18000</v>
      </c>
      <c r="H1560">
        <f>Table1[[#This Row],[Qty]]*Table1[[#This Row],[SellingPrice]]</f>
        <v>33000</v>
      </c>
      <c r="I1560">
        <f>Table1[[#This Row],[Qty]]*Table1[[#This Row],[CostPrice]]</f>
        <v>18000</v>
      </c>
      <c r="J1560">
        <v>14895</v>
      </c>
      <c r="K1560">
        <v>104.99999999999999</v>
      </c>
      <c r="L1560" t="s">
        <v>11</v>
      </c>
      <c r="M1560" t="s">
        <v>30</v>
      </c>
      <c r="N1560">
        <f>MONTH(Table1[[#This Row],[SaleDate]])</f>
        <v>7</v>
      </c>
      <c r="O1560" t="str">
        <f>TEXT(Table1[[#This Row],[SaleDate]],"MMM")</f>
        <v>Jul</v>
      </c>
    </row>
    <row r="1561" spans="1:15">
      <c r="A1561" s="1">
        <v>45109</v>
      </c>
      <c r="B1561" t="s">
        <v>24</v>
      </c>
      <c r="C1561" t="s">
        <v>22</v>
      </c>
      <c r="D1561">
        <v>1</v>
      </c>
      <c r="E1561" t="s">
        <v>7</v>
      </c>
      <c r="F1561">
        <v>33000</v>
      </c>
      <c r="G1561">
        <v>18000</v>
      </c>
      <c r="H1561">
        <f>Table1[[#This Row],[Qty]]*Table1[[#This Row],[SellingPrice]]</f>
        <v>33000</v>
      </c>
      <c r="I1561">
        <f>Table1[[#This Row],[Qty]]*Table1[[#This Row],[CostPrice]]</f>
        <v>18000</v>
      </c>
      <c r="J1561">
        <v>14895</v>
      </c>
      <c r="K1561">
        <v>104.99999999999999</v>
      </c>
      <c r="L1561" t="s">
        <v>12</v>
      </c>
      <c r="M1561" t="s">
        <v>29</v>
      </c>
      <c r="N1561">
        <f>MONTH(Table1[[#This Row],[SaleDate]])</f>
        <v>7</v>
      </c>
      <c r="O1561" t="str">
        <f>TEXT(Table1[[#This Row],[SaleDate]],"MMM")</f>
        <v>Jul</v>
      </c>
    </row>
    <row r="1562" spans="1:15">
      <c r="A1562" s="1">
        <v>45109</v>
      </c>
      <c r="B1562" t="s">
        <v>24</v>
      </c>
      <c r="C1562" t="s">
        <v>22</v>
      </c>
      <c r="D1562">
        <v>1</v>
      </c>
      <c r="E1562" t="s">
        <v>9</v>
      </c>
      <c r="F1562">
        <v>60000</v>
      </c>
      <c r="G1562">
        <v>31000</v>
      </c>
      <c r="H1562">
        <f>Table1[[#This Row],[Qty]]*Table1[[#This Row],[SellingPrice]]</f>
        <v>60000</v>
      </c>
      <c r="I1562">
        <f>Table1[[#This Row],[Qty]]*Table1[[#This Row],[CostPrice]]</f>
        <v>31000</v>
      </c>
      <c r="J1562">
        <v>28797</v>
      </c>
      <c r="K1562">
        <v>202.99999999999997</v>
      </c>
      <c r="L1562" t="s">
        <v>12</v>
      </c>
      <c r="M1562" t="s">
        <v>30</v>
      </c>
      <c r="N1562">
        <f>MONTH(Table1[[#This Row],[SaleDate]])</f>
        <v>7</v>
      </c>
      <c r="O1562" t="str">
        <f>TEXT(Table1[[#This Row],[SaleDate]],"MMM")</f>
        <v>Jul</v>
      </c>
    </row>
    <row r="1563" spans="1:15">
      <c r="A1563" s="1">
        <v>45109</v>
      </c>
      <c r="B1563" t="s">
        <v>24</v>
      </c>
      <c r="C1563" t="s">
        <v>22</v>
      </c>
      <c r="D1563">
        <v>1</v>
      </c>
      <c r="E1563" t="s">
        <v>10</v>
      </c>
      <c r="F1563">
        <v>89000</v>
      </c>
      <c r="G1563">
        <v>65000</v>
      </c>
      <c r="H1563">
        <f>Table1[[#This Row],[Qty]]*Table1[[#This Row],[SellingPrice]]</f>
        <v>89000</v>
      </c>
      <c r="I1563">
        <f>Table1[[#This Row],[Qty]]*Table1[[#This Row],[CostPrice]]</f>
        <v>65000</v>
      </c>
      <c r="J1563">
        <v>23832</v>
      </c>
      <c r="K1563">
        <v>167.99999999999997</v>
      </c>
      <c r="L1563" t="s">
        <v>12</v>
      </c>
      <c r="M1563" t="s">
        <v>27</v>
      </c>
      <c r="N1563">
        <f>MONTH(Table1[[#This Row],[SaleDate]])</f>
        <v>7</v>
      </c>
      <c r="O1563" t="str">
        <f>TEXT(Table1[[#This Row],[SaleDate]],"MMM")</f>
        <v>Jul</v>
      </c>
    </row>
    <row r="1564" spans="1:15">
      <c r="A1564" s="1">
        <v>45109</v>
      </c>
      <c r="B1564" t="s">
        <v>25</v>
      </c>
      <c r="C1564" t="s">
        <v>21</v>
      </c>
      <c r="D1564">
        <v>1</v>
      </c>
      <c r="E1564" t="s">
        <v>7</v>
      </c>
      <c r="F1564">
        <v>33000</v>
      </c>
      <c r="G1564">
        <v>18000</v>
      </c>
      <c r="H1564">
        <f>Table1[[#This Row],[Qty]]*Table1[[#This Row],[SellingPrice]]</f>
        <v>33000</v>
      </c>
      <c r="I1564">
        <f>Table1[[#This Row],[Qty]]*Table1[[#This Row],[CostPrice]]</f>
        <v>18000</v>
      </c>
      <c r="J1564">
        <v>14895</v>
      </c>
      <c r="K1564">
        <v>104.99999999999999</v>
      </c>
      <c r="L1564" t="s">
        <v>13</v>
      </c>
      <c r="M1564" t="s">
        <v>30</v>
      </c>
      <c r="N1564">
        <f>MONTH(Table1[[#This Row],[SaleDate]])</f>
        <v>7</v>
      </c>
      <c r="O1564" t="str">
        <f>TEXT(Table1[[#This Row],[SaleDate]],"MMM")</f>
        <v>Jul</v>
      </c>
    </row>
    <row r="1565" spans="1:15">
      <c r="A1565" s="1">
        <v>45109</v>
      </c>
      <c r="B1565" t="s">
        <v>25</v>
      </c>
      <c r="C1565" t="s">
        <v>21</v>
      </c>
      <c r="D1565">
        <v>1</v>
      </c>
      <c r="E1565" t="s">
        <v>9</v>
      </c>
      <c r="F1565">
        <v>60000</v>
      </c>
      <c r="G1565">
        <v>31000</v>
      </c>
      <c r="H1565">
        <f>Table1[[#This Row],[Qty]]*Table1[[#This Row],[SellingPrice]]</f>
        <v>60000</v>
      </c>
      <c r="I1565">
        <f>Table1[[#This Row],[Qty]]*Table1[[#This Row],[CostPrice]]</f>
        <v>31000</v>
      </c>
      <c r="J1565">
        <v>28797</v>
      </c>
      <c r="K1565">
        <v>202.99999999999997</v>
      </c>
      <c r="L1565" t="s">
        <v>13</v>
      </c>
      <c r="M1565" t="s">
        <v>30</v>
      </c>
      <c r="N1565">
        <f>MONTH(Table1[[#This Row],[SaleDate]])</f>
        <v>7</v>
      </c>
      <c r="O1565" t="str">
        <f>TEXT(Table1[[#This Row],[SaleDate]],"MMM")</f>
        <v>Jul</v>
      </c>
    </row>
    <row r="1566" spans="1:15">
      <c r="A1566" s="1">
        <v>45109</v>
      </c>
      <c r="B1566" t="s">
        <v>25</v>
      </c>
      <c r="C1566" t="s">
        <v>21</v>
      </c>
      <c r="D1566">
        <v>1</v>
      </c>
      <c r="E1566" t="s">
        <v>10</v>
      </c>
      <c r="F1566">
        <v>89000</v>
      </c>
      <c r="G1566">
        <v>65000</v>
      </c>
      <c r="H1566">
        <f>Table1[[#This Row],[Qty]]*Table1[[#This Row],[SellingPrice]]</f>
        <v>89000</v>
      </c>
      <c r="I1566">
        <f>Table1[[#This Row],[Qty]]*Table1[[#This Row],[CostPrice]]</f>
        <v>65000</v>
      </c>
      <c r="J1566">
        <v>23832</v>
      </c>
      <c r="K1566">
        <v>167.99999999999997</v>
      </c>
      <c r="L1566" t="s">
        <v>13</v>
      </c>
      <c r="M1566" t="s">
        <v>27</v>
      </c>
      <c r="N1566">
        <f>MONTH(Table1[[#This Row],[SaleDate]])</f>
        <v>7</v>
      </c>
      <c r="O1566" t="str">
        <f>TEXT(Table1[[#This Row],[SaleDate]],"MMM")</f>
        <v>Jul</v>
      </c>
    </row>
    <row r="1567" spans="1:15">
      <c r="A1567" s="1">
        <v>45110</v>
      </c>
      <c r="B1567" t="s">
        <v>23</v>
      </c>
      <c r="C1567" t="s">
        <v>19</v>
      </c>
      <c r="D1567">
        <v>1</v>
      </c>
      <c r="E1567" t="s">
        <v>7</v>
      </c>
      <c r="F1567">
        <v>33000</v>
      </c>
      <c r="G1567">
        <v>18000</v>
      </c>
      <c r="H1567">
        <f>Table1[[#This Row],[Qty]]*Table1[[#This Row],[SellingPrice]]</f>
        <v>33000</v>
      </c>
      <c r="I1567">
        <f>Table1[[#This Row],[Qty]]*Table1[[#This Row],[CostPrice]]</f>
        <v>18000</v>
      </c>
      <c r="J1567">
        <v>14895</v>
      </c>
      <c r="K1567">
        <v>104.99999999999999</v>
      </c>
      <c r="L1567" t="s">
        <v>8</v>
      </c>
      <c r="M1567" t="s">
        <v>29</v>
      </c>
      <c r="N1567">
        <f>MONTH(Table1[[#This Row],[SaleDate]])</f>
        <v>7</v>
      </c>
      <c r="O1567" t="str">
        <f>TEXT(Table1[[#This Row],[SaleDate]],"MMM")</f>
        <v>Jul</v>
      </c>
    </row>
    <row r="1568" spans="1:15">
      <c r="A1568" s="1">
        <v>45110</v>
      </c>
      <c r="B1568" t="s">
        <v>23</v>
      </c>
      <c r="C1568" t="s">
        <v>19</v>
      </c>
      <c r="D1568">
        <v>1</v>
      </c>
      <c r="E1568" t="s">
        <v>9</v>
      </c>
      <c r="F1568">
        <v>60000</v>
      </c>
      <c r="G1568">
        <v>31000</v>
      </c>
      <c r="H1568">
        <f>Table1[[#This Row],[Qty]]*Table1[[#This Row],[SellingPrice]]</f>
        <v>60000</v>
      </c>
      <c r="I1568">
        <f>Table1[[#This Row],[Qty]]*Table1[[#This Row],[CostPrice]]</f>
        <v>31000</v>
      </c>
      <c r="J1568">
        <v>28797</v>
      </c>
      <c r="K1568">
        <v>202.99999999999997</v>
      </c>
      <c r="L1568" t="s">
        <v>8</v>
      </c>
      <c r="M1568" t="s">
        <v>30</v>
      </c>
      <c r="N1568">
        <f>MONTH(Table1[[#This Row],[SaleDate]])</f>
        <v>7</v>
      </c>
      <c r="O1568" t="str">
        <f>TEXT(Table1[[#This Row],[SaleDate]],"MMM")</f>
        <v>Jul</v>
      </c>
    </row>
    <row r="1569" spans="1:15">
      <c r="A1569" s="1">
        <v>45110</v>
      </c>
      <c r="B1569" t="s">
        <v>23</v>
      </c>
      <c r="C1569" t="s">
        <v>19</v>
      </c>
      <c r="D1569">
        <v>1</v>
      </c>
      <c r="E1569" t="s">
        <v>10</v>
      </c>
      <c r="F1569">
        <v>89000</v>
      </c>
      <c r="G1569">
        <v>65000</v>
      </c>
      <c r="H1569">
        <f>Table1[[#This Row],[Qty]]*Table1[[#This Row],[SellingPrice]]</f>
        <v>89000</v>
      </c>
      <c r="I1569">
        <f>Table1[[#This Row],[Qty]]*Table1[[#This Row],[CostPrice]]</f>
        <v>65000</v>
      </c>
      <c r="J1569">
        <v>23832</v>
      </c>
      <c r="K1569">
        <v>167.99999999999997</v>
      </c>
      <c r="L1569" t="s">
        <v>8</v>
      </c>
      <c r="M1569" t="s">
        <v>28</v>
      </c>
      <c r="N1569">
        <f>MONTH(Table1[[#This Row],[SaleDate]])</f>
        <v>7</v>
      </c>
      <c r="O1569" t="str">
        <f>TEXT(Table1[[#This Row],[SaleDate]],"MMM")</f>
        <v>Jul</v>
      </c>
    </row>
    <row r="1570" spans="1:15">
      <c r="A1570" s="1">
        <v>45110</v>
      </c>
      <c r="B1570" t="s">
        <v>26</v>
      </c>
      <c r="C1570" t="s">
        <v>20</v>
      </c>
      <c r="D1570">
        <v>1</v>
      </c>
      <c r="E1570" t="s">
        <v>7</v>
      </c>
      <c r="F1570">
        <v>33000</v>
      </c>
      <c r="G1570">
        <v>18000</v>
      </c>
      <c r="H1570">
        <f>Table1[[#This Row],[Qty]]*Table1[[#This Row],[SellingPrice]]</f>
        <v>33000</v>
      </c>
      <c r="I1570">
        <f>Table1[[#This Row],[Qty]]*Table1[[#This Row],[CostPrice]]</f>
        <v>18000</v>
      </c>
      <c r="J1570">
        <v>14895</v>
      </c>
      <c r="K1570">
        <v>104.99999999999999</v>
      </c>
      <c r="L1570" t="s">
        <v>11</v>
      </c>
      <c r="M1570" t="s">
        <v>27</v>
      </c>
      <c r="N1570">
        <f>MONTH(Table1[[#This Row],[SaleDate]])</f>
        <v>7</v>
      </c>
      <c r="O1570" t="str">
        <f>TEXT(Table1[[#This Row],[SaleDate]],"MMM")</f>
        <v>Jul</v>
      </c>
    </row>
    <row r="1571" spans="1:15">
      <c r="A1571" s="1">
        <v>45110</v>
      </c>
      <c r="B1571" t="s">
        <v>24</v>
      </c>
      <c r="C1571" t="s">
        <v>22</v>
      </c>
      <c r="D1571">
        <v>1</v>
      </c>
      <c r="E1571" t="s">
        <v>7</v>
      </c>
      <c r="F1571">
        <v>33000</v>
      </c>
      <c r="G1571">
        <v>18000</v>
      </c>
      <c r="H1571">
        <f>Table1[[#This Row],[Qty]]*Table1[[#This Row],[SellingPrice]]</f>
        <v>33000</v>
      </c>
      <c r="I1571">
        <f>Table1[[#This Row],[Qty]]*Table1[[#This Row],[CostPrice]]</f>
        <v>18000</v>
      </c>
      <c r="J1571">
        <v>14895</v>
      </c>
      <c r="K1571">
        <v>104.99999999999999</v>
      </c>
      <c r="L1571" t="s">
        <v>12</v>
      </c>
      <c r="M1571" t="s">
        <v>28</v>
      </c>
      <c r="N1571">
        <f>MONTH(Table1[[#This Row],[SaleDate]])</f>
        <v>7</v>
      </c>
      <c r="O1571" t="str">
        <f>TEXT(Table1[[#This Row],[SaleDate]],"MMM")</f>
        <v>Jul</v>
      </c>
    </row>
    <row r="1572" spans="1:15">
      <c r="A1572" s="1">
        <v>45110</v>
      </c>
      <c r="B1572" t="s">
        <v>24</v>
      </c>
      <c r="C1572" t="s">
        <v>22</v>
      </c>
      <c r="D1572">
        <v>1</v>
      </c>
      <c r="E1572" t="s">
        <v>9</v>
      </c>
      <c r="F1572">
        <v>60000</v>
      </c>
      <c r="G1572">
        <v>31000</v>
      </c>
      <c r="H1572">
        <f>Table1[[#This Row],[Qty]]*Table1[[#This Row],[SellingPrice]]</f>
        <v>60000</v>
      </c>
      <c r="I1572">
        <f>Table1[[#This Row],[Qty]]*Table1[[#This Row],[CostPrice]]</f>
        <v>31000</v>
      </c>
      <c r="J1572">
        <v>28797</v>
      </c>
      <c r="K1572">
        <v>202.99999999999997</v>
      </c>
      <c r="L1572" t="s">
        <v>12</v>
      </c>
      <c r="M1572" t="s">
        <v>27</v>
      </c>
      <c r="N1572">
        <f>MONTH(Table1[[#This Row],[SaleDate]])</f>
        <v>7</v>
      </c>
      <c r="O1572" t="str">
        <f>TEXT(Table1[[#This Row],[SaleDate]],"MMM")</f>
        <v>Jul</v>
      </c>
    </row>
    <row r="1573" spans="1:15">
      <c r="A1573" s="1">
        <v>45110</v>
      </c>
      <c r="B1573" t="s">
        <v>24</v>
      </c>
      <c r="C1573" t="s">
        <v>22</v>
      </c>
      <c r="D1573">
        <v>1</v>
      </c>
      <c r="E1573" t="s">
        <v>10</v>
      </c>
      <c r="F1573">
        <v>89000</v>
      </c>
      <c r="G1573">
        <v>65000</v>
      </c>
      <c r="H1573">
        <f>Table1[[#This Row],[Qty]]*Table1[[#This Row],[SellingPrice]]</f>
        <v>89000</v>
      </c>
      <c r="I1573">
        <f>Table1[[#This Row],[Qty]]*Table1[[#This Row],[CostPrice]]</f>
        <v>65000</v>
      </c>
      <c r="J1573">
        <v>23832</v>
      </c>
      <c r="K1573">
        <v>167.99999999999997</v>
      </c>
      <c r="L1573" t="s">
        <v>12</v>
      </c>
      <c r="M1573" t="s">
        <v>27</v>
      </c>
      <c r="N1573">
        <f>MONTH(Table1[[#This Row],[SaleDate]])</f>
        <v>7</v>
      </c>
      <c r="O1573" t="str">
        <f>TEXT(Table1[[#This Row],[SaleDate]],"MMM")</f>
        <v>Jul</v>
      </c>
    </row>
    <row r="1574" spans="1:15">
      <c r="A1574" s="1">
        <v>45110</v>
      </c>
      <c r="B1574" t="s">
        <v>25</v>
      </c>
      <c r="C1574" t="s">
        <v>21</v>
      </c>
      <c r="D1574">
        <v>1</v>
      </c>
      <c r="E1574" t="s">
        <v>7</v>
      </c>
      <c r="F1574">
        <v>33000</v>
      </c>
      <c r="G1574">
        <v>18000</v>
      </c>
      <c r="H1574">
        <f>Table1[[#This Row],[Qty]]*Table1[[#This Row],[SellingPrice]]</f>
        <v>33000</v>
      </c>
      <c r="I1574">
        <f>Table1[[#This Row],[Qty]]*Table1[[#This Row],[CostPrice]]</f>
        <v>18000</v>
      </c>
      <c r="J1574">
        <v>14895</v>
      </c>
      <c r="K1574">
        <v>104.99999999999999</v>
      </c>
      <c r="L1574" t="s">
        <v>13</v>
      </c>
      <c r="M1574" t="s">
        <v>30</v>
      </c>
      <c r="N1574">
        <f>MONTH(Table1[[#This Row],[SaleDate]])</f>
        <v>7</v>
      </c>
      <c r="O1574" t="str">
        <f>TEXT(Table1[[#This Row],[SaleDate]],"MMM")</f>
        <v>Jul</v>
      </c>
    </row>
    <row r="1575" spans="1:15">
      <c r="A1575" s="1">
        <v>45110</v>
      </c>
      <c r="B1575" t="s">
        <v>25</v>
      </c>
      <c r="C1575" t="s">
        <v>21</v>
      </c>
      <c r="D1575">
        <v>1</v>
      </c>
      <c r="E1575" t="s">
        <v>9</v>
      </c>
      <c r="F1575">
        <v>60000</v>
      </c>
      <c r="G1575">
        <v>31000</v>
      </c>
      <c r="H1575">
        <f>Table1[[#This Row],[Qty]]*Table1[[#This Row],[SellingPrice]]</f>
        <v>60000</v>
      </c>
      <c r="I1575">
        <f>Table1[[#This Row],[Qty]]*Table1[[#This Row],[CostPrice]]</f>
        <v>31000</v>
      </c>
      <c r="J1575">
        <v>28797</v>
      </c>
      <c r="K1575">
        <v>202.99999999999997</v>
      </c>
      <c r="L1575" t="s">
        <v>13</v>
      </c>
      <c r="M1575" t="s">
        <v>29</v>
      </c>
      <c r="N1575">
        <f>MONTH(Table1[[#This Row],[SaleDate]])</f>
        <v>7</v>
      </c>
      <c r="O1575" t="str">
        <f>TEXT(Table1[[#This Row],[SaleDate]],"MMM")</f>
        <v>Jul</v>
      </c>
    </row>
    <row r="1576" spans="1:15">
      <c r="A1576" s="1">
        <v>45110</v>
      </c>
      <c r="B1576" t="s">
        <v>25</v>
      </c>
      <c r="C1576" t="s">
        <v>21</v>
      </c>
      <c r="D1576">
        <v>1</v>
      </c>
      <c r="E1576" t="s">
        <v>10</v>
      </c>
      <c r="F1576">
        <v>89000</v>
      </c>
      <c r="G1576">
        <v>65000</v>
      </c>
      <c r="H1576">
        <f>Table1[[#This Row],[Qty]]*Table1[[#This Row],[SellingPrice]]</f>
        <v>89000</v>
      </c>
      <c r="I1576">
        <f>Table1[[#This Row],[Qty]]*Table1[[#This Row],[CostPrice]]</f>
        <v>65000</v>
      </c>
      <c r="J1576">
        <v>23832</v>
      </c>
      <c r="K1576">
        <v>167.99999999999997</v>
      </c>
      <c r="L1576" t="s">
        <v>13</v>
      </c>
      <c r="M1576" t="s">
        <v>28</v>
      </c>
      <c r="N1576">
        <f>MONTH(Table1[[#This Row],[SaleDate]])</f>
        <v>7</v>
      </c>
      <c r="O1576" t="str">
        <f>TEXT(Table1[[#This Row],[SaleDate]],"MMM")</f>
        <v>Jul</v>
      </c>
    </row>
    <row r="1577" spans="1:15">
      <c r="A1577" s="1">
        <v>45111</v>
      </c>
      <c r="B1577" t="s">
        <v>23</v>
      </c>
      <c r="C1577" t="s">
        <v>19</v>
      </c>
      <c r="D1577">
        <v>1</v>
      </c>
      <c r="E1577" t="s">
        <v>7</v>
      </c>
      <c r="F1577">
        <v>33000</v>
      </c>
      <c r="G1577">
        <v>18000</v>
      </c>
      <c r="H1577">
        <f>Table1[[#This Row],[Qty]]*Table1[[#This Row],[SellingPrice]]</f>
        <v>33000</v>
      </c>
      <c r="I1577">
        <f>Table1[[#This Row],[Qty]]*Table1[[#This Row],[CostPrice]]</f>
        <v>18000</v>
      </c>
      <c r="J1577">
        <v>14895</v>
      </c>
      <c r="K1577">
        <v>104.99999999999999</v>
      </c>
      <c r="L1577" t="s">
        <v>8</v>
      </c>
      <c r="M1577" t="s">
        <v>27</v>
      </c>
      <c r="N1577">
        <f>MONTH(Table1[[#This Row],[SaleDate]])</f>
        <v>7</v>
      </c>
      <c r="O1577" t="str">
        <f>TEXT(Table1[[#This Row],[SaleDate]],"MMM")</f>
        <v>Jul</v>
      </c>
    </row>
    <row r="1578" spans="1:15">
      <c r="A1578" s="1">
        <v>45111</v>
      </c>
      <c r="B1578" t="s">
        <v>23</v>
      </c>
      <c r="C1578" t="s">
        <v>19</v>
      </c>
      <c r="D1578">
        <v>1</v>
      </c>
      <c r="E1578" t="s">
        <v>9</v>
      </c>
      <c r="F1578">
        <v>60000</v>
      </c>
      <c r="G1578">
        <v>31000</v>
      </c>
      <c r="H1578">
        <f>Table1[[#This Row],[Qty]]*Table1[[#This Row],[SellingPrice]]</f>
        <v>60000</v>
      </c>
      <c r="I1578">
        <f>Table1[[#This Row],[Qty]]*Table1[[#This Row],[CostPrice]]</f>
        <v>31000</v>
      </c>
      <c r="J1578">
        <v>28797</v>
      </c>
      <c r="K1578">
        <v>202.99999999999997</v>
      </c>
      <c r="L1578" t="s">
        <v>8</v>
      </c>
      <c r="M1578" t="s">
        <v>29</v>
      </c>
      <c r="N1578">
        <f>MONTH(Table1[[#This Row],[SaleDate]])</f>
        <v>7</v>
      </c>
      <c r="O1578" t="str">
        <f>TEXT(Table1[[#This Row],[SaleDate]],"MMM")</f>
        <v>Jul</v>
      </c>
    </row>
    <row r="1579" spans="1:15">
      <c r="A1579" s="1">
        <v>45111</v>
      </c>
      <c r="B1579" t="s">
        <v>23</v>
      </c>
      <c r="C1579" t="s">
        <v>19</v>
      </c>
      <c r="D1579">
        <v>1</v>
      </c>
      <c r="E1579" t="s">
        <v>10</v>
      </c>
      <c r="F1579">
        <v>89000</v>
      </c>
      <c r="G1579">
        <v>65000</v>
      </c>
      <c r="H1579">
        <f>Table1[[#This Row],[Qty]]*Table1[[#This Row],[SellingPrice]]</f>
        <v>89000</v>
      </c>
      <c r="I1579">
        <f>Table1[[#This Row],[Qty]]*Table1[[#This Row],[CostPrice]]</f>
        <v>65000</v>
      </c>
      <c r="J1579">
        <v>23832</v>
      </c>
      <c r="K1579">
        <v>167.99999999999997</v>
      </c>
      <c r="L1579" t="s">
        <v>8</v>
      </c>
      <c r="M1579" t="s">
        <v>27</v>
      </c>
      <c r="N1579">
        <f>MONTH(Table1[[#This Row],[SaleDate]])</f>
        <v>7</v>
      </c>
      <c r="O1579" t="str">
        <f>TEXT(Table1[[#This Row],[SaleDate]],"MMM")</f>
        <v>Jul</v>
      </c>
    </row>
    <row r="1580" spans="1:15">
      <c r="A1580" s="1">
        <v>45111</v>
      </c>
      <c r="B1580" t="s">
        <v>26</v>
      </c>
      <c r="C1580" t="s">
        <v>20</v>
      </c>
      <c r="D1580">
        <v>1</v>
      </c>
      <c r="E1580" t="s">
        <v>7</v>
      </c>
      <c r="F1580">
        <v>33000</v>
      </c>
      <c r="G1580">
        <v>18000</v>
      </c>
      <c r="H1580">
        <f>Table1[[#This Row],[Qty]]*Table1[[#This Row],[SellingPrice]]</f>
        <v>33000</v>
      </c>
      <c r="I1580">
        <f>Table1[[#This Row],[Qty]]*Table1[[#This Row],[CostPrice]]</f>
        <v>18000</v>
      </c>
      <c r="J1580">
        <v>14895</v>
      </c>
      <c r="K1580">
        <v>104.99999999999999</v>
      </c>
      <c r="L1580" t="s">
        <v>11</v>
      </c>
      <c r="M1580" t="s">
        <v>27</v>
      </c>
      <c r="N1580">
        <f>MONTH(Table1[[#This Row],[SaleDate]])</f>
        <v>7</v>
      </c>
      <c r="O1580" t="str">
        <f>TEXT(Table1[[#This Row],[SaleDate]],"MMM")</f>
        <v>Jul</v>
      </c>
    </row>
    <row r="1581" spans="1:15">
      <c r="A1581" s="1">
        <v>45111</v>
      </c>
      <c r="B1581" t="s">
        <v>24</v>
      </c>
      <c r="C1581" t="s">
        <v>22</v>
      </c>
      <c r="D1581">
        <v>1</v>
      </c>
      <c r="E1581" t="s">
        <v>7</v>
      </c>
      <c r="F1581">
        <v>33000</v>
      </c>
      <c r="G1581">
        <v>18000</v>
      </c>
      <c r="H1581">
        <f>Table1[[#This Row],[Qty]]*Table1[[#This Row],[SellingPrice]]</f>
        <v>33000</v>
      </c>
      <c r="I1581">
        <f>Table1[[#This Row],[Qty]]*Table1[[#This Row],[CostPrice]]</f>
        <v>18000</v>
      </c>
      <c r="J1581">
        <v>14895</v>
      </c>
      <c r="K1581">
        <v>104.99999999999999</v>
      </c>
      <c r="L1581" t="s">
        <v>12</v>
      </c>
      <c r="M1581" t="s">
        <v>27</v>
      </c>
      <c r="N1581">
        <f>MONTH(Table1[[#This Row],[SaleDate]])</f>
        <v>7</v>
      </c>
      <c r="O1581" t="str">
        <f>TEXT(Table1[[#This Row],[SaleDate]],"MMM")</f>
        <v>Jul</v>
      </c>
    </row>
    <row r="1582" spans="1:15">
      <c r="A1582" s="1">
        <v>45111</v>
      </c>
      <c r="B1582" t="s">
        <v>24</v>
      </c>
      <c r="C1582" t="s">
        <v>22</v>
      </c>
      <c r="D1582">
        <v>1</v>
      </c>
      <c r="E1582" t="s">
        <v>9</v>
      </c>
      <c r="F1582">
        <v>60000</v>
      </c>
      <c r="G1582">
        <v>31000</v>
      </c>
      <c r="H1582">
        <f>Table1[[#This Row],[Qty]]*Table1[[#This Row],[SellingPrice]]</f>
        <v>60000</v>
      </c>
      <c r="I1582">
        <f>Table1[[#This Row],[Qty]]*Table1[[#This Row],[CostPrice]]</f>
        <v>31000</v>
      </c>
      <c r="J1582">
        <v>28797</v>
      </c>
      <c r="K1582">
        <v>202.99999999999997</v>
      </c>
      <c r="L1582" t="s">
        <v>12</v>
      </c>
      <c r="M1582" t="s">
        <v>27</v>
      </c>
      <c r="N1582">
        <f>MONTH(Table1[[#This Row],[SaleDate]])</f>
        <v>7</v>
      </c>
      <c r="O1582" t="str">
        <f>TEXT(Table1[[#This Row],[SaleDate]],"MMM")</f>
        <v>Jul</v>
      </c>
    </row>
    <row r="1583" spans="1:15">
      <c r="A1583" s="1">
        <v>45111</v>
      </c>
      <c r="B1583" t="s">
        <v>24</v>
      </c>
      <c r="C1583" t="s">
        <v>22</v>
      </c>
      <c r="D1583">
        <v>1</v>
      </c>
      <c r="E1583" t="s">
        <v>10</v>
      </c>
      <c r="F1583">
        <v>89000</v>
      </c>
      <c r="G1583">
        <v>65000</v>
      </c>
      <c r="H1583">
        <f>Table1[[#This Row],[Qty]]*Table1[[#This Row],[SellingPrice]]</f>
        <v>89000</v>
      </c>
      <c r="I1583">
        <f>Table1[[#This Row],[Qty]]*Table1[[#This Row],[CostPrice]]</f>
        <v>65000</v>
      </c>
      <c r="J1583">
        <v>23832</v>
      </c>
      <c r="K1583">
        <v>167.99999999999997</v>
      </c>
      <c r="L1583" t="s">
        <v>12</v>
      </c>
      <c r="M1583" t="s">
        <v>28</v>
      </c>
      <c r="N1583">
        <f>MONTH(Table1[[#This Row],[SaleDate]])</f>
        <v>7</v>
      </c>
      <c r="O1583" t="str">
        <f>TEXT(Table1[[#This Row],[SaleDate]],"MMM")</f>
        <v>Jul</v>
      </c>
    </row>
    <row r="1584" spans="1:15">
      <c r="A1584" s="1">
        <v>45111</v>
      </c>
      <c r="B1584" t="s">
        <v>25</v>
      </c>
      <c r="C1584" t="s">
        <v>21</v>
      </c>
      <c r="D1584">
        <v>1</v>
      </c>
      <c r="E1584" t="s">
        <v>7</v>
      </c>
      <c r="F1584">
        <v>33000</v>
      </c>
      <c r="G1584">
        <v>18000</v>
      </c>
      <c r="H1584">
        <f>Table1[[#This Row],[Qty]]*Table1[[#This Row],[SellingPrice]]</f>
        <v>33000</v>
      </c>
      <c r="I1584">
        <f>Table1[[#This Row],[Qty]]*Table1[[#This Row],[CostPrice]]</f>
        <v>18000</v>
      </c>
      <c r="J1584">
        <v>14895</v>
      </c>
      <c r="K1584">
        <v>104.99999999999999</v>
      </c>
      <c r="L1584" t="s">
        <v>13</v>
      </c>
      <c r="M1584" t="s">
        <v>30</v>
      </c>
      <c r="N1584">
        <f>MONTH(Table1[[#This Row],[SaleDate]])</f>
        <v>7</v>
      </c>
      <c r="O1584" t="str">
        <f>TEXT(Table1[[#This Row],[SaleDate]],"MMM")</f>
        <v>Jul</v>
      </c>
    </row>
    <row r="1585" spans="1:15">
      <c r="A1585" s="1">
        <v>45111</v>
      </c>
      <c r="B1585" t="s">
        <v>25</v>
      </c>
      <c r="C1585" t="s">
        <v>21</v>
      </c>
      <c r="D1585">
        <v>1</v>
      </c>
      <c r="E1585" t="s">
        <v>9</v>
      </c>
      <c r="F1585">
        <v>60000</v>
      </c>
      <c r="G1585">
        <v>31000</v>
      </c>
      <c r="H1585">
        <f>Table1[[#This Row],[Qty]]*Table1[[#This Row],[SellingPrice]]</f>
        <v>60000</v>
      </c>
      <c r="I1585">
        <f>Table1[[#This Row],[Qty]]*Table1[[#This Row],[CostPrice]]</f>
        <v>31000</v>
      </c>
      <c r="J1585">
        <v>28797</v>
      </c>
      <c r="K1585">
        <v>202.99999999999997</v>
      </c>
      <c r="L1585" t="s">
        <v>13</v>
      </c>
      <c r="M1585" t="s">
        <v>27</v>
      </c>
      <c r="N1585">
        <f>MONTH(Table1[[#This Row],[SaleDate]])</f>
        <v>7</v>
      </c>
      <c r="O1585" t="str">
        <f>TEXT(Table1[[#This Row],[SaleDate]],"MMM")</f>
        <v>Jul</v>
      </c>
    </row>
    <row r="1586" spans="1:15">
      <c r="A1586" s="1">
        <v>45111</v>
      </c>
      <c r="B1586" t="s">
        <v>25</v>
      </c>
      <c r="C1586" t="s">
        <v>21</v>
      </c>
      <c r="D1586">
        <v>1</v>
      </c>
      <c r="E1586" t="s">
        <v>10</v>
      </c>
      <c r="F1586">
        <v>89000</v>
      </c>
      <c r="G1586">
        <v>65000</v>
      </c>
      <c r="H1586">
        <f>Table1[[#This Row],[Qty]]*Table1[[#This Row],[SellingPrice]]</f>
        <v>89000</v>
      </c>
      <c r="I1586">
        <f>Table1[[#This Row],[Qty]]*Table1[[#This Row],[CostPrice]]</f>
        <v>65000</v>
      </c>
      <c r="J1586">
        <v>23832</v>
      </c>
      <c r="K1586">
        <v>167.99999999999997</v>
      </c>
      <c r="L1586" t="s">
        <v>13</v>
      </c>
      <c r="M1586" t="s">
        <v>30</v>
      </c>
      <c r="N1586">
        <f>MONTH(Table1[[#This Row],[SaleDate]])</f>
        <v>7</v>
      </c>
      <c r="O1586" t="str">
        <f>TEXT(Table1[[#This Row],[SaleDate]],"MMM")</f>
        <v>Jul</v>
      </c>
    </row>
    <row r="1587" spans="1:15">
      <c r="A1587" s="1">
        <v>45112</v>
      </c>
      <c r="B1587" t="s">
        <v>23</v>
      </c>
      <c r="C1587" t="s">
        <v>19</v>
      </c>
      <c r="D1587">
        <v>1</v>
      </c>
      <c r="E1587" t="s">
        <v>7</v>
      </c>
      <c r="F1587">
        <v>33000</v>
      </c>
      <c r="G1587">
        <v>18000</v>
      </c>
      <c r="H1587">
        <f>Table1[[#This Row],[Qty]]*Table1[[#This Row],[SellingPrice]]</f>
        <v>33000</v>
      </c>
      <c r="I1587">
        <f>Table1[[#This Row],[Qty]]*Table1[[#This Row],[CostPrice]]</f>
        <v>18000</v>
      </c>
      <c r="J1587">
        <v>14895</v>
      </c>
      <c r="K1587">
        <v>104.99999999999999</v>
      </c>
      <c r="L1587" t="s">
        <v>8</v>
      </c>
      <c r="M1587" t="s">
        <v>27</v>
      </c>
      <c r="N1587">
        <f>MONTH(Table1[[#This Row],[SaleDate]])</f>
        <v>7</v>
      </c>
      <c r="O1587" t="str">
        <f>TEXT(Table1[[#This Row],[SaleDate]],"MMM")</f>
        <v>Jul</v>
      </c>
    </row>
    <row r="1588" spans="1:15">
      <c r="A1588" s="1">
        <v>45112</v>
      </c>
      <c r="B1588" t="s">
        <v>23</v>
      </c>
      <c r="C1588" t="s">
        <v>19</v>
      </c>
      <c r="D1588">
        <v>1</v>
      </c>
      <c r="E1588" t="s">
        <v>9</v>
      </c>
      <c r="F1588">
        <v>60000</v>
      </c>
      <c r="G1588">
        <v>31000</v>
      </c>
      <c r="H1588">
        <f>Table1[[#This Row],[Qty]]*Table1[[#This Row],[SellingPrice]]</f>
        <v>60000</v>
      </c>
      <c r="I1588">
        <f>Table1[[#This Row],[Qty]]*Table1[[#This Row],[CostPrice]]</f>
        <v>31000</v>
      </c>
      <c r="J1588">
        <v>28797</v>
      </c>
      <c r="K1588">
        <v>202.99999999999997</v>
      </c>
      <c r="L1588" t="s">
        <v>8</v>
      </c>
      <c r="M1588" t="s">
        <v>30</v>
      </c>
      <c r="N1588">
        <f>MONTH(Table1[[#This Row],[SaleDate]])</f>
        <v>7</v>
      </c>
      <c r="O1588" t="str">
        <f>TEXT(Table1[[#This Row],[SaleDate]],"MMM")</f>
        <v>Jul</v>
      </c>
    </row>
    <row r="1589" spans="1:15">
      <c r="A1589" s="1">
        <v>45112</v>
      </c>
      <c r="B1589" t="s">
        <v>23</v>
      </c>
      <c r="C1589" t="s">
        <v>19</v>
      </c>
      <c r="D1589">
        <v>1</v>
      </c>
      <c r="E1589" t="s">
        <v>10</v>
      </c>
      <c r="F1589">
        <v>89000</v>
      </c>
      <c r="G1589">
        <v>65000</v>
      </c>
      <c r="H1589">
        <f>Table1[[#This Row],[Qty]]*Table1[[#This Row],[SellingPrice]]</f>
        <v>89000</v>
      </c>
      <c r="I1589">
        <f>Table1[[#This Row],[Qty]]*Table1[[#This Row],[CostPrice]]</f>
        <v>65000</v>
      </c>
      <c r="J1589">
        <v>23832</v>
      </c>
      <c r="K1589">
        <v>167.99999999999997</v>
      </c>
      <c r="L1589" t="s">
        <v>8</v>
      </c>
      <c r="M1589" t="s">
        <v>28</v>
      </c>
      <c r="N1589">
        <f>MONTH(Table1[[#This Row],[SaleDate]])</f>
        <v>7</v>
      </c>
      <c r="O1589" t="str">
        <f>TEXT(Table1[[#This Row],[SaleDate]],"MMM")</f>
        <v>Jul</v>
      </c>
    </row>
    <row r="1590" spans="1:15">
      <c r="A1590" s="1">
        <v>45112</v>
      </c>
      <c r="B1590" t="s">
        <v>26</v>
      </c>
      <c r="C1590" t="s">
        <v>20</v>
      </c>
      <c r="D1590">
        <v>1</v>
      </c>
      <c r="E1590" t="s">
        <v>7</v>
      </c>
      <c r="F1590">
        <v>33000</v>
      </c>
      <c r="G1590">
        <v>18000</v>
      </c>
      <c r="H1590">
        <f>Table1[[#This Row],[Qty]]*Table1[[#This Row],[SellingPrice]]</f>
        <v>33000</v>
      </c>
      <c r="I1590">
        <f>Table1[[#This Row],[Qty]]*Table1[[#This Row],[CostPrice]]</f>
        <v>18000</v>
      </c>
      <c r="J1590">
        <v>14895</v>
      </c>
      <c r="K1590">
        <v>104.99999999999999</v>
      </c>
      <c r="L1590" t="s">
        <v>11</v>
      </c>
      <c r="M1590" t="s">
        <v>29</v>
      </c>
      <c r="N1590">
        <f>MONTH(Table1[[#This Row],[SaleDate]])</f>
        <v>7</v>
      </c>
      <c r="O1590" t="str">
        <f>TEXT(Table1[[#This Row],[SaleDate]],"MMM")</f>
        <v>Jul</v>
      </c>
    </row>
    <row r="1591" spans="1:15">
      <c r="A1591" s="1">
        <v>45112</v>
      </c>
      <c r="B1591" t="s">
        <v>24</v>
      </c>
      <c r="C1591" t="s">
        <v>22</v>
      </c>
      <c r="D1591">
        <v>1</v>
      </c>
      <c r="E1591" t="s">
        <v>7</v>
      </c>
      <c r="F1591">
        <v>33000</v>
      </c>
      <c r="G1591">
        <v>18000</v>
      </c>
      <c r="H1591">
        <f>Table1[[#This Row],[Qty]]*Table1[[#This Row],[SellingPrice]]</f>
        <v>33000</v>
      </c>
      <c r="I1591">
        <f>Table1[[#This Row],[Qty]]*Table1[[#This Row],[CostPrice]]</f>
        <v>18000</v>
      </c>
      <c r="J1591">
        <v>14895</v>
      </c>
      <c r="K1591">
        <v>104.99999999999999</v>
      </c>
      <c r="L1591" t="s">
        <v>12</v>
      </c>
      <c r="M1591" t="s">
        <v>30</v>
      </c>
      <c r="N1591">
        <f>MONTH(Table1[[#This Row],[SaleDate]])</f>
        <v>7</v>
      </c>
      <c r="O1591" t="str">
        <f>TEXT(Table1[[#This Row],[SaleDate]],"MMM")</f>
        <v>Jul</v>
      </c>
    </row>
    <row r="1592" spans="1:15">
      <c r="A1592" s="1">
        <v>45112</v>
      </c>
      <c r="B1592" t="s">
        <v>24</v>
      </c>
      <c r="C1592" t="s">
        <v>22</v>
      </c>
      <c r="D1592">
        <v>1</v>
      </c>
      <c r="E1592" t="s">
        <v>9</v>
      </c>
      <c r="F1592">
        <v>60000</v>
      </c>
      <c r="G1592">
        <v>31000</v>
      </c>
      <c r="H1592">
        <f>Table1[[#This Row],[Qty]]*Table1[[#This Row],[SellingPrice]]</f>
        <v>60000</v>
      </c>
      <c r="I1592">
        <f>Table1[[#This Row],[Qty]]*Table1[[#This Row],[CostPrice]]</f>
        <v>31000</v>
      </c>
      <c r="J1592">
        <v>28797</v>
      </c>
      <c r="K1592">
        <v>202.99999999999997</v>
      </c>
      <c r="L1592" t="s">
        <v>12</v>
      </c>
      <c r="M1592" t="s">
        <v>29</v>
      </c>
      <c r="N1592">
        <f>MONTH(Table1[[#This Row],[SaleDate]])</f>
        <v>7</v>
      </c>
      <c r="O1592" t="str">
        <f>TEXT(Table1[[#This Row],[SaleDate]],"MMM")</f>
        <v>Jul</v>
      </c>
    </row>
    <row r="1593" spans="1:15">
      <c r="A1593" s="1">
        <v>45112</v>
      </c>
      <c r="B1593" t="s">
        <v>24</v>
      </c>
      <c r="C1593" t="s">
        <v>22</v>
      </c>
      <c r="D1593">
        <v>1</v>
      </c>
      <c r="E1593" t="s">
        <v>10</v>
      </c>
      <c r="F1593">
        <v>89000</v>
      </c>
      <c r="G1593">
        <v>65000</v>
      </c>
      <c r="H1593">
        <f>Table1[[#This Row],[Qty]]*Table1[[#This Row],[SellingPrice]]</f>
        <v>89000</v>
      </c>
      <c r="I1593">
        <f>Table1[[#This Row],[Qty]]*Table1[[#This Row],[CostPrice]]</f>
        <v>65000</v>
      </c>
      <c r="J1593">
        <v>23832</v>
      </c>
      <c r="K1593">
        <v>167.99999999999997</v>
      </c>
      <c r="L1593" t="s">
        <v>12</v>
      </c>
      <c r="M1593" t="s">
        <v>30</v>
      </c>
      <c r="N1593">
        <f>MONTH(Table1[[#This Row],[SaleDate]])</f>
        <v>7</v>
      </c>
      <c r="O1593" t="str">
        <f>TEXT(Table1[[#This Row],[SaleDate]],"MMM")</f>
        <v>Jul</v>
      </c>
    </row>
    <row r="1594" spans="1:15">
      <c r="A1594" s="1">
        <v>45112</v>
      </c>
      <c r="B1594" t="s">
        <v>25</v>
      </c>
      <c r="C1594" t="s">
        <v>21</v>
      </c>
      <c r="D1594">
        <v>1</v>
      </c>
      <c r="E1594" t="s">
        <v>7</v>
      </c>
      <c r="F1594">
        <v>33000</v>
      </c>
      <c r="G1594">
        <v>18000</v>
      </c>
      <c r="H1594">
        <f>Table1[[#This Row],[Qty]]*Table1[[#This Row],[SellingPrice]]</f>
        <v>33000</v>
      </c>
      <c r="I1594">
        <f>Table1[[#This Row],[Qty]]*Table1[[#This Row],[CostPrice]]</f>
        <v>18000</v>
      </c>
      <c r="J1594">
        <v>14895</v>
      </c>
      <c r="K1594">
        <v>104.99999999999999</v>
      </c>
      <c r="L1594" t="s">
        <v>13</v>
      </c>
      <c r="M1594" t="s">
        <v>27</v>
      </c>
      <c r="N1594">
        <f>MONTH(Table1[[#This Row],[SaleDate]])</f>
        <v>7</v>
      </c>
      <c r="O1594" t="str">
        <f>TEXT(Table1[[#This Row],[SaleDate]],"MMM")</f>
        <v>Jul</v>
      </c>
    </row>
    <row r="1595" spans="1:15">
      <c r="A1595" s="1">
        <v>45112</v>
      </c>
      <c r="B1595" t="s">
        <v>25</v>
      </c>
      <c r="C1595" t="s">
        <v>21</v>
      </c>
      <c r="D1595">
        <v>1</v>
      </c>
      <c r="E1595" t="s">
        <v>9</v>
      </c>
      <c r="F1595">
        <v>60000</v>
      </c>
      <c r="G1595">
        <v>31000</v>
      </c>
      <c r="H1595">
        <f>Table1[[#This Row],[Qty]]*Table1[[#This Row],[SellingPrice]]</f>
        <v>60000</v>
      </c>
      <c r="I1595">
        <f>Table1[[#This Row],[Qty]]*Table1[[#This Row],[CostPrice]]</f>
        <v>31000</v>
      </c>
      <c r="J1595">
        <v>28797</v>
      </c>
      <c r="K1595">
        <v>202.99999999999997</v>
      </c>
      <c r="L1595" t="s">
        <v>13</v>
      </c>
      <c r="M1595" t="s">
        <v>27</v>
      </c>
      <c r="N1595">
        <f>MONTH(Table1[[#This Row],[SaleDate]])</f>
        <v>7</v>
      </c>
      <c r="O1595" t="str">
        <f>TEXT(Table1[[#This Row],[SaleDate]],"MMM")</f>
        <v>Jul</v>
      </c>
    </row>
    <row r="1596" spans="1:15">
      <c r="A1596" s="1">
        <v>45112</v>
      </c>
      <c r="B1596" t="s">
        <v>25</v>
      </c>
      <c r="C1596" t="s">
        <v>21</v>
      </c>
      <c r="D1596">
        <v>1</v>
      </c>
      <c r="E1596" t="s">
        <v>10</v>
      </c>
      <c r="F1596">
        <v>89000</v>
      </c>
      <c r="G1596">
        <v>65000</v>
      </c>
      <c r="H1596">
        <f>Table1[[#This Row],[Qty]]*Table1[[#This Row],[SellingPrice]]</f>
        <v>89000</v>
      </c>
      <c r="I1596">
        <f>Table1[[#This Row],[Qty]]*Table1[[#This Row],[CostPrice]]</f>
        <v>65000</v>
      </c>
      <c r="J1596">
        <v>23832</v>
      </c>
      <c r="K1596">
        <v>167.99999999999997</v>
      </c>
      <c r="L1596" t="s">
        <v>13</v>
      </c>
      <c r="M1596" t="s">
        <v>29</v>
      </c>
      <c r="N1596">
        <f>MONTH(Table1[[#This Row],[SaleDate]])</f>
        <v>7</v>
      </c>
      <c r="O1596" t="str">
        <f>TEXT(Table1[[#This Row],[SaleDate]],"MMM")</f>
        <v>Jul</v>
      </c>
    </row>
    <row r="1597" spans="1:15">
      <c r="A1597" s="1">
        <v>45113</v>
      </c>
      <c r="B1597" t="s">
        <v>23</v>
      </c>
      <c r="C1597" t="s">
        <v>19</v>
      </c>
      <c r="D1597">
        <v>1</v>
      </c>
      <c r="E1597" t="s">
        <v>7</v>
      </c>
      <c r="F1597">
        <v>33000</v>
      </c>
      <c r="G1597">
        <v>18000</v>
      </c>
      <c r="H1597">
        <f>Table1[[#This Row],[Qty]]*Table1[[#This Row],[SellingPrice]]</f>
        <v>33000</v>
      </c>
      <c r="I1597">
        <f>Table1[[#This Row],[Qty]]*Table1[[#This Row],[CostPrice]]</f>
        <v>18000</v>
      </c>
      <c r="J1597">
        <v>14895</v>
      </c>
      <c r="K1597">
        <v>104.99999999999999</v>
      </c>
      <c r="L1597" t="s">
        <v>8</v>
      </c>
      <c r="M1597" t="s">
        <v>28</v>
      </c>
      <c r="N1597">
        <f>MONTH(Table1[[#This Row],[SaleDate]])</f>
        <v>7</v>
      </c>
      <c r="O1597" t="str">
        <f>TEXT(Table1[[#This Row],[SaleDate]],"MMM")</f>
        <v>Jul</v>
      </c>
    </row>
    <row r="1598" spans="1:15">
      <c r="A1598" s="1">
        <v>45113</v>
      </c>
      <c r="B1598" t="s">
        <v>23</v>
      </c>
      <c r="C1598" t="s">
        <v>19</v>
      </c>
      <c r="D1598">
        <v>1</v>
      </c>
      <c r="E1598" t="s">
        <v>9</v>
      </c>
      <c r="F1598">
        <v>60000</v>
      </c>
      <c r="G1598">
        <v>31000</v>
      </c>
      <c r="H1598">
        <f>Table1[[#This Row],[Qty]]*Table1[[#This Row],[SellingPrice]]</f>
        <v>60000</v>
      </c>
      <c r="I1598">
        <f>Table1[[#This Row],[Qty]]*Table1[[#This Row],[CostPrice]]</f>
        <v>31000</v>
      </c>
      <c r="J1598">
        <v>28797</v>
      </c>
      <c r="K1598">
        <v>202.99999999999997</v>
      </c>
      <c r="L1598" t="s">
        <v>8</v>
      </c>
      <c r="M1598" t="s">
        <v>30</v>
      </c>
      <c r="N1598">
        <f>MONTH(Table1[[#This Row],[SaleDate]])</f>
        <v>7</v>
      </c>
      <c r="O1598" t="str">
        <f>TEXT(Table1[[#This Row],[SaleDate]],"MMM")</f>
        <v>Jul</v>
      </c>
    </row>
    <row r="1599" spans="1:15">
      <c r="A1599" s="1">
        <v>45113</v>
      </c>
      <c r="B1599" t="s">
        <v>23</v>
      </c>
      <c r="C1599" t="s">
        <v>19</v>
      </c>
      <c r="D1599">
        <v>1</v>
      </c>
      <c r="E1599" t="s">
        <v>10</v>
      </c>
      <c r="F1599">
        <v>89000</v>
      </c>
      <c r="G1599">
        <v>65000</v>
      </c>
      <c r="H1599">
        <f>Table1[[#This Row],[Qty]]*Table1[[#This Row],[SellingPrice]]</f>
        <v>89000</v>
      </c>
      <c r="I1599">
        <f>Table1[[#This Row],[Qty]]*Table1[[#This Row],[CostPrice]]</f>
        <v>65000</v>
      </c>
      <c r="J1599">
        <v>23832</v>
      </c>
      <c r="K1599">
        <v>167.99999999999997</v>
      </c>
      <c r="L1599" t="s">
        <v>8</v>
      </c>
      <c r="M1599" t="s">
        <v>29</v>
      </c>
      <c r="N1599">
        <f>MONTH(Table1[[#This Row],[SaleDate]])</f>
        <v>7</v>
      </c>
      <c r="O1599" t="str">
        <f>TEXT(Table1[[#This Row],[SaleDate]],"MMM")</f>
        <v>Jul</v>
      </c>
    </row>
    <row r="1600" spans="1:15">
      <c r="A1600" s="1">
        <v>45113</v>
      </c>
      <c r="B1600" t="s">
        <v>26</v>
      </c>
      <c r="C1600" t="s">
        <v>20</v>
      </c>
      <c r="D1600">
        <v>1</v>
      </c>
      <c r="E1600" t="s">
        <v>7</v>
      </c>
      <c r="F1600">
        <v>33000</v>
      </c>
      <c r="G1600">
        <v>18000</v>
      </c>
      <c r="H1600">
        <f>Table1[[#This Row],[Qty]]*Table1[[#This Row],[SellingPrice]]</f>
        <v>33000</v>
      </c>
      <c r="I1600">
        <f>Table1[[#This Row],[Qty]]*Table1[[#This Row],[CostPrice]]</f>
        <v>18000</v>
      </c>
      <c r="J1600">
        <v>14895</v>
      </c>
      <c r="K1600">
        <v>104.99999999999999</v>
      </c>
      <c r="L1600" t="s">
        <v>11</v>
      </c>
      <c r="M1600" t="s">
        <v>29</v>
      </c>
      <c r="N1600">
        <f>MONTH(Table1[[#This Row],[SaleDate]])</f>
        <v>7</v>
      </c>
      <c r="O1600" t="str">
        <f>TEXT(Table1[[#This Row],[SaleDate]],"MMM")</f>
        <v>Jul</v>
      </c>
    </row>
    <row r="1601" spans="1:15">
      <c r="A1601" s="1">
        <v>45113</v>
      </c>
      <c r="B1601" t="s">
        <v>24</v>
      </c>
      <c r="C1601" t="s">
        <v>22</v>
      </c>
      <c r="D1601">
        <v>1</v>
      </c>
      <c r="E1601" t="s">
        <v>7</v>
      </c>
      <c r="F1601">
        <v>33000</v>
      </c>
      <c r="G1601">
        <v>18000</v>
      </c>
      <c r="H1601">
        <f>Table1[[#This Row],[Qty]]*Table1[[#This Row],[SellingPrice]]</f>
        <v>33000</v>
      </c>
      <c r="I1601">
        <f>Table1[[#This Row],[Qty]]*Table1[[#This Row],[CostPrice]]</f>
        <v>18000</v>
      </c>
      <c r="J1601">
        <v>14895</v>
      </c>
      <c r="K1601">
        <v>104.99999999999999</v>
      </c>
      <c r="L1601" t="s">
        <v>12</v>
      </c>
      <c r="M1601" t="s">
        <v>30</v>
      </c>
      <c r="N1601">
        <f>MONTH(Table1[[#This Row],[SaleDate]])</f>
        <v>7</v>
      </c>
      <c r="O1601" t="str">
        <f>TEXT(Table1[[#This Row],[SaleDate]],"MMM")</f>
        <v>Jul</v>
      </c>
    </row>
    <row r="1602" spans="1:15">
      <c r="A1602" s="1">
        <v>45113</v>
      </c>
      <c r="B1602" t="s">
        <v>24</v>
      </c>
      <c r="C1602" t="s">
        <v>22</v>
      </c>
      <c r="D1602">
        <v>1</v>
      </c>
      <c r="E1602" t="s">
        <v>9</v>
      </c>
      <c r="F1602">
        <v>60000</v>
      </c>
      <c r="G1602">
        <v>31000</v>
      </c>
      <c r="H1602">
        <f>Table1[[#This Row],[Qty]]*Table1[[#This Row],[SellingPrice]]</f>
        <v>60000</v>
      </c>
      <c r="I1602">
        <f>Table1[[#This Row],[Qty]]*Table1[[#This Row],[CostPrice]]</f>
        <v>31000</v>
      </c>
      <c r="J1602">
        <v>28797</v>
      </c>
      <c r="K1602">
        <v>202.99999999999997</v>
      </c>
      <c r="L1602" t="s">
        <v>12</v>
      </c>
      <c r="M1602" t="s">
        <v>30</v>
      </c>
      <c r="N1602">
        <f>MONTH(Table1[[#This Row],[SaleDate]])</f>
        <v>7</v>
      </c>
      <c r="O1602" t="str">
        <f>TEXT(Table1[[#This Row],[SaleDate]],"MMM")</f>
        <v>Jul</v>
      </c>
    </row>
    <row r="1603" spans="1:15">
      <c r="A1603" s="1">
        <v>45113</v>
      </c>
      <c r="B1603" t="s">
        <v>24</v>
      </c>
      <c r="C1603" t="s">
        <v>22</v>
      </c>
      <c r="D1603">
        <v>1</v>
      </c>
      <c r="E1603" t="s">
        <v>10</v>
      </c>
      <c r="F1603">
        <v>89000</v>
      </c>
      <c r="G1603">
        <v>65000</v>
      </c>
      <c r="H1603">
        <f>Table1[[#This Row],[Qty]]*Table1[[#This Row],[SellingPrice]]</f>
        <v>89000</v>
      </c>
      <c r="I1603">
        <f>Table1[[#This Row],[Qty]]*Table1[[#This Row],[CostPrice]]</f>
        <v>65000</v>
      </c>
      <c r="J1603">
        <v>23832</v>
      </c>
      <c r="K1603">
        <v>167.99999999999997</v>
      </c>
      <c r="L1603" t="s">
        <v>12</v>
      </c>
      <c r="M1603" t="s">
        <v>29</v>
      </c>
      <c r="N1603">
        <f>MONTH(Table1[[#This Row],[SaleDate]])</f>
        <v>7</v>
      </c>
      <c r="O1603" t="str">
        <f>TEXT(Table1[[#This Row],[SaleDate]],"MMM")</f>
        <v>Jul</v>
      </c>
    </row>
    <row r="1604" spans="1:15">
      <c r="A1604" s="1">
        <v>45113</v>
      </c>
      <c r="B1604" t="s">
        <v>25</v>
      </c>
      <c r="C1604" t="s">
        <v>21</v>
      </c>
      <c r="D1604">
        <v>1</v>
      </c>
      <c r="E1604" t="s">
        <v>7</v>
      </c>
      <c r="F1604">
        <v>33000</v>
      </c>
      <c r="G1604">
        <v>18000</v>
      </c>
      <c r="H1604">
        <f>Table1[[#This Row],[Qty]]*Table1[[#This Row],[SellingPrice]]</f>
        <v>33000</v>
      </c>
      <c r="I1604">
        <f>Table1[[#This Row],[Qty]]*Table1[[#This Row],[CostPrice]]</f>
        <v>18000</v>
      </c>
      <c r="J1604">
        <v>14895</v>
      </c>
      <c r="K1604">
        <v>104.99999999999999</v>
      </c>
      <c r="L1604" t="s">
        <v>13</v>
      </c>
      <c r="M1604" t="s">
        <v>28</v>
      </c>
      <c r="N1604">
        <f>MONTH(Table1[[#This Row],[SaleDate]])</f>
        <v>7</v>
      </c>
      <c r="O1604" t="str">
        <f>TEXT(Table1[[#This Row],[SaleDate]],"MMM")</f>
        <v>Jul</v>
      </c>
    </row>
    <row r="1605" spans="1:15">
      <c r="A1605" s="1">
        <v>45113</v>
      </c>
      <c r="B1605" t="s">
        <v>25</v>
      </c>
      <c r="C1605" t="s">
        <v>21</v>
      </c>
      <c r="D1605">
        <v>1</v>
      </c>
      <c r="E1605" t="s">
        <v>9</v>
      </c>
      <c r="F1605">
        <v>60000</v>
      </c>
      <c r="G1605">
        <v>31000</v>
      </c>
      <c r="H1605">
        <f>Table1[[#This Row],[Qty]]*Table1[[#This Row],[SellingPrice]]</f>
        <v>60000</v>
      </c>
      <c r="I1605">
        <f>Table1[[#This Row],[Qty]]*Table1[[#This Row],[CostPrice]]</f>
        <v>31000</v>
      </c>
      <c r="J1605">
        <v>28797</v>
      </c>
      <c r="K1605">
        <v>202.99999999999997</v>
      </c>
      <c r="L1605" t="s">
        <v>13</v>
      </c>
      <c r="M1605" t="s">
        <v>27</v>
      </c>
      <c r="N1605">
        <f>MONTH(Table1[[#This Row],[SaleDate]])</f>
        <v>7</v>
      </c>
      <c r="O1605" t="str">
        <f>TEXT(Table1[[#This Row],[SaleDate]],"MMM")</f>
        <v>Jul</v>
      </c>
    </row>
    <row r="1606" spans="1:15">
      <c r="A1606" s="1">
        <v>45113</v>
      </c>
      <c r="B1606" t="s">
        <v>25</v>
      </c>
      <c r="C1606" t="s">
        <v>21</v>
      </c>
      <c r="D1606">
        <v>1</v>
      </c>
      <c r="E1606" t="s">
        <v>10</v>
      </c>
      <c r="F1606">
        <v>89000</v>
      </c>
      <c r="G1606">
        <v>65000</v>
      </c>
      <c r="H1606">
        <f>Table1[[#This Row],[Qty]]*Table1[[#This Row],[SellingPrice]]</f>
        <v>89000</v>
      </c>
      <c r="I1606">
        <f>Table1[[#This Row],[Qty]]*Table1[[#This Row],[CostPrice]]</f>
        <v>65000</v>
      </c>
      <c r="J1606">
        <v>23832</v>
      </c>
      <c r="K1606">
        <v>167.99999999999997</v>
      </c>
      <c r="L1606" t="s">
        <v>13</v>
      </c>
      <c r="M1606" t="s">
        <v>30</v>
      </c>
      <c r="N1606">
        <f>MONTH(Table1[[#This Row],[SaleDate]])</f>
        <v>7</v>
      </c>
      <c r="O1606" t="str">
        <f>TEXT(Table1[[#This Row],[SaleDate]],"MMM")</f>
        <v>Jul</v>
      </c>
    </row>
    <row r="1607" spans="1:15">
      <c r="A1607" s="1">
        <v>45114</v>
      </c>
      <c r="B1607" t="s">
        <v>23</v>
      </c>
      <c r="C1607" t="s">
        <v>19</v>
      </c>
      <c r="D1607">
        <v>1</v>
      </c>
      <c r="E1607" t="s">
        <v>7</v>
      </c>
      <c r="F1607">
        <v>33000</v>
      </c>
      <c r="G1607">
        <v>18000</v>
      </c>
      <c r="H1607">
        <f>Table1[[#This Row],[Qty]]*Table1[[#This Row],[SellingPrice]]</f>
        <v>33000</v>
      </c>
      <c r="I1607">
        <f>Table1[[#This Row],[Qty]]*Table1[[#This Row],[CostPrice]]</f>
        <v>18000</v>
      </c>
      <c r="J1607">
        <v>14895</v>
      </c>
      <c r="K1607">
        <v>104.99999999999999</v>
      </c>
      <c r="L1607" t="s">
        <v>8</v>
      </c>
      <c r="M1607" t="s">
        <v>29</v>
      </c>
      <c r="N1607">
        <f>MONTH(Table1[[#This Row],[SaleDate]])</f>
        <v>7</v>
      </c>
      <c r="O1607" t="str">
        <f>TEXT(Table1[[#This Row],[SaleDate]],"MMM")</f>
        <v>Jul</v>
      </c>
    </row>
    <row r="1608" spans="1:15">
      <c r="A1608" s="1">
        <v>45114</v>
      </c>
      <c r="B1608" t="s">
        <v>23</v>
      </c>
      <c r="C1608" t="s">
        <v>19</v>
      </c>
      <c r="D1608">
        <v>1</v>
      </c>
      <c r="E1608" t="s">
        <v>9</v>
      </c>
      <c r="F1608">
        <v>60000</v>
      </c>
      <c r="G1608">
        <v>31000</v>
      </c>
      <c r="H1608">
        <f>Table1[[#This Row],[Qty]]*Table1[[#This Row],[SellingPrice]]</f>
        <v>60000</v>
      </c>
      <c r="I1608">
        <f>Table1[[#This Row],[Qty]]*Table1[[#This Row],[CostPrice]]</f>
        <v>31000</v>
      </c>
      <c r="J1608">
        <v>28797</v>
      </c>
      <c r="K1608">
        <v>202.99999999999997</v>
      </c>
      <c r="L1608" t="s">
        <v>8</v>
      </c>
      <c r="M1608" t="s">
        <v>27</v>
      </c>
      <c r="N1608">
        <f>MONTH(Table1[[#This Row],[SaleDate]])</f>
        <v>7</v>
      </c>
      <c r="O1608" t="str">
        <f>TEXT(Table1[[#This Row],[SaleDate]],"MMM")</f>
        <v>Jul</v>
      </c>
    </row>
    <row r="1609" spans="1:15">
      <c r="A1609" s="1">
        <v>45114</v>
      </c>
      <c r="B1609" t="s">
        <v>23</v>
      </c>
      <c r="C1609" t="s">
        <v>19</v>
      </c>
      <c r="D1609">
        <v>1</v>
      </c>
      <c r="E1609" t="s">
        <v>10</v>
      </c>
      <c r="F1609">
        <v>89000</v>
      </c>
      <c r="G1609">
        <v>65000</v>
      </c>
      <c r="H1609">
        <f>Table1[[#This Row],[Qty]]*Table1[[#This Row],[SellingPrice]]</f>
        <v>89000</v>
      </c>
      <c r="I1609">
        <f>Table1[[#This Row],[Qty]]*Table1[[#This Row],[CostPrice]]</f>
        <v>65000</v>
      </c>
      <c r="J1609">
        <v>23832</v>
      </c>
      <c r="K1609">
        <v>167.99999999999997</v>
      </c>
      <c r="L1609" t="s">
        <v>8</v>
      </c>
      <c r="M1609" t="s">
        <v>29</v>
      </c>
      <c r="N1609">
        <f>MONTH(Table1[[#This Row],[SaleDate]])</f>
        <v>7</v>
      </c>
      <c r="O1609" t="str">
        <f>TEXT(Table1[[#This Row],[SaleDate]],"MMM")</f>
        <v>Jul</v>
      </c>
    </row>
    <row r="1610" spans="1:15">
      <c r="A1610" s="1">
        <v>45114</v>
      </c>
      <c r="B1610" t="s">
        <v>26</v>
      </c>
      <c r="C1610" t="s">
        <v>20</v>
      </c>
      <c r="D1610">
        <v>1</v>
      </c>
      <c r="E1610" t="s">
        <v>7</v>
      </c>
      <c r="F1610">
        <v>33000</v>
      </c>
      <c r="G1610">
        <v>18000</v>
      </c>
      <c r="H1610">
        <f>Table1[[#This Row],[Qty]]*Table1[[#This Row],[SellingPrice]]</f>
        <v>33000</v>
      </c>
      <c r="I1610">
        <f>Table1[[#This Row],[Qty]]*Table1[[#This Row],[CostPrice]]</f>
        <v>18000</v>
      </c>
      <c r="J1610">
        <v>14895</v>
      </c>
      <c r="K1610">
        <v>104.99999999999999</v>
      </c>
      <c r="L1610" t="s">
        <v>11</v>
      </c>
      <c r="M1610" t="s">
        <v>29</v>
      </c>
      <c r="N1610">
        <f>MONTH(Table1[[#This Row],[SaleDate]])</f>
        <v>7</v>
      </c>
      <c r="O1610" t="str">
        <f>TEXT(Table1[[#This Row],[SaleDate]],"MMM")</f>
        <v>Jul</v>
      </c>
    </row>
    <row r="1611" spans="1:15">
      <c r="A1611" s="1">
        <v>45114</v>
      </c>
      <c r="B1611" t="s">
        <v>24</v>
      </c>
      <c r="C1611" t="s">
        <v>22</v>
      </c>
      <c r="D1611">
        <v>1</v>
      </c>
      <c r="E1611" t="s">
        <v>7</v>
      </c>
      <c r="F1611">
        <v>33000</v>
      </c>
      <c r="G1611">
        <v>18000</v>
      </c>
      <c r="H1611">
        <f>Table1[[#This Row],[Qty]]*Table1[[#This Row],[SellingPrice]]</f>
        <v>33000</v>
      </c>
      <c r="I1611">
        <f>Table1[[#This Row],[Qty]]*Table1[[#This Row],[CostPrice]]</f>
        <v>18000</v>
      </c>
      <c r="J1611">
        <v>14895</v>
      </c>
      <c r="K1611">
        <v>104.99999999999999</v>
      </c>
      <c r="L1611" t="s">
        <v>12</v>
      </c>
      <c r="M1611" t="s">
        <v>28</v>
      </c>
      <c r="N1611">
        <f>MONTH(Table1[[#This Row],[SaleDate]])</f>
        <v>7</v>
      </c>
      <c r="O1611" t="str">
        <f>TEXT(Table1[[#This Row],[SaleDate]],"MMM")</f>
        <v>Jul</v>
      </c>
    </row>
    <row r="1612" spans="1:15">
      <c r="A1612" s="1">
        <v>45114</v>
      </c>
      <c r="B1612" t="s">
        <v>24</v>
      </c>
      <c r="C1612" t="s">
        <v>22</v>
      </c>
      <c r="D1612">
        <v>1</v>
      </c>
      <c r="E1612" t="s">
        <v>9</v>
      </c>
      <c r="F1612">
        <v>60000</v>
      </c>
      <c r="G1612">
        <v>31000</v>
      </c>
      <c r="H1612">
        <f>Table1[[#This Row],[Qty]]*Table1[[#This Row],[SellingPrice]]</f>
        <v>60000</v>
      </c>
      <c r="I1612">
        <f>Table1[[#This Row],[Qty]]*Table1[[#This Row],[CostPrice]]</f>
        <v>31000</v>
      </c>
      <c r="J1612">
        <v>28797</v>
      </c>
      <c r="K1612">
        <v>202.99999999999997</v>
      </c>
      <c r="L1612" t="s">
        <v>12</v>
      </c>
      <c r="M1612" t="s">
        <v>30</v>
      </c>
      <c r="N1612">
        <f>MONTH(Table1[[#This Row],[SaleDate]])</f>
        <v>7</v>
      </c>
      <c r="O1612" t="str">
        <f>TEXT(Table1[[#This Row],[SaleDate]],"MMM")</f>
        <v>Jul</v>
      </c>
    </row>
    <row r="1613" spans="1:15">
      <c r="A1613" s="1">
        <v>45114</v>
      </c>
      <c r="B1613" t="s">
        <v>24</v>
      </c>
      <c r="C1613" t="s">
        <v>22</v>
      </c>
      <c r="D1613">
        <v>1</v>
      </c>
      <c r="E1613" t="s">
        <v>10</v>
      </c>
      <c r="F1613">
        <v>89000</v>
      </c>
      <c r="G1613">
        <v>65000</v>
      </c>
      <c r="H1613">
        <f>Table1[[#This Row],[Qty]]*Table1[[#This Row],[SellingPrice]]</f>
        <v>89000</v>
      </c>
      <c r="I1613">
        <f>Table1[[#This Row],[Qty]]*Table1[[#This Row],[CostPrice]]</f>
        <v>65000</v>
      </c>
      <c r="J1613">
        <v>23832</v>
      </c>
      <c r="K1613">
        <v>167.99999999999997</v>
      </c>
      <c r="L1613" t="s">
        <v>12</v>
      </c>
      <c r="M1613" t="s">
        <v>30</v>
      </c>
      <c r="N1613">
        <f>MONTH(Table1[[#This Row],[SaleDate]])</f>
        <v>7</v>
      </c>
      <c r="O1613" t="str">
        <f>TEXT(Table1[[#This Row],[SaleDate]],"MMM")</f>
        <v>Jul</v>
      </c>
    </row>
    <row r="1614" spans="1:15">
      <c r="A1614" s="1">
        <v>45114</v>
      </c>
      <c r="B1614" t="s">
        <v>25</v>
      </c>
      <c r="C1614" t="s">
        <v>21</v>
      </c>
      <c r="D1614">
        <v>1</v>
      </c>
      <c r="E1614" t="s">
        <v>7</v>
      </c>
      <c r="F1614">
        <v>33000</v>
      </c>
      <c r="G1614">
        <v>18000</v>
      </c>
      <c r="H1614">
        <f>Table1[[#This Row],[Qty]]*Table1[[#This Row],[SellingPrice]]</f>
        <v>33000</v>
      </c>
      <c r="I1614">
        <f>Table1[[#This Row],[Qty]]*Table1[[#This Row],[CostPrice]]</f>
        <v>18000</v>
      </c>
      <c r="J1614">
        <v>14895</v>
      </c>
      <c r="K1614">
        <v>104.99999999999999</v>
      </c>
      <c r="L1614" t="s">
        <v>13</v>
      </c>
      <c r="M1614" t="s">
        <v>30</v>
      </c>
      <c r="N1614">
        <f>MONTH(Table1[[#This Row],[SaleDate]])</f>
        <v>7</v>
      </c>
      <c r="O1614" t="str">
        <f>TEXT(Table1[[#This Row],[SaleDate]],"MMM")</f>
        <v>Jul</v>
      </c>
    </row>
    <row r="1615" spans="1:15">
      <c r="A1615" s="1">
        <v>45114</v>
      </c>
      <c r="B1615" t="s">
        <v>25</v>
      </c>
      <c r="C1615" t="s">
        <v>21</v>
      </c>
      <c r="D1615">
        <v>1</v>
      </c>
      <c r="E1615" t="s">
        <v>9</v>
      </c>
      <c r="F1615">
        <v>60000</v>
      </c>
      <c r="G1615">
        <v>31000</v>
      </c>
      <c r="H1615">
        <f>Table1[[#This Row],[Qty]]*Table1[[#This Row],[SellingPrice]]</f>
        <v>60000</v>
      </c>
      <c r="I1615">
        <f>Table1[[#This Row],[Qty]]*Table1[[#This Row],[CostPrice]]</f>
        <v>31000</v>
      </c>
      <c r="J1615">
        <v>28797</v>
      </c>
      <c r="K1615">
        <v>202.99999999999997</v>
      </c>
      <c r="L1615" t="s">
        <v>13</v>
      </c>
      <c r="M1615" t="s">
        <v>30</v>
      </c>
      <c r="N1615">
        <f>MONTH(Table1[[#This Row],[SaleDate]])</f>
        <v>7</v>
      </c>
      <c r="O1615" t="str">
        <f>TEXT(Table1[[#This Row],[SaleDate]],"MMM")</f>
        <v>Jul</v>
      </c>
    </row>
    <row r="1616" spans="1:15">
      <c r="A1616" s="1">
        <v>45114</v>
      </c>
      <c r="B1616" t="s">
        <v>25</v>
      </c>
      <c r="C1616" t="s">
        <v>21</v>
      </c>
      <c r="D1616">
        <v>1</v>
      </c>
      <c r="E1616" t="s">
        <v>10</v>
      </c>
      <c r="F1616">
        <v>89000</v>
      </c>
      <c r="G1616">
        <v>65000</v>
      </c>
      <c r="H1616">
        <f>Table1[[#This Row],[Qty]]*Table1[[#This Row],[SellingPrice]]</f>
        <v>89000</v>
      </c>
      <c r="I1616">
        <f>Table1[[#This Row],[Qty]]*Table1[[#This Row],[CostPrice]]</f>
        <v>65000</v>
      </c>
      <c r="J1616">
        <v>23832</v>
      </c>
      <c r="K1616">
        <v>167.99999999999997</v>
      </c>
      <c r="L1616" t="s">
        <v>13</v>
      </c>
      <c r="M1616" t="s">
        <v>30</v>
      </c>
      <c r="N1616">
        <f>MONTH(Table1[[#This Row],[SaleDate]])</f>
        <v>7</v>
      </c>
      <c r="O1616" t="str">
        <f>TEXT(Table1[[#This Row],[SaleDate]],"MMM")</f>
        <v>Jul</v>
      </c>
    </row>
    <row r="1617" spans="1:15">
      <c r="A1617" s="1">
        <v>45115</v>
      </c>
      <c r="B1617" t="s">
        <v>23</v>
      </c>
      <c r="C1617" t="s">
        <v>19</v>
      </c>
      <c r="D1617">
        <v>2</v>
      </c>
      <c r="E1617" t="s">
        <v>7</v>
      </c>
      <c r="F1617">
        <v>33000</v>
      </c>
      <c r="G1617">
        <v>18000</v>
      </c>
      <c r="H1617">
        <f>Table1[[#This Row],[Qty]]*Table1[[#This Row],[SellingPrice]]</f>
        <v>66000</v>
      </c>
      <c r="I1617">
        <f>Table1[[#This Row],[Qty]]*Table1[[#This Row],[CostPrice]]</f>
        <v>36000</v>
      </c>
      <c r="J1617">
        <v>29790</v>
      </c>
      <c r="K1617">
        <v>209.99999999999997</v>
      </c>
      <c r="L1617" t="s">
        <v>8</v>
      </c>
      <c r="M1617" t="s">
        <v>30</v>
      </c>
      <c r="N1617">
        <f>MONTH(Table1[[#This Row],[SaleDate]])</f>
        <v>7</v>
      </c>
      <c r="O1617" t="str">
        <f>TEXT(Table1[[#This Row],[SaleDate]],"MMM")</f>
        <v>Jul</v>
      </c>
    </row>
    <row r="1618" spans="1:15">
      <c r="A1618" s="1">
        <v>45115</v>
      </c>
      <c r="B1618" t="s">
        <v>23</v>
      </c>
      <c r="C1618" t="s">
        <v>19</v>
      </c>
      <c r="D1618">
        <v>2</v>
      </c>
      <c r="E1618" t="s">
        <v>9</v>
      </c>
      <c r="F1618">
        <v>60000</v>
      </c>
      <c r="G1618">
        <v>31000</v>
      </c>
      <c r="H1618">
        <f>Table1[[#This Row],[Qty]]*Table1[[#This Row],[SellingPrice]]</f>
        <v>120000</v>
      </c>
      <c r="I1618">
        <f>Table1[[#This Row],[Qty]]*Table1[[#This Row],[CostPrice]]</f>
        <v>62000</v>
      </c>
      <c r="J1618">
        <v>57594</v>
      </c>
      <c r="K1618">
        <v>405.99999999999994</v>
      </c>
      <c r="L1618" t="s">
        <v>8</v>
      </c>
      <c r="M1618" t="s">
        <v>30</v>
      </c>
      <c r="N1618">
        <f>MONTH(Table1[[#This Row],[SaleDate]])</f>
        <v>7</v>
      </c>
      <c r="O1618" t="str">
        <f>TEXT(Table1[[#This Row],[SaleDate]],"MMM")</f>
        <v>Jul</v>
      </c>
    </row>
    <row r="1619" spans="1:15">
      <c r="A1619" s="1">
        <v>45115</v>
      </c>
      <c r="B1619" t="s">
        <v>23</v>
      </c>
      <c r="C1619" t="s">
        <v>19</v>
      </c>
      <c r="D1619">
        <v>2</v>
      </c>
      <c r="E1619" t="s">
        <v>10</v>
      </c>
      <c r="F1619">
        <v>89000</v>
      </c>
      <c r="G1619">
        <v>65000</v>
      </c>
      <c r="H1619">
        <f>Table1[[#This Row],[Qty]]*Table1[[#This Row],[SellingPrice]]</f>
        <v>178000</v>
      </c>
      <c r="I1619">
        <f>Table1[[#This Row],[Qty]]*Table1[[#This Row],[CostPrice]]</f>
        <v>130000</v>
      </c>
      <c r="J1619">
        <v>47664</v>
      </c>
      <c r="K1619">
        <v>335.99999999999994</v>
      </c>
      <c r="L1619" t="s">
        <v>8</v>
      </c>
      <c r="M1619" t="s">
        <v>29</v>
      </c>
      <c r="N1619">
        <f>MONTH(Table1[[#This Row],[SaleDate]])</f>
        <v>7</v>
      </c>
      <c r="O1619" t="str">
        <f>TEXT(Table1[[#This Row],[SaleDate]],"MMM")</f>
        <v>Jul</v>
      </c>
    </row>
    <row r="1620" spans="1:15">
      <c r="A1620" s="1">
        <v>45115</v>
      </c>
      <c r="B1620" t="s">
        <v>26</v>
      </c>
      <c r="C1620" t="s">
        <v>20</v>
      </c>
      <c r="D1620">
        <v>2</v>
      </c>
      <c r="E1620" t="s">
        <v>7</v>
      </c>
      <c r="F1620">
        <v>33000</v>
      </c>
      <c r="G1620">
        <v>18000</v>
      </c>
      <c r="H1620">
        <f>Table1[[#This Row],[Qty]]*Table1[[#This Row],[SellingPrice]]</f>
        <v>66000</v>
      </c>
      <c r="I1620">
        <f>Table1[[#This Row],[Qty]]*Table1[[#This Row],[CostPrice]]</f>
        <v>36000</v>
      </c>
      <c r="J1620">
        <v>29790</v>
      </c>
      <c r="K1620">
        <v>209.99999999999997</v>
      </c>
      <c r="L1620" t="s">
        <v>11</v>
      </c>
      <c r="M1620" t="s">
        <v>29</v>
      </c>
      <c r="N1620">
        <f>MONTH(Table1[[#This Row],[SaleDate]])</f>
        <v>7</v>
      </c>
      <c r="O1620" t="str">
        <f>TEXT(Table1[[#This Row],[SaleDate]],"MMM")</f>
        <v>Jul</v>
      </c>
    </row>
    <row r="1621" spans="1:15">
      <c r="A1621" s="1">
        <v>45115</v>
      </c>
      <c r="B1621" t="s">
        <v>24</v>
      </c>
      <c r="C1621" t="s">
        <v>22</v>
      </c>
      <c r="D1621">
        <v>2</v>
      </c>
      <c r="E1621" t="s">
        <v>7</v>
      </c>
      <c r="F1621">
        <v>33000</v>
      </c>
      <c r="G1621">
        <v>18000</v>
      </c>
      <c r="H1621">
        <f>Table1[[#This Row],[Qty]]*Table1[[#This Row],[SellingPrice]]</f>
        <v>66000</v>
      </c>
      <c r="I1621">
        <f>Table1[[#This Row],[Qty]]*Table1[[#This Row],[CostPrice]]</f>
        <v>36000</v>
      </c>
      <c r="J1621">
        <v>29790</v>
      </c>
      <c r="K1621">
        <v>209.99999999999997</v>
      </c>
      <c r="L1621" t="s">
        <v>12</v>
      </c>
      <c r="M1621" t="s">
        <v>28</v>
      </c>
      <c r="N1621">
        <f>MONTH(Table1[[#This Row],[SaleDate]])</f>
        <v>7</v>
      </c>
      <c r="O1621" t="str">
        <f>TEXT(Table1[[#This Row],[SaleDate]],"MMM")</f>
        <v>Jul</v>
      </c>
    </row>
    <row r="1622" spans="1:15">
      <c r="A1622" s="1">
        <v>45115</v>
      </c>
      <c r="B1622" t="s">
        <v>24</v>
      </c>
      <c r="C1622" t="s">
        <v>22</v>
      </c>
      <c r="D1622">
        <v>2</v>
      </c>
      <c r="E1622" t="s">
        <v>9</v>
      </c>
      <c r="F1622">
        <v>60000</v>
      </c>
      <c r="G1622">
        <v>31000</v>
      </c>
      <c r="H1622">
        <f>Table1[[#This Row],[Qty]]*Table1[[#This Row],[SellingPrice]]</f>
        <v>120000</v>
      </c>
      <c r="I1622">
        <f>Table1[[#This Row],[Qty]]*Table1[[#This Row],[CostPrice]]</f>
        <v>62000</v>
      </c>
      <c r="J1622">
        <v>57594</v>
      </c>
      <c r="K1622">
        <v>405.99999999999994</v>
      </c>
      <c r="L1622" t="s">
        <v>12</v>
      </c>
      <c r="M1622" t="s">
        <v>30</v>
      </c>
      <c r="N1622">
        <f>MONTH(Table1[[#This Row],[SaleDate]])</f>
        <v>7</v>
      </c>
      <c r="O1622" t="str">
        <f>TEXT(Table1[[#This Row],[SaleDate]],"MMM")</f>
        <v>Jul</v>
      </c>
    </row>
    <row r="1623" spans="1:15">
      <c r="A1623" s="1">
        <v>45115</v>
      </c>
      <c r="B1623" t="s">
        <v>24</v>
      </c>
      <c r="C1623" t="s">
        <v>22</v>
      </c>
      <c r="D1623">
        <v>2</v>
      </c>
      <c r="E1623" t="s">
        <v>10</v>
      </c>
      <c r="F1623">
        <v>89000</v>
      </c>
      <c r="G1623">
        <v>65000</v>
      </c>
      <c r="H1623">
        <f>Table1[[#This Row],[Qty]]*Table1[[#This Row],[SellingPrice]]</f>
        <v>178000</v>
      </c>
      <c r="I1623">
        <f>Table1[[#This Row],[Qty]]*Table1[[#This Row],[CostPrice]]</f>
        <v>130000</v>
      </c>
      <c r="J1623">
        <v>47664</v>
      </c>
      <c r="K1623">
        <v>335.99999999999994</v>
      </c>
      <c r="L1623" t="s">
        <v>12</v>
      </c>
      <c r="M1623" t="s">
        <v>29</v>
      </c>
      <c r="N1623">
        <f>MONTH(Table1[[#This Row],[SaleDate]])</f>
        <v>7</v>
      </c>
      <c r="O1623" t="str">
        <f>TEXT(Table1[[#This Row],[SaleDate]],"MMM")</f>
        <v>Jul</v>
      </c>
    </row>
    <row r="1624" spans="1:15">
      <c r="A1624" s="1">
        <v>45115</v>
      </c>
      <c r="B1624" t="s">
        <v>25</v>
      </c>
      <c r="C1624" t="s">
        <v>21</v>
      </c>
      <c r="D1624">
        <v>2</v>
      </c>
      <c r="E1624" t="s">
        <v>7</v>
      </c>
      <c r="F1624">
        <v>33000</v>
      </c>
      <c r="G1624">
        <v>18000</v>
      </c>
      <c r="H1624">
        <f>Table1[[#This Row],[Qty]]*Table1[[#This Row],[SellingPrice]]</f>
        <v>66000</v>
      </c>
      <c r="I1624">
        <f>Table1[[#This Row],[Qty]]*Table1[[#This Row],[CostPrice]]</f>
        <v>36000</v>
      </c>
      <c r="J1624">
        <v>29790</v>
      </c>
      <c r="K1624">
        <v>209.99999999999997</v>
      </c>
      <c r="L1624" t="s">
        <v>13</v>
      </c>
      <c r="M1624" t="s">
        <v>30</v>
      </c>
      <c r="N1624">
        <f>MONTH(Table1[[#This Row],[SaleDate]])</f>
        <v>7</v>
      </c>
      <c r="O1624" t="str">
        <f>TEXT(Table1[[#This Row],[SaleDate]],"MMM")</f>
        <v>Jul</v>
      </c>
    </row>
    <row r="1625" spans="1:15">
      <c r="A1625" s="1">
        <v>45115</v>
      </c>
      <c r="B1625" t="s">
        <v>25</v>
      </c>
      <c r="C1625" t="s">
        <v>21</v>
      </c>
      <c r="D1625">
        <v>2</v>
      </c>
      <c r="E1625" t="s">
        <v>9</v>
      </c>
      <c r="F1625">
        <v>60000</v>
      </c>
      <c r="G1625">
        <v>31000</v>
      </c>
      <c r="H1625">
        <f>Table1[[#This Row],[Qty]]*Table1[[#This Row],[SellingPrice]]</f>
        <v>120000</v>
      </c>
      <c r="I1625">
        <f>Table1[[#This Row],[Qty]]*Table1[[#This Row],[CostPrice]]</f>
        <v>62000</v>
      </c>
      <c r="J1625">
        <v>57594</v>
      </c>
      <c r="K1625">
        <v>405.99999999999994</v>
      </c>
      <c r="L1625" t="s">
        <v>13</v>
      </c>
      <c r="M1625" t="s">
        <v>27</v>
      </c>
      <c r="N1625">
        <f>MONTH(Table1[[#This Row],[SaleDate]])</f>
        <v>7</v>
      </c>
      <c r="O1625" t="str">
        <f>TEXT(Table1[[#This Row],[SaleDate]],"MMM")</f>
        <v>Jul</v>
      </c>
    </row>
    <row r="1626" spans="1:15">
      <c r="A1626" s="1">
        <v>45115</v>
      </c>
      <c r="B1626" t="s">
        <v>25</v>
      </c>
      <c r="C1626" t="s">
        <v>21</v>
      </c>
      <c r="D1626">
        <v>2</v>
      </c>
      <c r="E1626" t="s">
        <v>10</v>
      </c>
      <c r="F1626">
        <v>89000</v>
      </c>
      <c r="G1626">
        <v>65000</v>
      </c>
      <c r="H1626">
        <f>Table1[[#This Row],[Qty]]*Table1[[#This Row],[SellingPrice]]</f>
        <v>178000</v>
      </c>
      <c r="I1626">
        <f>Table1[[#This Row],[Qty]]*Table1[[#This Row],[CostPrice]]</f>
        <v>130000</v>
      </c>
      <c r="J1626">
        <v>47664</v>
      </c>
      <c r="K1626">
        <v>335.99999999999994</v>
      </c>
      <c r="L1626" t="s">
        <v>13</v>
      </c>
      <c r="M1626" t="s">
        <v>29</v>
      </c>
      <c r="N1626">
        <f>MONTH(Table1[[#This Row],[SaleDate]])</f>
        <v>7</v>
      </c>
      <c r="O1626" t="str">
        <f>TEXT(Table1[[#This Row],[SaleDate]],"MMM")</f>
        <v>Jul</v>
      </c>
    </row>
    <row r="1627" spans="1:15">
      <c r="A1627" s="1">
        <v>45116</v>
      </c>
      <c r="B1627" t="s">
        <v>23</v>
      </c>
      <c r="C1627" t="s">
        <v>19</v>
      </c>
      <c r="D1627">
        <v>2</v>
      </c>
      <c r="E1627" t="s">
        <v>7</v>
      </c>
      <c r="F1627">
        <v>33000</v>
      </c>
      <c r="G1627">
        <v>18000</v>
      </c>
      <c r="H1627">
        <f>Table1[[#This Row],[Qty]]*Table1[[#This Row],[SellingPrice]]</f>
        <v>66000</v>
      </c>
      <c r="I1627">
        <f>Table1[[#This Row],[Qty]]*Table1[[#This Row],[CostPrice]]</f>
        <v>36000</v>
      </c>
      <c r="J1627">
        <v>29790</v>
      </c>
      <c r="K1627">
        <v>209.99999999999997</v>
      </c>
      <c r="L1627" t="s">
        <v>8</v>
      </c>
      <c r="M1627" t="s">
        <v>29</v>
      </c>
      <c r="N1627">
        <f>MONTH(Table1[[#This Row],[SaleDate]])</f>
        <v>7</v>
      </c>
      <c r="O1627" t="str">
        <f>TEXT(Table1[[#This Row],[SaleDate]],"MMM")</f>
        <v>Jul</v>
      </c>
    </row>
    <row r="1628" spans="1:15">
      <c r="A1628" s="1">
        <v>45116</v>
      </c>
      <c r="B1628" t="s">
        <v>23</v>
      </c>
      <c r="C1628" t="s">
        <v>19</v>
      </c>
      <c r="D1628">
        <v>2</v>
      </c>
      <c r="E1628" t="s">
        <v>9</v>
      </c>
      <c r="F1628">
        <v>60000</v>
      </c>
      <c r="G1628">
        <v>31000</v>
      </c>
      <c r="H1628">
        <f>Table1[[#This Row],[Qty]]*Table1[[#This Row],[SellingPrice]]</f>
        <v>120000</v>
      </c>
      <c r="I1628">
        <f>Table1[[#This Row],[Qty]]*Table1[[#This Row],[CostPrice]]</f>
        <v>62000</v>
      </c>
      <c r="J1628">
        <v>57594</v>
      </c>
      <c r="K1628">
        <v>405.99999999999994</v>
      </c>
      <c r="L1628" t="s">
        <v>8</v>
      </c>
      <c r="M1628" t="s">
        <v>30</v>
      </c>
      <c r="N1628">
        <f>MONTH(Table1[[#This Row],[SaleDate]])</f>
        <v>7</v>
      </c>
      <c r="O1628" t="str">
        <f>TEXT(Table1[[#This Row],[SaleDate]],"MMM")</f>
        <v>Jul</v>
      </c>
    </row>
    <row r="1629" spans="1:15">
      <c r="A1629" s="1">
        <v>45116</v>
      </c>
      <c r="B1629" t="s">
        <v>23</v>
      </c>
      <c r="C1629" t="s">
        <v>19</v>
      </c>
      <c r="D1629">
        <v>2</v>
      </c>
      <c r="E1629" t="s">
        <v>10</v>
      </c>
      <c r="F1629">
        <v>89000</v>
      </c>
      <c r="G1629">
        <v>65000</v>
      </c>
      <c r="H1629">
        <f>Table1[[#This Row],[Qty]]*Table1[[#This Row],[SellingPrice]]</f>
        <v>178000</v>
      </c>
      <c r="I1629">
        <f>Table1[[#This Row],[Qty]]*Table1[[#This Row],[CostPrice]]</f>
        <v>130000</v>
      </c>
      <c r="J1629">
        <v>47664</v>
      </c>
      <c r="K1629">
        <v>335.99999999999994</v>
      </c>
      <c r="L1629" t="s">
        <v>8</v>
      </c>
      <c r="M1629" t="s">
        <v>29</v>
      </c>
      <c r="N1629">
        <f>MONTH(Table1[[#This Row],[SaleDate]])</f>
        <v>7</v>
      </c>
      <c r="O1629" t="str">
        <f>TEXT(Table1[[#This Row],[SaleDate]],"MMM")</f>
        <v>Jul</v>
      </c>
    </row>
    <row r="1630" spans="1:15">
      <c r="A1630" s="1">
        <v>45116</v>
      </c>
      <c r="B1630" t="s">
        <v>26</v>
      </c>
      <c r="C1630" t="s">
        <v>20</v>
      </c>
      <c r="D1630">
        <v>2</v>
      </c>
      <c r="E1630" t="s">
        <v>7</v>
      </c>
      <c r="F1630">
        <v>33000</v>
      </c>
      <c r="G1630">
        <v>18000</v>
      </c>
      <c r="H1630">
        <f>Table1[[#This Row],[Qty]]*Table1[[#This Row],[SellingPrice]]</f>
        <v>66000</v>
      </c>
      <c r="I1630">
        <f>Table1[[#This Row],[Qty]]*Table1[[#This Row],[CostPrice]]</f>
        <v>36000</v>
      </c>
      <c r="J1630">
        <v>29790</v>
      </c>
      <c r="K1630">
        <v>209.99999999999997</v>
      </c>
      <c r="L1630" t="s">
        <v>11</v>
      </c>
      <c r="M1630" t="s">
        <v>28</v>
      </c>
      <c r="N1630">
        <f>MONTH(Table1[[#This Row],[SaleDate]])</f>
        <v>7</v>
      </c>
      <c r="O1630" t="str">
        <f>TEXT(Table1[[#This Row],[SaleDate]],"MMM")</f>
        <v>Jul</v>
      </c>
    </row>
    <row r="1631" spans="1:15">
      <c r="A1631" s="1">
        <v>45116</v>
      </c>
      <c r="B1631" t="s">
        <v>24</v>
      </c>
      <c r="C1631" t="s">
        <v>22</v>
      </c>
      <c r="D1631">
        <v>2</v>
      </c>
      <c r="E1631" t="s">
        <v>7</v>
      </c>
      <c r="F1631">
        <v>33000</v>
      </c>
      <c r="G1631">
        <v>18000</v>
      </c>
      <c r="H1631">
        <f>Table1[[#This Row],[Qty]]*Table1[[#This Row],[SellingPrice]]</f>
        <v>66000</v>
      </c>
      <c r="I1631">
        <f>Table1[[#This Row],[Qty]]*Table1[[#This Row],[CostPrice]]</f>
        <v>36000</v>
      </c>
      <c r="J1631">
        <v>29790</v>
      </c>
      <c r="K1631">
        <v>209.99999999999997</v>
      </c>
      <c r="L1631" t="s">
        <v>12</v>
      </c>
      <c r="M1631" t="s">
        <v>27</v>
      </c>
      <c r="N1631">
        <f>MONTH(Table1[[#This Row],[SaleDate]])</f>
        <v>7</v>
      </c>
      <c r="O1631" t="str">
        <f>TEXT(Table1[[#This Row],[SaleDate]],"MMM")</f>
        <v>Jul</v>
      </c>
    </row>
    <row r="1632" spans="1:15">
      <c r="A1632" s="1">
        <v>45116</v>
      </c>
      <c r="B1632" t="s">
        <v>24</v>
      </c>
      <c r="C1632" t="s">
        <v>22</v>
      </c>
      <c r="D1632">
        <v>2</v>
      </c>
      <c r="E1632" t="s">
        <v>9</v>
      </c>
      <c r="F1632">
        <v>60000</v>
      </c>
      <c r="G1632">
        <v>31000</v>
      </c>
      <c r="H1632">
        <f>Table1[[#This Row],[Qty]]*Table1[[#This Row],[SellingPrice]]</f>
        <v>120000</v>
      </c>
      <c r="I1632">
        <f>Table1[[#This Row],[Qty]]*Table1[[#This Row],[CostPrice]]</f>
        <v>62000</v>
      </c>
      <c r="J1632">
        <v>57594</v>
      </c>
      <c r="K1632">
        <v>405.99999999999994</v>
      </c>
      <c r="L1632" t="s">
        <v>12</v>
      </c>
      <c r="M1632" t="s">
        <v>29</v>
      </c>
      <c r="N1632">
        <f>MONTH(Table1[[#This Row],[SaleDate]])</f>
        <v>7</v>
      </c>
      <c r="O1632" t="str">
        <f>TEXT(Table1[[#This Row],[SaleDate]],"MMM")</f>
        <v>Jul</v>
      </c>
    </row>
    <row r="1633" spans="1:15">
      <c r="A1633" s="1">
        <v>45116</v>
      </c>
      <c r="B1633" t="s">
        <v>24</v>
      </c>
      <c r="C1633" t="s">
        <v>22</v>
      </c>
      <c r="D1633">
        <v>2</v>
      </c>
      <c r="E1633" t="s">
        <v>10</v>
      </c>
      <c r="F1633">
        <v>89000</v>
      </c>
      <c r="G1633">
        <v>65000</v>
      </c>
      <c r="H1633">
        <f>Table1[[#This Row],[Qty]]*Table1[[#This Row],[SellingPrice]]</f>
        <v>178000</v>
      </c>
      <c r="I1633">
        <f>Table1[[#This Row],[Qty]]*Table1[[#This Row],[CostPrice]]</f>
        <v>130000</v>
      </c>
      <c r="J1633">
        <v>47664</v>
      </c>
      <c r="K1633">
        <v>335.99999999999994</v>
      </c>
      <c r="L1633" t="s">
        <v>12</v>
      </c>
      <c r="M1633" t="s">
        <v>28</v>
      </c>
      <c r="N1633">
        <f>MONTH(Table1[[#This Row],[SaleDate]])</f>
        <v>7</v>
      </c>
      <c r="O1633" t="str">
        <f>TEXT(Table1[[#This Row],[SaleDate]],"MMM")</f>
        <v>Jul</v>
      </c>
    </row>
    <row r="1634" spans="1:15">
      <c r="A1634" s="1">
        <v>45116</v>
      </c>
      <c r="B1634" t="s">
        <v>25</v>
      </c>
      <c r="C1634" t="s">
        <v>21</v>
      </c>
      <c r="D1634">
        <v>2</v>
      </c>
      <c r="E1634" t="s">
        <v>7</v>
      </c>
      <c r="F1634">
        <v>33000</v>
      </c>
      <c r="G1634">
        <v>18000</v>
      </c>
      <c r="H1634">
        <f>Table1[[#This Row],[Qty]]*Table1[[#This Row],[SellingPrice]]</f>
        <v>66000</v>
      </c>
      <c r="I1634">
        <f>Table1[[#This Row],[Qty]]*Table1[[#This Row],[CostPrice]]</f>
        <v>36000</v>
      </c>
      <c r="J1634">
        <v>29790</v>
      </c>
      <c r="K1634">
        <v>209.99999999999997</v>
      </c>
      <c r="L1634" t="s">
        <v>13</v>
      </c>
      <c r="M1634" t="s">
        <v>30</v>
      </c>
      <c r="N1634">
        <f>MONTH(Table1[[#This Row],[SaleDate]])</f>
        <v>7</v>
      </c>
      <c r="O1634" t="str">
        <f>TEXT(Table1[[#This Row],[SaleDate]],"MMM")</f>
        <v>Jul</v>
      </c>
    </row>
    <row r="1635" spans="1:15">
      <c r="A1635" s="1">
        <v>45116</v>
      </c>
      <c r="B1635" t="s">
        <v>25</v>
      </c>
      <c r="C1635" t="s">
        <v>21</v>
      </c>
      <c r="D1635">
        <v>2</v>
      </c>
      <c r="E1635" t="s">
        <v>9</v>
      </c>
      <c r="F1635">
        <v>60000</v>
      </c>
      <c r="G1635">
        <v>31000</v>
      </c>
      <c r="H1635">
        <f>Table1[[#This Row],[Qty]]*Table1[[#This Row],[SellingPrice]]</f>
        <v>120000</v>
      </c>
      <c r="I1635">
        <f>Table1[[#This Row],[Qty]]*Table1[[#This Row],[CostPrice]]</f>
        <v>62000</v>
      </c>
      <c r="J1635">
        <v>57594</v>
      </c>
      <c r="K1635">
        <v>405.99999999999994</v>
      </c>
      <c r="L1635" t="s">
        <v>13</v>
      </c>
      <c r="M1635" t="s">
        <v>27</v>
      </c>
      <c r="N1635">
        <f>MONTH(Table1[[#This Row],[SaleDate]])</f>
        <v>7</v>
      </c>
      <c r="O1635" t="str">
        <f>TEXT(Table1[[#This Row],[SaleDate]],"MMM")</f>
        <v>Jul</v>
      </c>
    </row>
    <row r="1636" spans="1:15">
      <c r="A1636" s="1">
        <v>45116</v>
      </c>
      <c r="B1636" t="s">
        <v>25</v>
      </c>
      <c r="C1636" t="s">
        <v>21</v>
      </c>
      <c r="D1636">
        <v>2</v>
      </c>
      <c r="E1636" t="s">
        <v>10</v>
      </c>
      <c r="F1636">
        <v>89000</v>
      </c>
      <c r="G1636">
        <v>65000</v>
      </c>
      <c r="H1636">
        <f>Table1[[#This Row],[Qty]]*Table1[[#This Row],[SellingPrice]]</f>
        <v>178000</v>
      </c>
      <c r="I1636">
        <f>Table1[[#This Row],[Qty]]*Table1[[#This Row],[CostPrice]]</f>
        <v>130000</v>
      </c>
      <c r="J1636">
        <v>47664</v>
      </c>
      <c r="K1636">
        <v>335.99999999999994</v>
      </c>
      <c r="L1636" t="s">
        <v>13</v>
      </c>
      <c r="M1636" t="s">
        <v>30</v>
      </c>
      <c r="N1636">
        <f>MONTH(Table1[[#This Row],[SaleDate]])</f>
        <v>7</v>
      </c>
      <c r="O1636" t="str">
        <f>TEXT(Table1[[#This Row],[SaleDate]],"MMM")</f>
        <v>Jul</v>
      </c>
    </row>
    <row r="1637" spans="1:15">
      <c r="A1637" s="1">
        <v>45117</v>
      </c>
      <c r="B1637" t="s">
        <v>23</v>
      </c>
      <c r="C1637" t="s">
        <v>19</v>
      </c>
      <c r="D1637">
        <v>1</v>
      </c>
      <c r="E1637" t="s">
        <v>7</v>
      </c>
      <c r="F1637">
        <v>33000</v>
      </c>
      <c r="G1637">
        <v>18000</v>
      </c>
      <c r="H1637">
        <f>Table1[[#This Row],[Qty]]*Table1[[#This Row],[SellingPrice]]</f>
        <v>33000</v>
      </c>
      <c r="I1637">
        <f>Table1[[#This Row],[Qty]]*Table1[[#This Row],[CostPrice]]</f>
        <v>18000</v>
      </c>
      <c r="J1637">
        <v>14895</v>
      </c>
      <c r="K1637">
        <v>104.99999999999999</v>
      </c>
      <c r="L1637" t="s">
        <v>8</v>
      </c>
      <c r="M1637" t="s">
        <v>29</v>
      </c>
      <c r="N1637">
        <f>MONTH(Table1[[#This Row],[SaleDate]])</f>
        <v>7</v>
      </c>
      <c r="O1637" t="str">
        <f>TEXT(Table1[[#This Row],[SaleDate]],"MMM")</f>
        <v>Jul</v>
      </c>
    </row>
    <row r="1638" spans="1:15">
      <c r="A1638" s="1">
        <v>45117</v>
      </c>
      <c r="B1638" t="s">
        <v>23</v>
      </c>
      <c r="C1638" t="s">
        <v>19</v>
      </c>
      <c r="D1638">
        <v>1</v>
      </c>
      <c r="E1638" t="s">
        <v>9</v>
      </c>
      <c r="F1638">
        <v>60000</v>
      </c>
      <c r="G1638">
        <v>31000</v>
      </c>
      <c r="H1638">
        <f>Table1[[#This Row],[Qty]]*Table1[[#This Row],[SellingPrice]]</f>
        <v>60000</v>
      </c>
      <c r="I1638">
        <f>Table1[[#This Row],[Qty]]*Table1[[#This Row],[CostPrice]]</f>
        <v>31000</v>
      </c>
      <c r="J1638">
        <v>28797</v>
      </c>
      <c r="K1638">
        <v>202.99999999999997</v>
      </c>
      <c r="L1638" t="s">
        <v>8</v>
      </c>
      <c r="M1638" t="s">
        <v>29</v>
      </c>
      <c r="N1638">
        <f>MONTH(Table1[[#This Row],[SaleDate]])</f>
        <v>7</v>
      </c>
      <c r="O1638" t="str">
        <f>TEXT(Table1[[#This Row],[SaleDate]],"MMM")</f>
        <v>Jul</v>
      </c>
    </row>
    <row r="1639" spans="1:15">
      <c r="A1639" s="1">
        <v>45117</v>
      </c>
      <c r="B1639" t="s">
        <v>23</v>
      </c>
      <c r="C1639" t="s">
        <v>19</v>
      </c>
      <c r="D1639">
        <v>1</v>
      </c>
      <c r="E1639" t="s">
        <v>10</v>
      </c>
      <c r="F1639">
        <v>89000</v>
      </c>
      <c r="G1639">
        <v>65000</v>
      </c>
      <c r="H1639">
        <f>Table1[[#This Row],[Qty]]*Table1[[#This Row],[SellingPrice]]</f>
        <v>89000</v>
      </c>
      <c r="I1639">
        <f>Table1[[#This Row],[Qty]]*Table1[[#This Row],[CostPrice]]</f>
        <v>65000</v>
      </c>
      <c r="J1639">
        <v>23832</v>
      </c>
      <c r="K1639">
        <v>167.99999999999997</v>
      </c>
      <c r="L1639" t="s">
        <v>8</v>
      </c>
      <c r="M1639" t="s">
        <v>30</v>
      </c>
      <c r="N1639">
        <f>MONTH(Table1[[#This Row],[SaleDate]])</f>
        <v>7</v>
      </c>
      <c r="O1639" t="str">
        <f>TEXT(Table1[[#This Row],[SaleDate]],"MMM")</f>
        <v>Jul</v>
      </c>
    </row>
    <row r="1640" spans="1:15">
      <c r="A1640" s="1">
        <v>45117</v>
      </c>
      <c r="B1640" t="s">
        <v>26</v>
      </c>
      <c r="C1640" t="s">
        <v>20</v>
      </c>
      <c r="D1640">
        <v>1</v>
      </c>
      <c r="E1640" t="s">
        <v>7</v>
      </c>
      <c r="F1640">
        <v>33000</v>
      </c>
      <c r="G1640">
        <v>18000</v>
      </c>
      <c r="H1640">
        <f>Table1[[#This Row],[Qty]]*Table1[[#This Row],[SellingPrice]]</f>
        <v>33000</v>
      </c>
      <c r="I1640">
        <f>Table1[[#This Row],[Qty]]*Table1[[#This Row],[CostPrice]]</f>
        <v>18000</v>
      </c>
      <c r="J1640">
        <v>14895</v>
      </c>
      <c r="K1640">
        <v>104.99999999999999</v>
      </c>
      <c r="L1640" t="s">
        <v>11</v>
      </c>
      <c r="M1640" t="s">
        <v>27</v>
      </c>
      <c r="N1640">
        <f>MONTH(Table1[[#This Row],[SaleDate]])</f>
        <v>7</v>
      </c>
      <c r="O1640" t="str">
        <f>TEXT(Table1[[#This Row],[SaleDate]],"MMM")</f>
        <v>Jul</v>
      </c>
    </row>
    <row r="1641" spans="1:15">
      <c r="A1641" s="1">
        <v>45117</v>
      </c>
      <c r="B1641" t="s">
        <v>24</v>
      </c>
      <c r="C1641" t="s">
        <v>22</v>
      </c>
      <c r="D1641">
        <v>1</v>
      </c>
      <c r="E1641" t="s">
        <v>7</v>
      </c>
      <c r="F1641">
        <v>33000</v>
      </c>
      <c r="G1641">
        <v>18000</v>
      </c>
      <c r="H1641">
        <f>Table1[[#This Row],[Qty]]*Table1[[#This Row],[SellingPrice]]</f>
        <v>33000</v>
      </c>
      <c r="I1641">
        <f>Table1[[#This Row],[Qty]]*Table1[[#This Row],[CostPrice]]</f>
        <v>18000</v>
      </c>
      <c r="J1641">
        <v>14895</v>
      </c>
      <c r="K1641">
        <v>104.99999999999999</v>
      </c>
      <c r="L1641" t="s">
        <v>12</v>
      </c>
      <c r="M1641" t="s">
        <v>29</v>
      </c>
      <c r="N1641">
        <f>MONTH(Table1[[#This Row],[SaleDate]])</f>
        <v>7</v>
      </c>
      <c r="O1641" t="str">
        <f>TEXT(Table1[[#This Row],[SaleDate]],"MMM")</f>
        <v>Jul</v>
      </c>
    </row>
    <row r="1642" spans="1:15">
      <c r="A1642" s="1">
        <v>45117</v>
      </c>
      <c r="B1642" t="s">
        <v>24</v>
      </c>
      <c r="C1642" t="s">
        <v>22</v>
      </c>
      <c r="D1642">
        <v>1</v>
      </c>
      <c r="E1642" t="s">
        <v>9</v>
      </c>
      <c r="F1642">
        <v>60000</v>
      </c>
      <c r="G1642">
        <v>31000</v>
      </c>
      <c r="H1642">
        <f>Table1[[#This Row],[Qty]]*Table1[[#This Row],[SellingPrice]]</f>
        <v>60000</v>
      </c>
      <c r="I1642">
        <f>Table1[[#This Row],[Qty]]*Table1[[#This Row],[CostPrice]]</f>
        <v>31000</v>
      </c>
      <c r="J1642">
        <v>28797</v>
      </c>
      <c r="K1642">
        <v>202.99999999999997</v>
      </c>
      <c r="L1642" t="s">
        <v>12</v>
      </c>
      <c r="M1642" t="s">
        <v>29</v>
      </c>
      <c r="N1642">
        <f>MONTH(Table1[[#This Row],[SaleDate]])</f>
        <v>7</v>
      </c>
      <c r="O1642" t="str">
        <f>TEXT(Table1[[#This Row],[SaleDate]],"MMM")</f>
        <v>Jul</v>
      </c>
    </row>
    <row r="1643" spans="1:15">
      <c r="A1643" s="1">
        <v>45117</v>
      </c>
      <c r="B1643" t="s">
        <v>24</v>
      </c>
      <c r="C1643" t="s">
        <v>22</v>
      </c>
      <c r="D1643">
        <v>1</v>
      </c>
      <c r="E1643" t="s">
        <v>10</v>
      </c>
      <c r="F1643">
        <v>89000</v>
      </c>
      <c r="G1643">
        <v>65000</v>
      </c>
      <c r="H1643">
        <f>Table1[[#This Row],[Qty]]*Table1[[#This Row],[SellingPrice]]</f>
        <v>89000</v>
      </c>
      <c r="I1643">
        <f>Table1[[#This Row],[Qty]]*Table1[[#This Row],[CostPrice]]</f>
        <v>65000</v>
      </c>
      <c r="J1643">
        <v>23832</v>
      </c>
      <c r="K1643">
        <v>167.99999999999997</v>
      </c>
      <c r="L1643" t="s">
        <v>12</v>
      </c>
      <c r="M1643" t="s">
        <v>27</v>
      </c>
      <c r="N1643">
        <f>MONTH(Table1[[#This Row],[SaleDate]])</f>
        <v>7</v>
      </c>
      <c r="O1643" t="str">
        <f>TEXT(Table1[[#This Row],[SaleDate]],"MMM")</f>
        <v>Jul</v>
      </c>
    </row>
    <row r="1644" spans="1:15">
      <c r="A1644" s="1">
        <v>45117</v>
      </c>
      <c r="B1644" t="s">
        <v>25</v>
      </c>
      <c r="C1644" t="s">
        <v>21</v>
      </c>
      <c r="D1644">
        <v>1</v>
      </c>
      <c r="E1644" t="s">
        <v>7</v>
      </c>
      <c r="F1644">
        <v>33000</v>
      </c>
      <c r="G1644">
        <v>18000</v>
      </c>
      <c r="H1644">
        <f>Table1[[#This Row],[Qty]]*Table1[[#This Row],[SellingPrice]]</f>
        <v>33000</v>
      </c>
      <c r="I1644">
        <f>Table1[[#This Row],[Qty]]*Table1[[#This Row],[CostPrice]]</f>
        <v>18000</v>
      </c>
      <c r="J1644">
        <v>14895</v>
      </c>
      <c r="K1644">
        <v>104.99999999999999</v>
      </c>
      <c r="L1644" t="s">
        <v>13</v>
      </c>
      <c r="M1644" t="s">
        <v>29</v>
      </c>
      <c r="N1644">
        <f>MONTH(Table1[[#This Row],[SaleDate]])</f>
        <v>7</v>
      </c>
      <c r="O1644" t="str">
        <f>TEXT(Table1[[#This Row],[SaleDate]],"MMM")</f>
        <v>Jul</v>
      </c>
    </row>
    <row r="1645" spans="1:15">
      <c r="A1645" s="1">
        <v>45117</v>
      </c>
      <c r="B1645" t="s">
        <v>25</v>
      </c>
      <c r="C1645" t="s">
        <v>21</v>
      </c>
      <c r="D1645">
        <v>1</v>
      </c>
      <c r="E1645" t="s">
        <v>9</v>
      </c>
      <c r="F1645">
        <v>60000</v>
      </c>
      <c r="G1645">
        <v>31000</v>
      </c>
      <c r="H1645">
        <f>Table1[[#This Row],[Qty]]*Table1[[#This Row],[SellingPrice]]</f>
        <v>60000</v>
      </c>
      <c r="I1645">
        <f>Table1[[#This Row],[Qty]]*Table1[[#This Row],[CostPrice]]</f>
        <v>31000</v>
      </c>
      <c r="J1645">
        <v>28797</v>
      </c>
      <c r="K1645">
        <v>202.99999999999997</v>
      </c>
      <c r="L1645" t="s">
        <v>13</v>
      </c>
      <c r="M1645" t="s">
        <v>28</v>
      </c>
      <c r="N1645">
        <f>MONTH(Table1[[#This Row],[SaleDate]])</f>
        <v>7</v>
      </c>
      <c r="O1645" t="str">
        <f>TEXT(Table1[[#This Row],[SaleDate]],"MMM")</f>
        <v>Jul</v>
      </c>
    </row>
    <row r="1646" spans="1:15">
      <c r="A1646" s="1">
        <v>45117</v>
      </c>
      <c r="B1646" t="s">
        <v>25</v>
      </c>
      <c r="C1646" t="s">
        <v>21</v>
      </c>
      <c r="D1646">
        <v>1</v>
      </c>
      <c r="E1646" t="s">
        <v>10</v>
      </c>
      <c r="F1646">
        <v>89000</v>
      </c>
      <c r="G1646">
        <v>65000</v>
      </c>
      <c r="H1646">
        <f>Table1[[#This Row],[Qty]]*Table1[[#This Row],[SellingPrice]]</f>
        <v>89000</v>
      </c>
      <c r="I1646">
        <f>Table1[[#This Row],[Qty]]*Table1[[#This Row],[CostPrice]]</f>
        <v>65000</v>
      </c>
      <c r="J1646">
        <v>23832</v>
      </c>
      <c r="K1646">
        <v>167.99999999999997</v>
      </c>
      <c r="L1646" t="s">
        <v>13</v>
      </c>
      <c r="M1646" t="s">
        <v>28</v>
      </c>
      <c r="N1646">
        <f>MONTH(Table1[[#This Row],[SaleDate]])</f>
        <v>7</v>
      </c>
      <c r="O1646" t="str">
        <f>TEXT(Table1[[#This Row],[SaleDate]],"MMM")</f>
        <v>Jul</v>
      </c>
    </row>
    <row r="1647" spans="1:15">
      <c r="A1647" s="1">
        <v>45118</v>
      </c>
      <c r="B1647" t="s">
        <v>23</v>
      </c>
      <c r="C1647" t="s">
        <v>19</v>
      </c>
      <c r="D1647">
        <v>2</v>
      </c>
      <c r="E1647" t="s">
        <v>7</v>
      </c>
      <c r="F1647">
        <v>33000</v>
      </c>
      <c r="G1647">
        <v>18000</v>
      </c>
      <c r="H1647">
        <f>Table1[[#This Row],[Qty]]*Table1[[#This Row],[SellingPrice]]</f>
        <v>66000</v>
      </c>
      <c r="I1647">
        <f>Table1[[#This Row],[Qty]]*Table1[[#This Row],[CostPrice]]</f>
        <v>36000</v>
      </c>
      <c r="J1647">
        <v>29790</v>
      </c>
      <c r="K1647">
        <v>209.99999999999997</v>
      </c>
      <c r="L1647" t="s">
        <v>8</v>
      </c>
      <c r="M1647" t="s">
        <v>30</v>
      </c>
      <c r="N1647">
        <f>MONTH(Table1[[#This Row],[SaleDate]])</f>
        <v>7</v>
      </c>
      <c r="O1647" t="str">
        <f>TEXT(Table1[[#This Row],[SaleDate]],"MMM")</f>
        <v>Jul</v>
      </c>
    </row>
    <row r="1648" spans="1:15">
      <c r="A1648" s="1">
        <v>45118</v>
      </c>
      <c r="B1648" t="s">
        <v>23</v>
      </c>
      <c r="C1648" t="s">
        <v>19</v>
      </c>
      <c r="D1648">
        <v>2</v>
      </c>
      <c r="E1648" t="s">
        <v>9</v>
      </c>
      <c r="F1648">
        <v>60000</v>
      </c>
      <c r="G1648">
        <v>31000</v>
      </c>
      <c r="H1648">
        <f>Table1[[#This Row],[Qty]]*Table1[[#This Row],[SellingPrice]]</f>
        <v>120000</v>
      </c>
      <c r="I1648">
        <f>Table1[[#This Row],[Qty]]*Table1[[#This Row],[CostPrice]]</f>
        <v>62000</v>
      </c>
      <c r="J1648">
        <v>57594</v>
      </c>
      <c r="K1648">
        <v>405.99999999999994</v>
      </c>
      <c r="L1648" t="s">
        <v>8</v>
      </c>
      <c r="M1648" t="s">
        <v>29</v>
      </c>
      <c r="N1648">
        <f>MONTH(Table1[[#This Row],[SaleDate]])</f>
        <v>7</v>
      </c>
      <c r="O1648" t="str">
        <f>TEXT(Table1[[#This Row],[SaleDate]],"MMM")</f>
        <v>Jul</v>
      </c>
    </row>
    <row r="1649" spans="1:15">
      <c r="A1649" s="1">
        <v>45118</v>
      </c>
      <c r="B1649" t="s">
        <v>23</v>
      </c>
      <c r="C1649" t="s">
        <v>19</v>
      </c>
      <c r="D1649">
        <v>2</v>
      </c>
      <c r="E1649" t="s">
        <v>10</v>
      </c>
      <c r="F1649">
        <v>89000</v>
      </c>
      <c r="G1649">
        <v>65000</v>
      </c>
      <c r="H1649">
        <f>Table1[[#This Row],[Qty]]*Table1[[#This Row],[SellingPrice]]</f>
        <v>178000</v>
      </c>
      <c r="I1649">
        <f>Table1[[#This Row],[Qty]]*Table1[[#This Row],[CostPrice]]</f>
        <v>130000</v>
      </c>
      <c r="J1649">
        <v>47664</v>
      </c>
      <c r="K1649">
        <v>335.99999999999994</v>
      </c>
      <c r="L1649" t="s">
        <v>8</v>
      </c>
      <c r="M1649" t="s">
        <v>30</v>
      </c>
      <c r="N1649">
        <f>MONTH(Table1[[#This Row],[SaleDate]])</f>
        <v>7</v>
      </c>
      <c r="O1649" t="str">
        <f>TEXT(Table1[[#This Row],[SaleDate]],"MMM")</f>
        <v>Jul</v>
      </c>
    </row>
    <row r="1650" spans="1:15">
      <c r="A1650" s="1">
        <v>45118</v>
      </c>
      <c r="B1650" t="s">
        <v>26</v>
      </c>
      <c r="C1650" t="s">
        <v>20</v>
      </c>
      <c r="D1650">
        <v>2</v>
      </c>
      <c r="E1650" t="s">
        <v>7</v>
      </c>
      <c r="F1650">
        <v>33000</v>
      </c>
      <c r="G1650">
        <v>18000</v>
      </c>
      <c r="H1650">
        <f>Table1[[#This Row],[Qty]]*Table1[[#This Row],[SellingPrice]]</f>
        <v>66000</v>
      </c>
      <c r="I1650">
        <f>Table1[[#This Row],[Qty]]*Table1[[#This Row],[CostPrice]]</f>
        <v>36000</v>
      </c>
      <c r="J1650">
        <v>29790</v>
      </c>
      <c r="K1650">
        <v>209.99999999999997</v>
      </c>
      <c r="L1650" t="s">
        <v>11</v>
      </c>
      <c r="M1650" t="s">
        <v>28</v>
      </c>
      <c r="N1650">
        <f>MONTH(Table1[[#This Row],[SaleDate]])</f>
        <v>7</v>
      </c>
      <c r="O1650" t="str">
        <f>TEXT(Table1[[#This Row],[SaleDate]],"MMM")</f>
        <v>Jul</v>
      </c>
    </row>
    <row r="1651" spans="1:15">
      <c r="A1651" s="1">
        <v>45118</v>
      </c>
      <c r="B1651" t="s">
        <v>24</v>
      </c>
      <c r="C1651" t="s">
        <v>22</v>
      </c>
      <c r="D1651">
        <v>2</v>
      </c>
      <c r="E1651" t="s">
        <v>7</v>
      </c>
      <c r="F1651">
        <v>33000</v>
      </c>
      <c r="G1651">
        <v>18000</v>
      </c>
      <c r="H1651">
        <f>Table1[[#This Row],[Qty]]*Table1[[#This Row],[SellingPrice]]</f>
        <v>66000</v>
      </c>
      <c r="I1651">
        <f>Table1[[#This Row],[Qty]]*Table1[[#This Row],[CostPrice]]</f>
        <v>36000</v>
      </c>
      <c r="J1651">
        <v>29790</v>
      </c>
      <c r="K1651">
        <v>209.99999999999997</v>
      </c>
      <c r="L1651" t="s">
        <v>12</v>
      </c>
      <c r="M1651" t="s">
        <v>29</v>
      </c>
      <c r="N1651">
        <f>MONTH(Table1[[#This Row],[SaleDate]])</f>
        <v>7</v>
      </c>
      <c r="O1651" t="str">
        <f>TEXT(Table1[[#This Row],[SaleDate]],"MMM")</f>
        <v>Jul</v>
      </c>
    </row>
    <row r="1652" spans="1:15">
      <c r="A1652" s="1">
        <v>45118</v>
      </c>
      <c r="B1652" t="s">
        <v>24</v>
      </c>
      <c r="C1652" t="s">
        <v>22</v>
      </c>
      <c r="D1652">
        <v>2</v>
      </c>
      <c r="E1652" t="s">
        <v>9</v>
      </c>
      <c r="F1652">
        <v>60000</v>
      </c>
      <c r="G1652">
        <v>31000</v>
      </c>
      <c r="H1652">
        <f>Table1[[#This Row],[Qty]]*Table1[[#This Row],[SellingPrice]]</f>
        <v>120000</v>
      </c>
      <c r="I1652">
        <f>Table1[[#This Row],[Qty]]*Table1[[#This Row],[CostPrice]]</f>
        <v>62000</v>
      </c>
      <c r="J1652">
        <v>57594</v>
      </c>
      <c r="K1652">
        <v>405.99999999999994</v>
      </c>
      <c r="L1652" t="s">
        <v>12</v>
      </c>
      <c r="M1652" t="s">
        <v>27</v>
      </c>
      <c r="N1652">
        <f>MONTH(Table1[[#This Row],[SaleDate]])</f>
        <v>7</v>
      </c>
      <c r="O1652" t="str">
        <f>TEXT(Table1[[#This Row],[SaleDate]],"MMM")</f>
        <v>Jul</v>
      </c>
    </row>
    <row r="1653" spans="1:15">
      <c r="A1653" s="1">
        <v>45118</v>
      </c>
      <c r="B1653" t="s">
        <v>24</v>
      </c>
      <c r="C1653" t="s">
        <v>22</v>
      </c>
      <c r="D1653">
        <v>2</v>
      </c>
      <c r="E1653" t="s">
        <v>10</v>
      </c>
      <c r="F1653">
        <v>89000</v>
      </c>
      <c r="G1653">
        <v>65000</v>
      </c>
      <c r="H1653">
        <f>Table1[[#This Row],[Qty]]*Table1[[#This Row],[SellingPrice]]</f>
        <v>178000</v>
      </c>
      <c r="I1653">
        <f>Table1[[#This Row],[Qty]]*Table1[[#This Row],[CostPrice]]</f>
        <v>130000</v>
      </c>
      <c r="J1653">
        <v>47664</v>
      </c>
      <c r="K1653">
        <v>335.99999999999994</v>
      </c>
      <c r="L1653" t="s">
        <v>12</v>
      </c>
      <c r="M1653" t="s">
        <v>27</v>
      </c>
      <c r="N1653">
        <f>MONTH(Table1[[#This Row],[SaleDate]])</f>
        <v>7</v>
      </c>
      <c r="O1653" t="str">
        <f>TEXT(Table1[[#This Row],[SaleDate]],"MMM")</f>
        <v>Jul</v>
      </c>
    </row>
    <row r="1654" spans="1:15">
      <c r="A1654" s="1">
        <v>45118</v>
      </c>
      <c r="B1654" t="s">
        <v>25</v>
      </c>
      <c r="C1654" t="s">
        <v>21</v>
      </c>
      <c r="D1654">
        <v>2</v>
      </c>
      <c r="E1654" t="s">
        <v>7</v>
      </c>
      <c r="F1654">
        <v>33000</v>
      </c>
      <c r="G1654">
        <v>18000</v>
      </c>
      <c r="H1654">
        <f>Table1[[#This Row],[Qty]]*Table1[[#This Row],[SellingPrice]]</f>
        <v>66000</v>
      </c>
      <c r="I1654">
        <f>Table1[[#This Row],[Qty]]*Table1[[#This Row],[CostPrice]]</f>
        <v>36000</v>
      </c>
      <c r="J1654">
        <v>29790</v>
      </c>
      <c r="K1654">
        <v>209.99999999999997</v>
      </c>
      <c r="L1654" t="s">
        <v>13</v>
      </c>
      <c r="M1654" t="s">
        <v>28</v>
      </c>
      <c r="N1654">
        <f>MONTH(Table1[[#This Row],[SaleDate]])</f>
        <v>7</v>
      </c>
      <c r="O1654" t="str">
        <f>TEXT(Table1[[#This Row],[SaleDate]],"MMM")</f>
        <v>Jul</v>
      </c>
    </row>
    <row r="1655" spans="1:15">
      <c r="A1655" s="1">
        <v>45118</v>
      </c>
      <c r="B1655" t="s">
        <v>25</v>
      </c>
      <c r="C1655" t="s">
        <v>21</v>
      </c>
      <c r="D1655">
        <v>2</v>
      </c>
      <c r="E1655" t="s">
        <v>9</v>
      </c>
      <c r="F1655">
        <v>60000</v>
      </c>
      <c r="G1655">
        <v>31000</v>
      </c>
      <c r="H1655">
        <f>Table1[[#This Row],[Qty]]*Table1[[#This Row],[SellingPrice]]</f>
        <v>120000</v>
      </c>
      <c r="I1655">
        <f>Table1[[#This Row],[Qty]]*Table1[[#This Row],[CostPrice]]</f>
        <v>62000</v>
      </c>
      <c r="J1655">
        <v>57594</v>
      </c>
      <c r="K1655">
        <v>405.99999999999994</v>
      </c>
      <c r="L1655" t="s">
        <v>13</v>
      </c>
      <c r="M1655" t="s">
        <v>28</v>
      </c>
      <c r="N1655">
        <f>MONTH(Table1[[#This Row],[SaleDate]])</f>
        <v>7</v>
      </c>
      <c r="O1655" t="str">
        <f>TEXT(Table1[[#This Row],[SaleDate]],"MMM")</f>
        <v>Jul</v>
      </c>
    </row>
    <row r="1656" spans="1:15">
      <c r="A1656" s="1">
        <v>45118</v>
      </c>
      <c r="B1656" t="s">
        <v>25</v>
      </c>
      <c r="C1656" t="s">
        <v>21</v>
      </c>
      <c r="D1656">
        <v>2</v>
      </c>
      <c r="E1656" t="s">
        <v>10</v>
      </c>
      <c r="F1656">
        <v>89000</v>
      </c>
      <c r="G1656">
        <v>65000</v>
      </c>
      <c r="H1656">
        <f>Table1[[#This Row],[Qty]]*Table1[[#This Row],[SellingPrice]]</f>
        <v>178000</v>
      </c>
      <c r="I1656">
        <f>Table1[[#This Row],[Qty]]*Table1[[#This Row],[CostPrice]]</f>
        <v>130000</v>
      </c>
      <c r="J1656">
        <v>47664</v>
      </c>
      <c r="K1656">
        <v>335.99999999999994</v>
      </c>
      <c r="L1656" t="s">
        <v>13</v>
      </c>
      <c r="M1656" t="s">
        <v>30</v>
      </c>
      <c r="N1656">
        <f>MONTH(Table1[[#This Row],[SaleDate]])</f>
        <v>7</v>
      </c>
      <c r="O1656" t="str">
        <f>TEXT(Table1[[#This Row],[SaleDate]],"MMM")</f>
        <v>Jul</v>
      </c>
    </row>
    <row r="1657" spans="1:15">
      <c r="A1657" s="1">
        <v>45119</v>
      </c>
      <c r="B1657" t="s">
        <v>23</v>
      </c>
      <c r="C1657" t="s">
        <v>19</v>
      </c>
      <c r="D1657">
        <v>1</v>
      </c>
      <c r="E1657" t="s">
        <v>7</v>
      </c>
      <c r="F1657">
        <v>33000</v>
      </c>
      <c r="G1657">
        <v>18000</v>
      </c>
      <c r="H1657">
        <f>Table1[[#This Row],[Qty]]*Table1[[#This Row],[SellingPrice]]</f>
        <v>33000</v>
      </c>
      <c r="I1657">
        <f>Table1[[#This Row],[Qty]]*Table1[[#This Row],[CostPrice]]</f>
        <v>18000</v>
      </c>
      <c r="J1657">
        <v>14895</v>
      </c>
      <c r="K1657">
        <v>104.99999999999999</v>
      </c>
      <c r="L1657" t="s">
        <v>8</v>
      </c>
      <c r="M1657" t="s">
        <v>28</v>
      </c>
      <c r="N1657">
        <f>MONTH(Table1[[#This Row],[SaleDate]])</f>
        <v>7</v>
      </c>
      <c r="O1657" t="str">
        <f>TEXT(Table1[[#This Row],[SaleDate]],"MMM")</f>
        <v>Jul</v>
      </c>
    </row>
    <row r="1658" spans="1:15">
      <c r="A1658" s="1">
        <v>45119</v>
      </c>
      <c r="B1658" t="s">
        <v>23</v>
      </c>
      <c r="C1658" t="s">
        <v>19</v>
      </c>
      <c r="D1658">
        <v>1</v>
      </c>
      <c r="E1658" t="s">
        <v>9</v>
      </c>
      <c r="F1658">
        <v>60000</v>
      </c>
      <c r="G1658">
        <v>31000</v>
      </c>
      <c r="H1658">
        <f>Table1[[#This Row],[Qty]]*Table1[[#This Row],[SellingPrice]]</f>
        <v>60000</v>
      </c>
      <c r="I1658">
        <f>Table1[[#This Row],[Qty]]*Table1[[#This Row],[CostPrice]]</f>
        <v>31000</v>
      </c>
      <c r="J1658">
        <v>28797</v>
      </c>
      <c r="K1658">
        <v>202.99999999999997</v>
      </c>
      <c r="L1658" t="s">
        <v>8</v>
      </c>
      <c r="M1658" t="s">
        <v>29</v>
      </c>
      <c r="N1658">
        <f>MONTH(Table1[[#This Row],[SaleDate]])</f>
        <v>7</v>
      </c>
      <c r="O1658" t="str">
        <f>TEXT(Table1[[#This Row],[SaleDate]],"MMM")</f>
        <v>Jul</v>
      </c>
    </row>
    <row r="1659" spans="1:15">
      <c r="A1659" s="1">
        <v>45119</v>
      </c>
      <c r="B1659" t="s">
        <v>23</v>
      </c>
      <c r="C1659" t="s">
        <v>19</v>
      </c>
      <c r="D1659">
        <v>1</v>
      </c>
      <c r="E1659" t="s">
        <v>10</v>
      </c>
      <c r="F1659">
        <v>89000</v>
      </c>
      <c r="G1659">
        <v>65000</v>
      </c>
      <c r="H1659">
        <f>Table1[[#This Row],[Qty]]*Table1[[#This Row],[SellingPrice]]</f>
        <v>89000</v>
      </c>
      <c r="I1659">
        <f>Table1[[#This Row],[Qty]]*Table1[[#This Row],[CostPrice]]</f>
        <v>65000</v>
      </c>
      <c r="J1659">
        <v>23832</v>
      </c>
      <c r="K1659">
        <v>167.99999999999997</v>
      </c>
      <c r="L1659" t="s">
        <v>8</v>
      </c>
      <c r="M1659" t="s">
        <v>30</v>
      </c>
      <c r="N1659">
        <f>MONTH(Table1[[#This Row],[SaleDate]])</f>
        <v>7</v>
      </c>
      <c r="O1659" t="str">
        <f>TEXT(Table1[[#This Row],[SaleDate]],"MMM")</f>
        <v>Jul</v>
      </c>
    </row>
    <row r="1660" spans="1:15">
      <c r="A1660" s="1">
        <v>45119</v>
      </c>
      <c r="B1660" t="s">
        <v>24</v>
      </c>
      <c r="C1660" t="s">
        <v>22</v>
      </c>
      <c r="D1660">
        <v>1</v>
      </c>
      <c r="E1660" t="s">
        <v>7</v>
      </c>
      <c r="F1660">
        <v>33000</v>
      </c>
      <c r="G1660">
        <v>18000</v>
      </c>
      <c r="H1660">
        <f>Table1[[#This Row],[Qty]]*Table1[[#This Row],[SellingPrice]]</f>
        <v>33000</v>
      </c>
      <c r="I1660">
        <f>Table1[[#This Row],[Qty]]*Table1[[#This Row],[CostPrice]]</f>
        <v>18000</v>
      </c>
      <c r="J1660">
        <v>14895</v>
      </c>
      <c r="K1660">
        <v>104.99999999999999</v>
      </c>
      <c r="L1660" t="s">
        <v>12</v>
      </c>
      <c r="M1660" t="s">
        <v>29</v>
      </c>
      <c r="N1660">
        <f>MONTH(Table1[[#This Row],[SaleDate]])</f>
        <v>7</v>
      </c>
      <c r="O1660" t="str">
        <f>TEXT(Table1[[#This Row],[SaleDate]],"MMM")</f>
        <v>Jul</v>
      </c>
    </row>
    <row r="1661" spans="1:15">
      <c r="A1661" s="1">
        <v>45119</v>
      </c>
      <c r="B1661" t="s">
        <v>24</v>
      </c>
      <c r="C1661" t="s">
        <v>22</v>
      </c>
      <c r="D1661">
        <v>1</v>
      </c>
      <c r="E1661" t="s">
        <v>9</v>
      </c>
      <c r="F1661">
        <v>60000</v>
      </c>
      <c r="G1661">
        <v>31000</v>
      </c>
      <c r="H1661">
        <f>Table1[[#This Row],[Qty]]*Table1[[#This Row],[SellingPrice]]</f>
        <v>60000</v>
      </c>
      <c r="I1661">
        <f>Table1[[#This Row],[Qty]]*Table1[[#This Row],[CostPrice]]</f>
        <v>31000</v>
      </c>
      <c r="J1661">
        <v>28797</v>
      </c>
      <c r="K1661">
        <v>202.99999999999997</v>
      </c>
      <c r="L1661" t="s">
        <v>12</v>
      </c>
      <c r="M1661" t="s">
        <v>30</v>
      </c>
      <c r="N1661">
        <f>MONTH(Table1[[#This Row],[SaleDate]])</f>
        <v>7</v>
      </c>
      <c r="O1661" t="str">
        <f>TEXT(Table1[[#This Row],[SaleDate]],"MMM")</f>
        <v>Jul</v>
      </c>
    </row>
    <row r="1662" spans="1:15">
      <c r="A1662" s="1">
        <v>45119</v>
      </c>
      <c r="B1662" t="s">
        <v>24</v>
      </c>
      <c r="C1662" t="s">
        <v>22</v>
      </c>
      <c r="D1662">
        <v>1</v>
      </c>
      <c r="E1662" t="s">
        <v>10</v>
      </c>
      <c r="F1662">
        <v>89000</v>
      </c>
      <c r="G1662">
        <v>65000</v>
      </c>
      <c r="H1662">
        <f>Table1[[#This Row],[Qty]]*Table1[[#This Row],[SellingPrice]]</f>
        <v>89000</v>
      </c>
      <c r="I1662">
        <f>Table1[[#This Row],[Qty]]*Table1[[#This Row],[CostPrice]]</f>
        <v>65000</v>
      </c>
      <c r="J1662">
        <v>23832</v>
      </c>
      <c r="K1662">
        <v>167.99999999999997</v>
      </c>
      <c r="L1662" t="s">
        <v>12</v>
      </c>
      <c r="M1662" t="s">
        <v>30</v>
      </c>
      <c r="N1662">
        <f>MONTH(Table1[[#This Row],[SaleDate]])</f>
        <v>7</v>
      </c>
      <c r="O1662" t="str">
        <f>TEXT(Table1[[#This Row],[SaleDate]],"MMM")</f>
        <v>Jul</v>
      </c>
    </row>
    <row r="1663" spans="1:15">
      <c r="A1663" s="1">
        <v>45119</v>
      </c>
      <c r="B1663" t="s">
        <v>25</v>
      </c>
      <c r="C1663" t="s">
        <v>21</v>
      </c>
      <c r="D1663">
        <v>1</v>
      </c>
      <c r="E1663" t="s">
        <v>7</v>
      </c>
      <c r="F1663">
        <v>33000</v>
      </c>
      <c r="G1663">
        <v>18000</v>
      </c>
      <c r="H1663">
        <f>Table1[[#This Row],[Qty]]*Table1[[#This Row],[SellingPrice]]</f>
        <v>33000</v>
      </c>
      <c r="I1663">
        <f>Table1[[#This Row],[Qty]]*Table1[[#This Row],[CostPrice]]</f>
        <v>18000</v>
      </c>
      <c r="J1663">
        <v>14895</v>
      </c>
      <c r="K1663">
        <v>104.99999999999999</v>
      </c>
      <c r="L1663" t="s">
        <v>13</v>
      </c>
      <c r="M1663" t="s">
        <v>28</v>
      </c>
      <c r="N1663">
        <f>MONTH(Table1[[#This Row],[SaleDate]])</f>
        <v>7</v>
      </c>
      <c r="O1663" t="str">
        <f>TEXT(Table1[[#This Row],[SaleDate]],"MMM")</f>
        <v>Jul</v>
      </c>
    </row>
    <row r="1664" spans="1:15">
      <c r="A1664" s="1">
        <v>45119</v>
      </c>
      <c r="B1664" t="s">
        <v>25</v>
      </c>
      <c r="C1664" t="s">
        <v>21</v>
      </c>
      <c r="D1664">
        <v>1</v>
      </c>
      <c r="E1664" t="s">
        <v>9</v>
      </c>
      <c r="F1664">
        <v>60000</v>
      </c>
      <c r="G1664">
        <v>31000</v>
      </c>
      <c r="H1664">
        <f>Table1[[#This Row],[Qty]]*Table1[[#This Row],[SellingPrice]]</f>
        <v>60000</v>
      </c>
      <c r="I1664">
        <f>Table1[[#This Row],[Qty]]*Table1[[#This Row],[CostPrice]]</f>
        <v>31000</v>
      </c>
      <c r="J1664">
        <v>28797</v>
      </c>
      <c r="K1664">
        <v>202.99999999999997</v>
      </c>
      <c r="L1664" t="s">
        <v>13</v>
      </c>
      <c r="M1664" t="s">
        <v>29</v>
      </c>
      <c r="N1664">
        <f>MONTH(Table1[[#This Row],[SaleDate]])</f>
        <v>7</v>
      </c>
      <c r="O1664" t="str">
        <f>TEXT(Table1[[#This Row],[SaleDate]],"MMM")</f>
        <v>Jul</v>
      </c>
    </row>
    <row r="1665" spans="1:15">
      <c r="A1665" s="1">
        <v>45119</v>
      </c>
      <c r="B1665" t="s">
        <v>25</v>
      </c>
      <c r="C1665" t="s">
        <v>21</v>
      </c>
      <c r="D1665">
        <v>1</v>
      </c>
      <c r="E1665" t="s">
        <v>10</v>
      </c>
      <c r="F1665">
        <v>89000</v>
      </c>
      <c r="G1665">
        <v>65000</v>
      </c>
      <c r="H1665">
        <f>Table1[[#This Row],[Qty]]*Table1[[#This Row],[SellingPrice]]</f>
        <v>89000</v>
      </c>
      <c r="I1665">
        <f>Table1[[#This Row],[Qty]]*Table1[[#This Row],[CostPrice]]</f>
        <v>65000</v>
      </c>
      <c r="J1665">
        <v>23832</v>
      </c>
      <c r="K1665">
        <v>167.99999999999997</v>
      </c>
      <c r="L1665" t="s">
        <v>13</v>
      </c>
      <c r="M1665" t="s">
        <v>27</v>
      </c>
      <c r="N1665">
        <f>MONTH(Table1[[#This Row],[SaleDate]])</f>
        <v>7</v>
      </c>
      <c r="O1665" t="str">
        <f>TEXT(Table1[[#This Row],[SaleDate]],"MMM")</f>
        <v>Jul</v>
      </c>
    </row>
    <row r="1666" spans="1:15">
      <c r="A1666" s="1">
        <v>45120</v>
      </c>
      <c r="B1666" t="s">
        <v>23</v>
      </c>
      <c r="C1666" t="s">
        <v>19</v>
      </c>
      <c r="D1666">
        <v>1</v>
      </c>
      <c r="E1666" t="s">
        <v>7</v>
      </c>
      <c r="F1666">
        <v>33000</v>
      </c>
      <c r="G1666">
        <v>18000</v>
      </c>
      <c r="H1666">
        <f>Table1[[#This Row],[Qty]]*Table1[[#This Row],[SellingPrice]]</f>
        <v>33000</v>
      </c>
      <c r="I1666">
        <f>Table1[[#This Row],[Qty]]*Table1[[#This Row],[CostPrice]]</f>
        <v>18000</v>
      </c>
      <c r="J1666">
        <v>14895</v>
      </c>
      <c r="K1666">
        <v>104.99999999999999</v>
      </c>
      <c r="L1666" t="s">
        <v>8</v>
      </c>
      <c r="M1666" t="s">
        <v>30</v>
      </c>
      <c r="N1666">
        <f>MONTH(Table1[[#This Row],[SaleDate]])</f>
        <v>7</v>
      </c>
      <c r="O1666" t="str">
        <f>TEXT(Table1[[#This Row],[SaleDate]],"MMM")</f>
        <v>Jul</v>
      </c>
    </row>
    <row r="1667" spans="1:15">
      <c r="A1667" s="1">
        <v>45120</v>
      </c>
      <c r="B1667" t="s">
        <v>23</v>
      </c>
      <c r="C1667" t="s">
        <v>19</v>
      </c>
      <c r="D1667">
        <v>1</v>
      </c>
      <c r="E1667" t="s">
        <v>9</v>
      </c>
      <c r="F1667">
        <v>60000</v>
      </c>
      <c r="G1667">
        <v>31000</v>
      </c>
      <c r="H1667">
        <f>Table1[[#This Row],[Qty]]*Table1[[#This Row],[SellingPrice]]</f>
        <v>60000</v>
      </c>
      <c r="I1667">
        <f>Table1[[#This Row],[Qty]]*Table1[[#This Row],[CostPrice]]</f>
        <v>31000</v>
      </c>
      <c r="J1667">
        <v>28797</v>
      </c>
      <c r="K1667">
        <v>202.99999999999997</v>
      </c>
      <c r="L1667" t="s">
        <v>8</v>
      </c>
      <c r="M1667" t="s">
        <v>27</v>
      </c>
      <c r="N1667">
        <f>MONTH(Table1[[#This Row],[SaleDate]])</f>
        <v>7</v>
      </c>
      <c r="O1667" t="str">
        <f>TEXT(Table1[[#This Row],[SaleDate]],"MMM")</f>
        <v>Jul</v>
      </c>
    </row>
    <row r="1668" spans="1:15">
      <c r="A1668" s="1">
        <v>45120</v>
      </c>
      <c r="B1668" t="s">
        <v>23</v>
      </c>
      <c r="C1668" t="s">
        <v>19</v>
      </c>
      <c r="D1668">
        <v>1</v>
      </c>
      <c r="E1668" t="s">
        <v>10</v>
      </c>
      <c r="F1668">
        <v>89000</v>
      </c>
      <c r="G1668">
        <v>65000</v>
      </c>
      <c r="H1668">
        <f>Table1[[#This Row],[Qty]]*Table1[[#This Row],[SellingPrice]]</f>
        <v>89000</v>
      </c>
      <c r="I1668">
        <f>Table1[[#This Row],[Qty]]*Table1[[#This Row],[CostPrice]]</f>
        <v>65000</v>
      </c>
      <c r="J1668">
        <v>23832</v>
      </c>
      <c r="K1668">
        <v>167.99999999999997</v>
      </c>
      <c r="L1668" t="s">
        <v>8</v>
      </c>
      <c r="M1668" t="s">
        <v>27</v>
      </c>
      <c r="N1668">
        <f>MONTH(Table1[[#This Row],[SaleDate]])</f>
        <v>7</v>
      </c>
      <c r="O1668" t="str">
        <f>TEXT(Table1[[#This Row],[SaleDate]],"MMM")</f>
        <v>Jul</v>
      </c>
    </row>
    <row r="1669" spans="1:15">
      <c r="A1669" s="1">
        <v>45120</v>
      </c>
      <c r="B1669" t="s">
        <v>24</v>
      </c>
      <c r="C1669" t="s">
        <v>22</v>
      </c>
      <c r="D1669">
        <v>1</v>
      </c>
      <c r="E1669" t="s">
        <v>7</v>
      </c>
      <c r="F1669">
        <v>33000</v>
      </c>
      <c r="G1669">
        <v>18000</v>
      </c>
      <c r="H1669">
        <f>Table1[[#This Row],[Qty]]*Table1[[#This Row],[SellingPrice]]</f>
        <v>33000</v>
      </c>
      <c r="I1669">
        <f>Table1[[#This Row],[Qty]]*Table1[[#This Row],[CostPrice]]</f>
        <v>18000</v>
      </c>
      <c r="J1669">
        <v>14895</v>
      </c>
      <c r="K1669">
        <v>104.99999999999999</v>
      </c>
      <c r="L1669" t="s">
        <v>12</v>
      </c>
      <c r="M1669" t="s">
        <v>29</v>
      </c>
      <c r="N1669">
        <f>MONTH(Table1[[#This Row],[SaleDate]])</f>
        <v>7</v>
      </c>
      <c r="O1669" t="str">
        <f>TEXT(Table1[[#This Row],[SaleDate]],"MMM")</f>
        <v>Jul</v>
      </c>
    </row>
    <row r="1670" spans="1:15">
      <c r="A1670" s="1">
        <v>45120</v>
      </c>
      <c r="B1670" t="s">
        <v>24</v>
      </c>
      <c r="C1670" t="s">
        <v>22</v>
      </c>
      <c r="D1670">
        <v>1</v>
      </c>
      <c r="E1670" t="s">
        <v>9</v>
      </c>
      <c r="F1670">
        <v>60000</v>
      </c>
      <c r="G1670">
        <v>31000</v>
      </c>
      <c r="H1670">
        <f>Table1[[#This Row],[Qty]]*Table1[[#This Row],[SellingPrice]]</f>
        <v>60000</v>
      </c>
      <c r="I1670">
        <f>Table1[[#This Row],[Qty]]*Table1[[#This Row],[CostPrice]]</f>
        <v>31000</v>
      </c>
      <c r="J1670">
        <v>28797</v>
      </c>
      <c r="K1670">
        <v>202.99999999999997</v>
      </c>
      <c r="L1670" t="s">
        <v>12</v>
      </c>
      <c r="M1670" t="s">
        <v>29</v>
      </c>
      <c r="N1670">
        <f>MONTH(Table1[[#This Row],[SaleDate]])</f>
        <v>7</v>
      </c>
      <c r="O1670" t="str">
        <f>TEXT(Table1[[#This Row],[SaleDate]],"MMM")</f>
        <v>Jul</v>
      </c>
    </row>
    <row r="1671" spans="1:15">
      <c r="A1671" s="1">
        <v>45120</v>
      </c>
      <c r="B1671" t="s">
        <v>24</v>
      </c>
      <c r="C1671" t="s">
        <v>22</v>
      </c>
      <c r="D1671">
        <v>1</v>
      </c>
      <c r="E1671" t="s">
        <v>10</v>
      </c>
      <c r="F1671">
        <v>89000</v>
      </c>
      <c r="G1671">
        <v>65000</v>
      </c>
      <c r="H1671">
        <f>Table1[[#This Row],[Qty]]*Table1[[#This Row],[SellingPrice]]</f>
        <v>89000</v>
      </c>
      <c r="I1671">
        <f>Table1[[#This Row],[Qty]]*Table1[[#This Row],[CostPrice]]</f>
        <v>65000</v>
      </c>
      <c r="J1671">
        <v>23832</v>
      </c>
      <c r="K1671">
        <v>167.99999999999997</v>
      </c>
      <c r="L1671" t="s">
        <v>12</v>
      </c>
      <c r="M1671" t="s">
        <v>29</v>
      </c>
      <c r="N1671">
        <f>MONTH(Table1[[#This Row],[SaleDate]])</f>
        <v>7</v>
      </c>
      <c r="O1671" t="str">
        <f>TEXT(Table1[[#This Row],[SaleDate]],"MMM")</f>
        <v>Jul</v>
      </c>
    </row>
    <row r="1672" spans="1:15">
      <c r="A1672" s="1">
        <v>45120</v>
      </c>
      <c r="B1672" t="s">
        <v>25</v>
      </c>
      <c r="C1672" t="s">
        <v>21</v>
      </c>
      <c r="D1672">
        <v>1</v>
      </c>
      <c r="E1672" t="s">
        <v>7</v>
      </c>
      <c r="F1672">
        <v>33000</v>
      </c>
      <c r="G1672">
        <v>18000</v>
      </c>
      <c r="H1672">
        <f>Table1[[#This Row],[Qty]]*Table1[[#This Row],[SellingPrice]]</f>
        <v>33000</v>
      </c>
      <c r="I1672">
        <f>Table1[[#This Row],[Qty]]*Table1[[#This Row],[CostPrice]]</f>
        <v>18000</v>
      </c>
      <c r="J1672">
        <v>14895</v>
      </c>
      <c r="K1672">
        <v>104.99999999999999</v>
      </c>
      <c r="L1672" t="s">
        <v>13</v>
      </c>
      <c r="M1672" t="s">
        <v>28</v>
      </c>
      <c r="N1672">
        <f>MONTH(Table1[[#This Row],[SaleDate]])</f>
        <v>7</v>
      </c>
      <c r="O1672" t="str">
        <f>TEXT(Table1[[#This Row],[SaleDate]],"MMM")</f>
        <v>Jul</v>
      </c>
    </row>
    <row r="1673" spans="1:15">
      <c r="A1673" s="1">
        <v>45120</v>
      </c>
      <c r="B1673" t="s">
        <v>25</v>
      </c>
      <c r="C1673" t="s">
        <v>21</v>
      </c>
      <c r="D1673">
        <v>1</v>
      </c>
      <c r="E1673" t="s">
        <v>9</v>
      </c>
      <c r="F1673">
        <v>60000</v>
      </c>
      <c r="G1673">
        <v>31000</v>
      </c>
      <c r="H1673">
        <f>Table1[[#This Row],[Qty]]*Table1[[#This Row],[SellingPrice]]</f>
        <v>60000</v>
      </c>
      <c r="I1673">
        <f>Table1[[#This Row],[Qty]]*Table1[[#This Row],[CostPrice]]</f>
        <v>31000</v>
      </c>
      <c r="J1673">
        <v>28797</v>
      </c>
      <c r="K1673">
        <v>202.99999999999997</v>
      </c>
      <c r="L1673" t="s">
        <v>13</v>
      </c>
      <c r="M1673" t="s">
        <v>30</v>
      </c>
      <c r="N1673">
        <f>MONTH(Table1[[#This Row],[SaleDate]])</f>
        <v>7</v>
      </c>
      <c r="O1673" t="str">
        <f>TEXT(Table1[[#This Row],[SaleDate]],"MMM")</f>
        <v>Jul</v>
      </c>
    </row>
    <row r="1674" spans="1:15">
      <c r="A1674" s="1">
        <v>45120</v>
      </c>
      <c r="B1674" t="s">
        <v>25</v>
      </c>
      <c r="C1674" t="s">
        <v>21</v>
      </c>
      <c r="D1674">
        <v>1</v>
      </c>
      <c r="E1674" t="s">
        <v>10</v>
      </c>
      <c r="F1674">
        <v>89000</v>
      </c>
      <c r="G1674">
        <v>65000</v>
      </c>
      <c r="H1674">
        <f>Table1[[#This Row],[Qty]]*Table1[[#This Row],[SellingPrice]]</f>
        <v>89000</v>
      </c>
      <c r="I1674">
        <f>Table1[[#This Row],[Qty]]*Table1[[#This Row],[CostPrice]]</f>
        <v>65000</v>
      </c>
      <c r="J1674">
        <v>23832</v>
      </c>
      <c r="K1674">
        <v>167.99999999999997</v>
      </c>
      <c r="L1674" t="s">
        <v>13</v>
      </c>
      <c r="M1674" t="s">
        <v>30</v>
      </c>
      <c r="N1674">
        <f>MONTH(Table1[[#This Row],[SaleDate]])</f>
        <v>7</v>
      </c>
      <c r="O1674" t="str">
        <f>TEXT(Table1[[#This Row],[SaleDate]],"MMM")</f>
        <v>Jul</v>
      </c>
    </row>
    <row r="1675" spans="1:15">
      <c r="A1675" s="1">
        <v>45121</v>
      </c>
      <c r="B1675" t="s">
        <v>23</v>
      </c>
      <c r="C1675" t="s">
        <v>19</v>
      </c>
      <c r="D1675">
        <v>1</v>
      </c>
      <c r="E1675" t="s">
        <v>7</v>
      </c>
      <c r="F1675">
        <v>33000</v>
      </c>
      <c r="G1675">
        <v>18000</v>
      </c>
      <c r="H1675">
        <f>Table1[[#This Row],[Qty]]*Table1[[#This Row],[SellingPrice]]</f>
        <v>33000</v>
      </c>
      <c r="I1675">
        <f>Table1[[#This Row],[Qty]]*Table1[[#This Row],[CostPrice]]</f>
        <v>18000</v>
      </c>
      <c r="J1675">
        <v>14895</v>
      </c>
      <c r="K1675">
        <v>104.99999999999999</v>
      </c>
      <c r="L1675" t="s">
        <v>8</v>
      </c>
      <c r="M1675" t="s">
        <v>27</v>
      </c>
      <c r="N1675">
        <f>MONTH(Table1[[#This Row],[SaleDate]])</f>
        <v>7</v>
      </c>
      <c r="O1675" t="str">
        <f>TEXT(Table1[[#This Row],[SaleDate]],"MMM")</f>
        <v>Jul</v>
      </c>
    </row>
    <row r="1676" spans="1:15">
      <c r="A1676" s="1">
        <v>45121</v>
      </c>
      <c r="B1676" t="s">
        <v>23</v>
      </c>
      <c r="C1676" t="s">
        <v>19</v>
      </c>
      <c r="D1676">
        <v>1</v>
      </c>
      <c r="E1676" t="s">
        <v>9</v>
      </c>
      <c r="F1676">
        <v>60000</v>
      </c>
      <c r="G1676">
        <v>31000</v>
      </c>
      <c r="H1676">
        <f>Table1[[#This Row],[Qty]]*Table1[[#This Row],[SellingPrice]]</f>
        <v>60000</v>
      </c>
      <c r="I1676">
        <f>Table1[[#This Row],[Qty]]*Table1[[#This Row],[CostPrice]]</f>
        <v>31000</v>
      </c>
      <c r="J1676">
        <v>28797</v>
      </c>
      <c r="K1676">
        <v>202.99999999999997</v>
      </c>
      <c r="L1676" t="s">
        <v>8</v>
      </c>
      <c r="M1676" t="s">
        <v>30</v>
      </c>
      <c r="N1676">
        <f>MONTH(Table1[[#This Row],[SaleDate]])</f>
        <v>7</v>
      </c>
      <c r="O1676" t="str">
        <f>TEXT(Table1[[#This Row],[SaleDate]],"MMM")</f>
        <v>Jul</v>
      </c>
    </row>
    <row r="1677" spans="1:15">
      <c r="A1677" s="1">
        <v>45121</v>
      </c>
      <c r="B1677" t="s">
        <v>23</v>
      </c>
      <c r="C1677" t="s">
        <v>19</v>
      </c>
      <c r="D1677">
        <v>1</v>
      </c>
      <c r="E1677" t="s">
        <v>10</v>
      </c>
      <c r="F1677">
        <v>89000</v>
      </c>
      <c r="G1677">
        <v>65000</v>
      </c>
      <c r="H1677">
        <f>Table1[[#This Row],[Qty]]*Table1[[#This Row],[SellingPrice]]</f>
        <v>89000</v>
      </c>
      <c r="I1677">
        <f>Table1[[#This Row],[Qty]]*Table1[[#This Row],[CostPrice]]</f>
        <v>65000</v>
      </c>
      <c r="J1677">
        <v>23832</v>
      </c>
      <c r="K1677">
        <v>167.99999999999997</v>
      </c>
      <c r="L1677" t="s">
        <v>8</v>
      </c>
      <c r="M1677" t="s">
        <v>27</v>
      </c>
      <c r="N1677">
        <f>MONTH(Table1[[#This Row],[SaleDate]])</f>
        <v>7</v>
      </c>
      <c r="O1677" t="str">
        <f>TEXT(Table1[[#This Row],[SaleDate]],"MMM")</f>
        <v>Jul</v>
      </c>
    </row>
    <row r="1678" spans="1:15">
      <c r="A1678" s="1">
        <v>45121</v>
      </c>
      <c r="B1678" t="s">
        <v>24</v>
      </c>
      <c r="C1678" t="s">
        <v>22</v>
      </c>
      <c r="D1678">
        <v>1</v>
      </c>
      <c r="E1678" t="s">
        <v>7</v>
      </c>
      <c r="F1678">
        <v>33000</v>
      </c>
      <c r="G1678">
        <v>18000</v>
      </c>
      <c r="H1678">
        <f>Table1[[#This Row],[Qty]]*Table1[[#This Row],[SellingPrice]]</f>
        <v>33000</v>
      </c>
      <c r="I1678">
        <f>Table1[[#This Row],[Qty]]*Table1[[#This Row],[CostPrice]]</f>
        <v>18000</v>
      </c>
      <c r="J1678">
        <v>14895</v>
      </c>
      <c r="K1678">
        <v>104.99999999999999</v>
      </c>
      <c r="L1678" t="s">
        <v>12</v>
      </c>
      <c r="M1678" t="s">
        <v>28</v>
      </c>
      <c r="N1678">
        <f>MONTH(Table1[[#This Row],[SaleDate]])</f>
        <v>7</v>
      </c>
      <c r="O1678" t="str">
        <f>TEXT(Table1[[#This Row],[SaleDate]],"MMM")</f>
        <v>Jul</v>
      </c>
    </row>
    <row r="1679" spans="1:15">
      <c r="A1679" s="1">
        <v>45121</v>
      </c>
      <c r="B1679" t="s">
        <v>24</v>
      </c>
      <c r="C1679" t="s">
        <v>22</v>
      </c>
      <c r="D1679">
        <v>1</v>
      </c>
      <c r="E1679" t="s">
        <v>9</v>
      </c>
      <c r="F1679">
        <v>60000</v>
      </c>
      <c r="G1679">
        <v>31000</v>
      </c>
      <c r="H1679">
        <f>Table1[[#This Row],[Qty]]*Table1[[#This Row],[SellingPrice]]</f>
        <v>60000</v>
      </c>
      <c r="I1679">
        <f>Table1[[#This Row],[Qty]]*Table1[[#This Row],[CostPrice]]</f>
        <v>31000</v>
      </c>
      <c r="J1679">
        <v>28797</v>
      </c>
      <c r="K1679">
        <v>202.99999999999997</v>
      </c>
      <c r="L1679" t="s">
        <v>12</v>
      </c>
      <c r="M1679" t="s">
        <v>30</v>
      </c>
      <c r="N1679">
        <f>MONTH(Table1[[#This Row],[SaleDate]])</f>
        <v>7</v>
      </c>
      <c r="O1679" t="str">
        <f>TEXT(Table1[[#This Row],[SaleDate]],"MMM")</f>
        <v>Jul</v>
      </c>
    </row>
    <row r="1680" spans="1:15">
      <c r="A1680" s="1">
        <v>45121</v>
      </c>
      <c r="B1680" t="s">
        <v>24</v>
      </c>
      <c r="C1680" t="s">
        <v>22</v>
      </c>
      <c r="D1680">
        <v>1</v>
      </c>
      <c r="E1680" t="s">
        <v>10</v>
      </c>
      <c r="F1680">
        <v>89000</v>
      </c>
      <c r="G1680">
        <v>65000</v>
      </c>
      <c r="H1680">
        <f>Table1[[#This Row],[Qty]]*Table1[[#This Row],[SellingPrice]]</f>
        <v>89000</v>
      </c>
      <c r="I1680">
        <f>Table1[[#This Row],[Qty]]*Table1[[#This Row],[CostPrice]]</f>
        <v>65000</v>
      </c>
      <c r="J1680">
        <v>23832</v>
      </c>
      <c r="K1680">
        <v>167.99999999999997</v>
      </c>
      <c r="L1680" t="s">
        <v>12</v>
      </c>
      <c r="M1680" t="s">
        <v>29</v>
      </c>
      <c r="N1680">
        <f>MONTH(Table1[[#This Row],[SaleDate]])</f>
        <v>7</v>
      </c>
      <c r="O1680" t="str">
        <f>TEXT(Table1[[#This Row],[SaleDate]],"MMM")</f>
        <v>Jul</v>
      </c>
    </row>
    <row r="1681" spans="1:15">
      <c r="A1681" s="1">
        <v>45121</v>
      </c>
      <c r="B1681" t="s">
        <v>25</v>
      </c>
      <c r="C1681" t="s">
        <v>21</v>
      </c>
      <c r="D1681">
        <v>1</v>
      </c>
      <c r="E1681" t="s">
        <v>7</v>
      </c>
      <c r="F1681">
        <v>33000</v>
      </c>
      <c r="G1681">
        <v>18000</v>
      </c>
      <c r="H1681">
        <f>Table1[[#This Row],[Qty]]*Table1[[#This Row],[SellingPrice]]</f>
        <v>33000</v>
      </c>
      <c r="I1681">
        <f>Table1[[#This Row],[Qty]]*Table1[[#This Row],[CostPrice]]</f>
        <v>18000</v>
      </c>
      <c r="J1681">
        <v>14895</v>
      </c>
      <c r="K1681">
        <v>104.99999999999999</v>
      </c>
      <c r="L1681" t="s">
        <v>13</v>
      </c>
      <c r="M1681" t="s">
        <v>30</v>
      </c>
      <c r="N1681">
        <f>MONTH(Table1[[#This Row],[SaleDate]])</f>
        <v>7</v>
      </c>
      <c r="O1681" t="str">
        <f>TEXT(Table1[[#This Row],[SaleDate]],"MMM")</f>
        <v>Jul</v>
      </c>
    </row>
    <row r="1682" spans="1:15">
      <c r="A1682" s="1">
        <v>45121</v>
      </c>
      <c r="B1682" t="s">
        <v>25</v>
      </c>
      <c r="C1682" t="s">
        <v>21</v>
      </c>
      <c r="D1682">
        <v>1</v>
      </c>
      <c r="E1682" t="s">
        <v>9</v>
      </c>
      <c r="F1682">
        <v>60000</v>
      </c>
      <c r="G1682">
        <v>31000</v>
      </c>
      <c r="H1682">
        <f>Table1[[#This Row],[Qty]]*Table1[[#This Row],[SellingPrice]]</f>
        <v>60000</v>
      </c>
      <c r="I1682">
        <f>Table1[[#This Row],[Qty]]*Table1[[#This Row],[CostPrice]]</f>
        <v>31000</v>
      </c>
      <c r="J1682">
        <v>28797</v>
      </c>
      <c r="K1682">
        <v>202.99999999999997</v>
      </c>
      <c r="L1682" t="s">
        <v>13</v>
      </c>
      <c r="M1682" t="s">
        <v>30</v>
      </c>
      <c r="N1682">
        <f>MONTH(Table1[[#This Row],[SaleDate]])</f>
        <v>7</v>
      </c>
      <c r="O1682" t="str">
        <f>TEXT(Table1[[#This Row],[SaleDate]],"MMM")</f>
        <v>Jul</v>
      </c>
    </row>
    <row r="1683" spans="1:15">
      <c r="A1683" s="1">
        <v>45121</v>
      </c>
      <c r="B1683" t="s">
        <v>25</v>
      </c>
      <c r="C1683" t="s">
        <v>21</v>
      </c>
      <c r="D1683">
        <v>1</v>
      </c>
      <c r="E1683" t="s">
        <v>10</v>
      </c>
      <c r="F1683">
        <v>89000</v>
      </c>
      <c r="G1683">
        <v>65000</v>
      </c>
      <c r="H1683">
        <f>Table1[[#This Row],[Qty]]*Table1[[#This Row],[SellingPrice]]</f>
        <v>89000</v>
      </c>
      <c r="I1683">
        <f>Table1[[#This Row],[Qty]]*Table1[[#This Row],[CostPrice]]</f>
        <v>65000</v>
      </c>
      <c r="J1683">
        <v>23832</v>
      </c>
      <c r="K1683">
        <v>167.99999999999997</v>
      </c>
      <c r="L1683" t="s">
        <v>13</v>
      </c>
      <c r="M1683" t="s">
        <v>27</v>
      </c>
      <c r="N1683">
        <f>MONTH(Table1[[#This Row],[SaleDate]])</f>
        <v>7</v>
      </c>
      <c r="O1683" t="str">
        <f>TEXT(Table1[[#This Row],[SaleDate]],"MMM")</f>
        <v>Jul</v>
      </c>
    </row>
    <row r="1684" spans="1:15">
      <c r="A1684" s="1">
        <v>45122</v>
      </c>
      <c r="B1684" t="s">
        <v>23</v>
      </c>
      <c r="C1684" t="s">
        <v>19</v>
      </c>
      <c r="D1684">
        <v>1</v>
      </c>
      <c r="E1684" t="s">
        <v>7</v>
      </c>
      <c r="F1684">
        <v>33000</v>
      </c>
      <c r="G1684">
        <v>18000</v>
      </c>
      <c r="H1684">
        <f>Table1[[#This Row],[Qty]]*Table1[[#This Row],[SellingPrice]]</f>
        <v>33000</v>
      </c>
      <c r="I1684">
        <f>Table1[[#This Row],[Qty]]*Table1[[#This Row],[CostPrice]]</f>
        <v>18000</v>
      </c>
      <c r="J1684">
        <v>14895</v>
      </c>
      <c r="K1684">
        <v>104.99999999999999</v>
      </c>
      <c r="L1684" t="s">
        <v>8</v>
      </c>
      <c r="M1684" t="s">
        <v>27</v>
      </c>
      <c r="N1684">
        <f>MONTH(Table1[[#This Row],[SaleDate]])</f>
        <v>7</v>
      </c>
      <c r="O1684" t="str">
        <f>TEXT(Table1[[#This Row],[SaleDate]],"MMM")</f>
        <v>Jul</v>
      </c>
    </row>
    <row r="1685" spans="1:15">
      <c r="A1685" s="1">
        <v>45122</v>
      </c>
      <c r="B1685" t="s">
        <v>23</v>
      </c>
      <c r="C1685" t="s">
        <v>19</v>
      </c>
      <c r="D1685">
        <v>1</v>
      </c>
      <c r="E1685" t="s">
        <v>9</v>
      </c>
      <c r="F1685">
        <v>60000</v>
      </c>
      <c r="G1685">
        <v>31000</v>
      </c>
      <c r="H1685">
        <f>Table1[[#This Row],[Qty]]*Table1[[#This Row],[SellingPrice]]</f>
        <v>60000</v>
      </c>
      <c r="I1685">
        <f>Table1[[#This Row],[Qty]]*Table1[[#This Row],[CostPrice]]</f>
        <v>31000</v>
      </c>
      <c r="J1685">
        <v>28797</v>
      </c>
      <c r="K1685">
        <v>202.99999999999997</v>
      </c>
      <c r="L1685" t="s">
        <v>8</v>
      </c>
      <c r="M1685" t="s">
        <v>29</v>
      </c>
      <c r="N1685">
        <f>MONTH(Table1[[#This Row],[SaleDate]])</f>
        <v>7</v>
      </c>
      <c r="O1685" t="str">
        <f>TEXT(Table1[[#This Row],[SaleDate]],"MMM")</f>
        <v>Jul</v>
      </c>
    </row>
    <row r="1686" spans="1:15">
      <c r="A1686" s="1">
        <v>45122</v>
      </c>
      <c r="B1686" t="s">
        <v>23</v>
      </c>
      <c r="C1686" t="s">
        <v>19</v>
      </c>
      <c r="D1686">
        <v>1</v>
      </c>
      <c r="E1686" t="s">
        <v>10</v>
      </c>
      <c r="F1686">
        <v>89000</v>
      </c>
      <c r="G1686">
        <v>65000</v>
      </c>
      <c r="H1686">
        <f>Table1[[#This Row],[Qty]]*Table1[[#This Row],[SellingPrice]]</f>
        <v>89000</v>
      </c>
      <c r="I1686">
        <f>Table1[[#This Row],[Qty]]*Table1[[#This Row],[CostPrice]]</f>
        <v>65000</v>
      </c>
      <c r="J1686">
        <v>23832</v>
      </c>
      <c r="K1686">
        <v>167.99999999999997</v>
      </c>
      <c r="L1686" t="s">
        <v>8</v>
      </c>
      <c r="M1686" t="s">
        <v>29</v>
      </c>
      <c r="N1686">
        <f>MONTH(Table1[[#This Row],[SaleDate]])</f>
        <v>7</v>
      </c>
      <c r="O1686" t="str">
        <f>TEXT(Table1[[#This Row],[SaleDate]],"MMM")</f>
        <v>Jul</v>
      </c>
    </row>
    <row r="1687" spans="1:15">
      <c r="A1687" s="1">
        <v>45122</v>
      </c>
      <c r="B1687" t="s">
        <v>24</v>
      </c>
      <c r="C1687" t="s">
        <v>22</v>
      </c>
      <c r="D1687">
        <v>1</v>
      </c>
      <c r="E1687" t="s">
        <v>7</v>
      </c>
      <c r="F1687">
        <v>33000</v>
      </c>
      <c r="G1687">
        <v>18000</v>
      </c>
      <c r="H1687">
        <f>Table1[[#This Row],[Qty]]*Table1[[#This Row],[SellingPrice]]</f>
        <v>33000</v>
      </c>
      <c r="I1687">
        <f>Table1[[#This Row],[Qty]]*Table1[[#This Row],[CostPrice]]</f>
        <v>18000</v>
      </c>
      <c r="J1687">
        <v>14895</v>
      </c>
      <c r="K1687">
        <v>104.99999999999999</v>
      </c>
      <c r="L1687" t="s">
        <v>12</v>
      </c>
      <c r="M1687" t="s">
        <v>29</v>
      </c>
      <c r="N1687">
        <f>MONTH(Table1[[#This Row],[SaleDate]])</f>
        <v>7</v>
      </c>
      <c r="O1687" t="str">
        <f>TEXT(Table1[[#This Row],[SaleDate]],"MMM")</f>
        <v>Jul</v>
      </c>
    </row>
    <row r="1688" spans="1:15">
      <c r="A1688" s="1">
        <v>45122</v>
      </c>
      <c r="B1688" t="s">
        <v>24</v>
      </c>
      <c r="C1688" t="s">
        <v>22</v>
      </c>
      <c r="D1688">
        <v>1</v>
      </c>
      <c r="E1688" t="s">
        <v>9</v>
      </c>
      <c r="F1688">
        <v>60000</v>
      </c>
      <c r="G1688">
        <v>31000</v>
      </c>
      <c r="H1688">
        <f>Table1[[#This Row],[Qty]]*Table1[[#This Row],[SellingPrice]]</f>
        <v>60000</v>
      </c>
      <c r="I1688">
        <f>Table1[[#This Row],[Qty]]*Table1[[#This Row],[CostPrice]]</f>
        <v>31000</v>
      </c>
      <c r="J1688">
        <v>28797</v>
      </c>
      <c r="K1688">
        <v>202.99999999999997</v>
      </c>
      <c r="L1688" t="s">
        <v>12</v>
      </c>
      <c r="M1688" t="s">
        <v>30</v>
      </c>
      <c r="N1688">
        <f>MONTH(Table1[[#This Row],[SaleDate]])</f>
        <v>7</v>
      </c>
      <c r="O1688" t="str">
        <f>TEXT(Table1[[#This Row],[SaleDate]],"MMM")</f>
        <v>Jul</v>
      </c>
    </row>
    <row r="1689" spans="1:15">
      <c r="A1689" s="1">
        <v>45122</v>
      </c>
      <c r="B1689" t="s">
        <v>24</v>
      </c>
      <c r="C1689" t="s">
        <v>22</v>
      </c>
      <c r="D1689">
        <v>1</v>
      </c>
      <c r="E1689" t="s">
        <v>10</v>
      </c>
      <c r="F1689">
        <v>89000</v>
      </c>
      <c r="G1689">
        <v>65000</v>
      </c>
      <c r="H1689">
        <f>Table1[[#This Row],[Qty]]*Table1[[#This Row],[SellingPrice]]</f>
        <v>89000</v>
      </c>
      <c r="I1689">
        <f>Table1[[#This Row],[Qty]]*Table1[[#This Row],[CostPrice]]</f>
        <v>65000</v>
      </c>
      <c r="J1689">
        <v>23832</v>
      </c>
      <c r="K1689">
        <v>167.99999999999997</v>
      </c>
      <c r="L1689" t="s">
        <v>12</v>
      </c>
      <c r="M1689" t="s">
        <v>30</v>
      </c>
      <c r="N1689">
        <f>MONTH(Table1[[#This Row],[SaleDate]])</f>
        <v>7</v>
      </c>
      <c r="O1689" t="str">
        <f>TEXT(Table1[[#This Row],[SaleDate]],"MMM")</f>
        <v>Jul</v>
      </c>
    </row>
    <row r="1690" spans="1:15">
      <c r="A1690" s="1">
        <v>45122</v>
      </c>
      <c r="B1690" t="s">
        <v>25</v>
      </c>
      <c r="C1690" t="s">
        <v>21</v>
      </c>
      <c r="D1690">
        <v>1</v>
      </c>
      <c r="E1690" t="s">
        <v>7</v>
      </c>
      <c r="F1690">
        <v>33000</v>
      </c>
      <c r="G1690">
        <v>18000</v>
      </c>
      <c r="H1690">
        <f>Table1[[#This Row],[Qty]]*Table1[[#This Row],[SellingPrice]]</f>
        <v>33000</v>
      </c>
      <c r="I1690">
        <f>Table1[[#This Row],[Qty]]*Table1[[#This Row],[CostPrice]]</f>
        <v>18000</v>
      </c>
      <c r="J1690">
        <v>14895</v>
      </c>
      <c r="K1690">
        <v>104.99999999999999</v>
      </c>
      <c r="L1690" t="s">
        <v>13</v>
      </c>
      <c r="M1690" t="s">
        <v>27</v>
      </c>
      <c r="N1690">
        <f>MONTH(Table1[[#This Row],[SaleDate]])</f>
        <v>7</v>
      </c>
      <c r="O1690" t="str">
        <f>TEXT(Table1[[#This Row],[SaleDate]],"MMM")</f>
        <v>Jul</v>
      </c>
    </row>
    <row r="1691" spans="1:15">
      <c r="A1691" s="1">
        <v>45122</v>
      </c>
      <c r="B1691" t="s">
        <v>25</v>
      </c>
      <c r="C1691" t="s">
        <v>21</v>
      </c>
      <c r="D1691">
        <v>1</v>
      </c>
      <c r="E1691" t="s">
        <v>9</v>
      </c>
      <c r="F1691">
        <v>60000</v>
      </c>
      <c r="G1691">
        <v>31000</v>
      </c>
      <c r="H1691">
        <f>Table1[[#This Row],[Qty]]*Table1[[#This Row],[SellingPrice]]</f>
        <v>60000</v>
      </c>
      <c r="I1691">
        <f>Table1[[#This Row],[Qty]]*Table1[[#This Row],[CostPrice]]</f>
        <v>31000</v>
      </c>
      <c r="J1691">
        <v>28797</v>
      </c>
      <c r="K1691">
        <v>202.99999999999997</v>
      </c>
      <c r="L1691" t="s">
        <v>13</v>
      </c>
      <c r="M1691" t="s">
        <v>30</v>
      </c>
      <c r="N1691">
        <f>MONTH(Table1[[#This Row],[SaleDate]])</f>
        <v>7</v>
      </c>
      <c r="O1691" t="str">
        <f>TEXT(Table1[[#This Row],[SaleDate]],"MMM")</f>
        <v>Jul</v>
      </c>
    </row>
    <row r="1692" spans="1:15">
      <c r="A1692" s="1">
        <v>45122</v>
      </c>
      <c r="B1692" t="s">
        <v>25</v>
      </c>
      <c r="C1692" t="s">
        <v>21</v>
      </c>
      <c r="D1692">
        <v>1</v>
      </c>
      <c r="E1692" t="s">
        <v>10</v>
      </c>
      <c r="F1692">
        <v>89000</v>
      </c>
      <c r="G1692">
        <v>65000</v>
      </c>
      <c r="H1692">
        <f>Table1[[#This Row],[Qty]]*Table1[[#This Row],[SellingPrice]]</f>
        <v>89000</v>
      </c>
      <c r="I1692">
        <f>Table1[[#This Row],[Qty]]*Table1[[#This Row],[CostPrice]]</f>
        <v>65000</v>
      </c>
      <c r="J1692">
        <v>23832</v>
      </c>
      <c r="K1692">
        <v>167.99999999999997</v>
      </c>
      <c r="L1692" t="s">
        <v>13</v>
      </c>
      <c r="M1692" t="s">
        <v>27</v>
      </c>
      <c r="N1692">
        <f>MONTH(Table1[[#This Row],[SaleDate]])</f>
        <v>7</v>
      </c>
      <c r="O1692" t="str">
        <f>TEXT(Table1[[#This Row],[SaleDate]],"MMM")</f>
        <v>Jul</v>
      </c>
    </row>
    <row r="1693" spans="1:15">
      <c r="A1693" s="1">
        <v>45123</v>
      </c>
      <c r="B1693" t="s">
        <v>23</v>
      </c>
      <c r="C1693" t="s">
        <v>19</v>
      </c>
      <c r="D1693">
        <v>1</v>
      </c>
      <c r="E1693" t="s">
        <v>7</v>
      </c>
      <c r="F1693">
        <v>33000</v>
      </c>
      <c r="G1693">
        <v>18000</v>
      </c>
      <c r="H1693">
        <f>Table1[[#This Row],[Qty]]*Table1[[#This Row],[SellingPrice]]</f>
        <v>33000</v>
      </c>
      <c r="I1693">
        <f>Table1[[#This Row],[Qty]]*Table1[[#This Row],[CostPrice]]</f>
        <v>18000</v>
      </c>
      <c r="J1693">
        <v>14895</v>
      </c>
      <c r="K1693">
        <v>104.99999999999999</v>
      </c>
      <c r="L1693" t="s">
        <v>8</v>
      </c>
      <c r="M1693" t="s">
        <v>29</v>
      </c>
      <c r="N1693">
        <f>MONTH(Table1[[#This Row],[SaleDate]])</f>
        <v>7</v>
      </c>
      <c r="O1693" t="str">
        <f>TEXT(Table1[[#This Row],[SaleDate]],"MMM")</f>
        <v>Jul</v>
      </c>
    </row>
    <row r="1694" spans="1:15">
      <c r="A1694" s="1">
        <v>45123</v>
      </c>
      <c r="B1694" t="s">
        <v>23</v>
      </c>
      <c r="C1694" t="s">
        <v>19</v>
      </c>
      <c r="D1694">
        <v>1</v>
      </c>
      <c r="E1694" t="s">
        <v>9</v>
      </c>
      <c r="F1694">
        <v>60000</v>
      </c>
      <c r="G1694">
        <v>31000</v>
      </c>
      <c r="H1694">
        <f>Table1[[#This Row],[Qty]]*Table1[[#This Row],[SellingPrice]]</f>
        <v>60000</v>
      </c>
      <c r="I1694">
        <f>Table1[[#This Row],[Qty]]*Table1[[#This Row],[CostPrice]]</f>
        <v>31000</v>
      </c>
      <c r="J1694">
        <v>28797</v>
      </c>
      <c r="K1694">
        <v>202.99999999999997</v>
      </c>
      <c r="L1694" t="s">
        <v>8</v>
      </c>
      <c r="M1694" t="s">
        <v>30</v>
      </c>
      <c r="N1694">
        <f>MONTH(Table1[[#This Row],[SaleDate]])</f>
        <v>7</v>
      </c>
      <c r="O1694" t="str">
        <f>TEXT(Table1[[#This Row],[SaleDate]],"MMM")</f>
        <v>Jul</v>
      </c>
    </row>
    <row r="1695" spans="1:15">
      <c r="A1695" s="1">
        <v>45123</v>
      </c>
      <c r="B1695" t="s">
        <v>23</v>
      </c>
      <c r="C1695" t="s">
        <v>19</v>
      </c>
      <c r="D1695">
        <v>1</v>
      </c>
      <c r="E1695" t="s">
        <v>10</v>
      </c>
      <c r="F1695">
        <v>89000</v>
      </c>
      <c r="G1695">
        <v>65000</v>
      </c>
      <c r="H1695">
        <f>Table1[[#This Row],[Qty]]*Table1[[#This Row],[SellingPrice]]</f>
        <v>89000</v>
      </c>
      <c r="I1695">
        <f>Table1[[#This Row],[Qty]]*Table1[[#This Row],[CostPrice]]</f>
        <v>65000</v>
      </c>
      <c r="J1695">
        <v>23832</v>
      </c>
      <c r="K1695">
        <v>167.99999999999997</v>
      </c>
      <c r="L1695" t="s">
        <v>8</v>
      </c>
      <c r="M1695" t="s">
        <v>30</v>
      </c>
      <c r="N1695">
        <f>MONTH(Table1[[#This Row],[SaleDate]])</f>
        <v>7</v>
      </c>
      <c r="O1695" t="str">
        <f>TEXT(Table1[[#This Row],[SaleDate]],"MMM")</f>
        <v>Jul</v>
      </c>
    </row>
    <row r="1696" spans="1:15">
      <c r="A1696" s="1">
        <v>45123</v>
      </c>
      <c r="B1696" t="s">
        <v>24</v>
      </c>
      <c r="C1696" t="s">
        <v>22</v>
      </c>
      <c r="D1696">
        <v>1</v>
      </c>
      <c r="E1696" t="s">
        <v>7</v>
      </c>
      <c r="F1696">
        <v>33000</v>
      </c>
      <c r="G1696">
        <v>18000</v>
      </c>
      <c r="H1696">
        <f>Table1[[#This Row],[Qty]]*Table1[[#This Row],[SellingPrice]]</f>
        <v>33000</v>
      </c>
      <c r="I1696">
        <f>Table1[[#This Row],[Qty]]*Table1[[#This Row],[CostPrice]]</f>
        <v>18000</v>
      </c>
      <c r="J1696">
        <v>14895</v>
      </c>
      <c r="K1696">
        <v>104.99999999999999</v>
      </c>
      <c r="L1696" t="s">
        <v>12</v>
      </c>
      <c r="M1696" t="s">
        <v>29</v>
      </c>
      <c r="N1696">
        <f>MONTH(Table1[[#This Row],[SaleDate]])</f>
        <v>7</v>
      </c>
      <c r="O1696" t="str">
        <f>TEXT(Table1[[#This Row],[SaleDate]],"MMM")</f>
        <v>Jul</v>
      </c>
    </row>
    <row r="1697" spans="1:15">
      <c r="A1697" s="1">
        <v>45123</v>
      </c>
      <c r="B1697" t="s">
        <v>24</v>
      </c>
      <c r="C1697" t="s">
        <v>22</v>
      </c>
      <c r="D1697">
        <v>1</v>
      </c>
      <c r="E1697" t="s">
        <v>9</v>
      </c>
      <c r="F1697">
        <v>60000</v>
      </c>
      <c r="G1697">
        <v>31000</v>
      </c>
      <c r="H1697">
        <f>Table1[[#This Row],[Qty]]*Table1[[#This Row],[SellingPrice]]</f>
        <v>60000</v>
      </c>
      <c r="I1697">
        <f>Table1[[#This Row],[Qty]]*Table1[[#This Row],[CostPrice]]</f>
        <v>31000</v>
      </c>
      <c r="J1697">
        <v>28797</v>
      </c>
      <c r="K1697">
        <v>202.99999999999997</v>
      </c>
      <c r="L1697" t="s">
        <v>12</v>
      </c>
      <c r="M1697" t="s">
        <v>27</v>
      </c>
      <c r="N1697">
        <f>MONTH(Table1[[#This Row],[SaleDate]])</f>
        <v>7</v>
      </c>
      <c r="O1697" t="str">
        <f>TEXT(Table1[[#This Row],[SaleDate]],"MMM")</f>
        <v>Jul</v>
      </c>
    </row>
    <row r="1698" spans="1:15">
      <c r="A1698" s="1">
        <v>45123</v>
      </c>
      <c r="B1698" t="s">
        <v>24</v>
      </c>
      <c r="C1698" t="s">
        <v>22</v>
      </c>
      <c r="D1698">
        <v>1</v>
      </c>
      <c r="E1698" t="s">
        <v>10</v>
      </c>
      <c r="F1698">
        <v>89000</v>
      </c>
      <c r="G1698">
        <v>65000</v>
      </c>
      <c r="H1698">
        <f>Table1[[#This Row],[Qty]]*Table1[[#This Row],[SellingPrice]]</f>
        <v>89000</v>
      </c>
      <c r="I1698">
        <f>Table1[[#This Row],[Qty]]*Table1[[#This Row],[CostPrice]]</f>
        <v>65000</v>
      </c>
      <c r="J1698">
        <v>23832</v>
      </c>
      <c r="K1698">
        <v>167.99999999999997</v>
      </c>
      <c r="L1698" t="s">
        <v>12</v>
      </c>
      <c r="M1698" t="s">
        <v>27</v>
      </c>
      <c r="N1698">
        <f>MONTH(Table1[[#This Row],[SaleDate]])</f>
        <v>7</v>
      </c>
      <c r="O1698" t="str">
        <f>TEXT(Table1[[#This Row],[SaleDate]],"MMM")</f>
        <v>Jul</v>
      </c>
    </row>
    <row r="1699" spans="1:15">
      <c r="A1699" s="1">
        <v>45123</v>
      </c>
      <c r="B1699" t="s">
        <v>25</v>
      </c>
      <c r="C1699" t="s">
        <v>21</v>
      </c>
      <c r="D1699">
        <v>1</v>
      </c>
      <c r="E1699" t="s">
        <v>7</v>
      </c>
      <c r="F1699">
        <v>33000</v>
      </c>
      <c r="G1699">
        <v>18000</v>
      </c>
      <c r="H1699">
        <f>Table1[[#This Row],[Qty]]*Table1[[#This Row],[SellingPrice]]</f>
        <v>33000</v>
      </c>
      <c r="I1699">
        <f>Table1[[#This Row],[Qty]]*Table1[[#This Row],[CostPrice]]</f>
        <v>18000</v>
      </c>
      <c r="J1699">
        <v>14895</v>
      </c>
      <c r="K1699">
        <v>104.99999999999999</v>
      </c>
      <c r="L1699" t="s">
        <v>13</v>
      </c>
      <c r="M1699" t="s">
        <v>30</v>
      </c>
      <c r="N1699">
        <f>MONTH(Table1[[#This Row],[SaleDate]])</f>
        <v>7</v>
      </c>
      <c r="O1699" t="str">
        <f>TEXT(Table1[[#This Row],[SaleDate]],"MMM")</f>
        <v>Jul</v>
      </c>
    </row>
    <row r="1700" spans="1:15">
      <c r="A1700" s="1">
        <v>45123</v>
      </c>
      <c r="B1700" t="s">
        <v>25</v>
      </c>
      <c r="C1700" t="s">
        <v>21</v>
      </c>
      <c r="D1700">
        <v>1</v>
      </c>
      <c r="E1700" t="s">
        <v>9</v>
      </c>
      <c r="F1700">
        <v>60000</v>
      </c>
      <c r="G1700">
        <v>31000</v>
      </c>
      <c r="H1700">
        <f>Table1[[#This Row],[Qty]]*Table1[[#This Row],[SellingPrice]]</f>
        <v>60000</v>
      </c>
      <c r="I1700">
        <f>Table1[[#This Row],[Qty]]*Table1[[#This Row],[CostPrice]]</f>
        <v>31000</v>
      </c>
      <c r="J1700">
        <v>28797</v>
      </c>
      <c r="K1700">
        <v>202.99999999999997</v>
      </c>
      <c r="L1700" t="s">
        <v>13</v>
      </c>
      <c r="M1700" t="s">
        <v>28</v>
      </c>
      <c r="N1700">
        <f>MONTH(Table1[[#This Row],[SaleDate]])</f>
        <v>7</v>
      </c>
      <c r="O1700" t="str">
        <f>TEXT(Table1[[#This Row],[SaleDate]],"MMM")</f>
        <v>Jul</v>
      </c>
    </row>
    <row r="1701" spans="1:15">
      <c r="A1701" s="1">
        <v>45123</v>
      </c>
      <c r="B1701" t="s">
        <v>25</v>
      </c>
      <c r="C1701" t="s">
        <v>21</v>
      </c>
      <c r="D1701">
        <v>1</v>
      </c>
      <c r="E1701" t="s">
        <v>10</v>
      </c>
      <c r="F1701">
        <v>89000</v>
      </c>
      <c r="G1701">
        <v>65000</v>
      </c>
      <c r="H1701">
        <f>Table1[[#This Row],[Qty]]*Table1[[#This Row],[SellingPrice]]</f>
        <v>89000</v>
      </c>
      <c r="I1701">
        <f>Table1[[#This Row],[Qty]]*Table1[[#This Row],[CostPrice]]</f>
        <v>65000</v>
      </c>
      <c r="J1701">
        <v>23832</v>
      </c>
      <c r="K1701">
        <v>167.99999999999997</v>
      </c>
      <c r="L1701" t="s">
        <v>13</v>
      </c>
      <c r="M1701" t="s">
        <v>30</v>
      </c>
      <c r="N1701">
        <f>MONTH(Table1[[#This Row],[SaleDate]])</f>
        <v>7</v>
      </c>
      <c r="O1701" t="str">
        <f>TEXT(Table1[[#This Row],[SaleDate]],"MMM")</f>
        <v>Jul</v>
      </c>
    </row>
    <row r="1702" spans="1:15">
      <c r="A1702" s="1">
        <v>45124</v>
      </c>
      <c r="B1702" t="s">
        <v>23</v>
      </c>
      <c r="C1702" t="s">
        <v>19</v>
      </c>
      <c r="D1702">
        <v>1</v>
      </c>
      <c r="E1702" t="s">
        <v>7</v>
      </c>
      <c r="F1702">
        <v>33000</v>
      </c>
      <c r="G1702">
        <v>18000</v>
      </c>
      <c r="H1702">
        <f>Table1[[#This Row],[Qty]]*Table1[[#This Row],[SellingPrice]]</f>
        <v>33000</v>
      </c>
      <c r="I1702">
        <f>Table1[[#This Row],[Qty]]*Table1[[#This Row],[CostPrice]]</f>
        <v>18000</v>
      </c>
      <c r="J1702">
        <v>14895</v>
      </c>
      <c r="K1702">
        <v>104.99999999999999</v>
      </c>
      <c r="L1702" t="s">
        <v>8</v>
      </c>
      <c r="M1702" t="s">
        <v>29</v>
      </c>
      <c r="N1702">
        <f>MONTH(Table1[[#This Row],[SaleDate]])</f>
        <v>7</v>
      </c>
      <c r="O1702" t="str">
        <f>TEXT(Table1[[#This Row],[SaleDate]],"MMM")</f>
        <v>Jul</v>
      </c>
    </row>
    <row r="1703" spans="1:15">
      <c r="A1703" s="1">
        <v>45124</v>
      </c>
      <c r="B1703" t="s">
        <v>23</v>
      </c>
      <c r="C1703" t="s">
        <v>19</v>
      </c>
      <c r="D1703">
        <v>1</v>
      </c>
      <c r="E1703" t="s">
        <v>9</v>
      </c>
      <c r="F1703">
        <v>60000</v>
      </c>
      <c r="G1703">
        <v>31000</v>
      </c>
      <c r="H1703">
        <f>Table1[[#This Row],[Qty]]*Table1[[#This Row],[SellingPrice]]</f>
        <v>60000</v>
      </c>
      <c r="I1703">
        <f>Table1[[#This Row],[Qty]]*Table1[[#This Row],[CostPrice]]</f>
        <v>31000</v>
      </c>
      <c r="J1703">
        <v>28797</v>
      </c>
      <c r="K1703">
        <v>202.99999999999997</v>
      </c>
      <c r="L1703" t="s">
        <v>8</v>
      </c>
      <c r="M1703" t="s">
        <v>29</v>
      </c>
      <c r="N1703">
        <f>MONTH(Table1[[#This Row],[SaleDate]])</f>
        <v>7</v>
      </c>
      <c r="O1703" t="str">
        <f>TEXT(Table1[[#This Row],[SaleDate]],"MMM")</f>
        <v>Jul</v>
      </c>
    </row>
    <row r="1704" spans="1:15">
      <c r="A1704" s="1">
        <v>45124</v>
      </c>
      <c r="B1704" t="s">
        <v>23</v>
      </c>
      <c r="C1704" t="s">
        <v>19</v>
      </c>
      <c r="D1704">
        <v>1</v>
      </c>
      <c r="E1704" t="s">
        <v>10</v>
      </c>
      <c r="F1704">
        <v>89000</v>
      </c>
      <c r="G1704">
        <v>65000</v>
      </c>
      <c r="H1704">
        <f>Table1[[#This Row],[Qty]]*Table1[[#This Row],[SellingPrice]]</f>
        <v>89000</v>
      </c>
      <c r="I1704">
        <f>Table1[[#This Row],[Qty]]*Table1[[#This Row],[CostPrice]]</f>
        <v>65000</v>
      </c>
      <c r="J1704">
        <v>23832</v>
      </c>
      <c r="K1704">
        <v>167.99999999999997</v>
      </c>
      <c r="L1704" t="s">
        <v>8</v>
      </c>
      <c r="M1704" t="s">
        <v>30</v>
      </c>
      <c r="N1704">
        <f>MONTH(Table1[[#This Row],[SaleDate]])</f>
        <v>7</v>
      </c>
      <c r="O1704" t="str">
        <f>TEXT(Table1[[#This Row],[SaleDate]],"MMM")</f>
        <v>Jul</v>
      </c>
    </row>
    <row r="1705" spans="1:15">
      <c r="A1705" s="1">
        <v>45124</v>
      </c>
      <c r="B1705" t="s">
        <v>24</v>
      </c>
      <c r="C1705" t="s">
        <v>22</v>
      </c>
      <c r="D1705">
        <v>1</v>
      </c>
      <c r="E1705" t="s">
        <v>7</v>
      </c>
      <c r="F1705">
        <v>33000</v>
      </c>
      <c r="G1705">
        <v>18000</v>
      </c>
      <c r="H1705">
        <f>Table1[[#This Row],[Qty]]*Table1[[#This Row],[SellingPrice]]</f>
        <v>33000</v>
      </c>
      <c r="I1705">
        <f>Table1[[#This Row],[Qty]]*Table1[[#This Row],[CostPrice]]</f>
        <v>18000</v>
      </c>
      <c r="J1705">
        <v>14895</v>
      </c>
      <c r="K1705">
        <v>104.99999999999999</v>
      </c>
      <c r="L1705" t="s">
        <v>12</v>
      </c>
      <c r="M1705" t="s">
        <v>27</v>
      </c>
      <c r="N1705">
        <f>MONTH(Table1[[#This Row],[SaleDate]])</f>
        <v>7</v>
      </c>
      <c r="O1705" t="str">
        <f>TEXT(Table1[[#This Row],[SaleDate]],"MMM")</f>
        <v>Jul</v>
      </c>
    </row>
    <row r="1706" spans="1:15">
      <c r="A1706" s="1">
        <v>45124</v>
      </c>
      <c r="B1706" t="s">
        <v>24</v>
      </c>
      <c r="C1706" t="s">
        <v>22</v>
      </c>
      <c r="D1706">
        <v>1</v>
      </c>
      <c r="E1706" t="s">
        <v>9</v>
      </c>
      <c r="F1706">
        <v>60000</v>
      </c>
      <c r="G1706">
        <v>31000</v>
      </c>
      <c r="H1706">
        <f>Table1[[#This Row],[Qty]]*Table1[[#This Row],[SellingPrice]]</f>
        <v>60000</v>
      </c>
      <c r="I1706">
        <f>Table1[[#This Row],[Qty]]*Table1[[#This Row],[CostPrice]]</f>
        <v>31000</v>
      </c>
      <c r="J1706">
        <v>28797</v>
      </c>
      <c r="K1706">
        <v>202.99999999999997</v>
      </c>
      <c r="L1706" t="s">
        <v>12</v>
      </c>
      <c r="M1706" t="s">
        <v>29</v>
      </c>
      <c r="N1706">
        <f>MONTH(Table1[[#This Row],[SaleDate]])</f>
        <v>7</v>
      </c>
      <c r="O1706" t="str">
        <f>TEXT(Table1[[#This Row],[SaleDate]],"MMM")</f>
        <v>Jul</v>
      </c>
    </row>
    <row r="1707" spans="1:15">
      <c r="A1707" s="1">
        <v>45124</v>
      </c>
      <c r="B1707" t="s">
        <v>24</v>
      </c>
      <c r="C1707" t="s">
        <v>22</v>
      </c>
      <c r="D1707">
        <v>1</v>
      </c>
      <c r="E1707" t="s">
        <v>10</v>
      </c>
      <c r="F1707">
        <v>89000</v>
      </c>
      <c r="G1707">
        <v>65000</v>
      </c>
      <c r="H1707">
        <f>Table1[[#This Row],[Qty]]*Table1[[#This Row],[SellingPrice]]</f>
        <v>89000</v>
      </c>
      <c r="I1707">
        <f>Table1[[#This Row],[Qty]]*Table1[[#This Row],[CostPrice]]</f>
        <v>65000</v>
      </c>
      <c r="J1707">
        <v>23832</v>
      </c>
      <c r="K1707">
        <v>167.99999999999997</v>
      </c>
      <c r="L1707" t="s">
        <v>12</v>
      </c>
      <c r="M1707" t="s">
        <v>28</v>
      </c>
      <c r="N1707">
        <f>MONTH(Table1[[#This Row],[SaleDate]])</f>
        <v>7</v>
      </c>
      <c r="O1707" t="str">
        <f>TEXT(Table1[[#This Row],[SaleDate]],"MMM")</f>
        <v>Jul</v>
      </c>
    </row>
    <row r="1708" spans="1:15">
      <c r="A1708" s="1">
        <v>45124</v>
      </c>
      <c r="B1708" t="s">
        <v>25</v>
      </c>
      <c r="C1708" t="s">
        <v>21</v>
      </c>
      <c r="D1708">
        <v>1</v>
      </c>
      <c r="E1708" t="s">
        <v>7</v>
      </c>
      <c r="F1708">
        <v>33000</v>
      </c>
      <c r="G1708">
        <v>18000</v>
      </c>
      <c r="H1708">
        <f>Table1[[#This Row],[Qty]]*Table1[[#This Row],[SellingPrice]]</f>
        <v>33000</v>
      </c>
      <c r="I1708">
        <f>Table1[[#This Row],[Qty]]*Table1[[#This Row],[CostPrice]]</f>
        <v>18000</v>
      </c>
      <c r="J1708">
        <v>14895</v>
      </c>
      <c r="K1708">
        <v>104.99999999999999</v>
      </c>
      <c r="L1708" t="s">
        <v>13</v>
      </c>
      <c r="M1708" t="s">
        <v>30</v>
      </c>
      <c r="N1708">
        <f>MONTH(Table1[[#This Row],[SaleDate]])</f>
        <v>7</v>
      </c>
      <c r="O1708" t="str">
        <f>TEXT(Table1[[#This Row],[SaleDate]],"MMM")</f>
        <v>Jul</v>
      </c>
    </row>
    <row r="1709" spans="1:15">
      <c r="A1709" s="1">
        <v>45124</v>
      </c>
      <c r="B1709" t="s">
        <v>25</v>
      </c>
      <c r="C1709" t="s">
        <v>21</v>
      </c>
      <c r="D1709">
        <v>1</v>
      </c>
      <c r="E1709" t="s">
        <v>9</v>
      </c>
      <c r="F1709">
        <v>60000</v>
      </c>
      <c r="G1709">
        <v>31000</v>
      </c>
      <c r="H1709">
        <f>Table1[[#This Row],[Qty]]*Table1[[#This Row],[SellingPrice]]</f>
        <v>60000</v>
      </c>
      <c r="I1709">
        <f>Table1[[#This Row],[Qty]]*Table1[[#This Row],[CostPrice]]</f>
        <v>31000</v>
      </c>
      <c r="J1709">
        <v>28797</v>
      </c>
      <c r="K1709">
        <v>202.99999999999997</v>
      </c>
      <c r="L1709" t="s">
        <v>13</v>
      </c>
      <c r="M1709" t="s">
        <v>29</v>
      </c>
      <c r="N1709">
        <f>MONTH(Table1[[#This Row],[SaleDate]])</f>
        <v>7</v>
      </c>
      <c r="O1709" t="str">
        <f>TEXT(Table1[[#This Row],[SaleDate]],"MMM")</f>
        <v>Jul</v>
      </c>
    </row>
    <row r="1710" spans="1:15">
      <c r="A1710" s="1">
        <v>45124</v>
      </c>
      <c r="B1710" t="s">
        <v>25</v>
      </c>
      <c r="C1710" t="s">
        <v>21</v>
      </c>
      <c r="D1710">
        <v>1</v>
      </c>
      <c r="E1710" t="s">
        <v>10</v>
      </c>
      <c r="F1710">
        <v>89000</v>
      </c>
      <c r="G1710">
        <v>65000</v>
      </c>
      <c r="H1710">
        <f>Table1[[#This Row],[Qty]]*Table1[[#This Row],[SellingPrice]]</f>
        <v>89000</v>
      </c>
      <c r="I1710">
        <f>Table1[[#This Row],[Qty]]*Table1[[#This Row],[CostPrice]]</f>
        <v>65000</v>
      </c>
      <c r="J1710">
        <v>23832</v>
      </c>
      <c r="K1710">
        <v>167.99999999999997</v>
      </c>
      <c r="L1710" t="s">
        <v>13</v>
      </c>
      <c r="M1710" t="s">
        <v>30</v>
      </c>
      <c r="N1710">
        <f>MONTH(Table1[[#This Row],[SaleDate]])</f>
        <v>7</v>
      </c>
      <c r="O1710" t="str">
        <f>TEXT(Table1[[#This Row],[SaleDate]],"MMM")</f>
        <v>Jul</v>
      </c>
    </row>
    <row r="1711" spans="1:15">
      <c r="A1711" s="1">
        <v>45125</v>
      </c>
      <c r="B1711" t="s">
        <v>23</v>
      </c>
      <c r="C1711" t="s">
        <v>19</v>
      </c>
      <c r="D1711">
        <v>1</v>
      </c>
      <c r="E1711" t="s">
        <v>7</v>
      </c>
      <c r="F1711">
        <v>33000</v>
      </c>
      <c r="G1711">
        <v>18000</v>
      </c>
      <c r="H1711">
        <f>Table1[[#This Row],[Qty]]*Table1[[#This Row],[SellingPrice]]</f>
        <v>33000</v>
      </c>
      <c r="I1711">
        <f>Table1[[#This Row],[Qty]]*Table1[[#This Row],[CostPrice]]</f>
        <v>18000</v>
      </c>
      <c r="J1711">
        <v>14895</v>
      </c>
      <c r="K1711">
        <v>104.99999999999999</v>
      </c>
      <c r="L1711" t="s">
        <v>8</v>
      </c>
      <c r="M1711" t="s">
        <v>29</v>
      </c>
      <c r="N1711">
        <f>MONTH(Table1[[#This Row],[SaleDate]])</f>
        <v>7</v>
      </c>
      <c r="O1711" t="str">
        <f>TEXT(Table1[[#This Row],[SaleDate]],"MMM")</f>
        <v>Jul</v>
      </c>
    </row>
    <row r="1712" spans="1:15">
      <c r="A1712" s="1">
        <v>45125</v>
      </c>
      <c r="B1712" t="s">
        <v>23</v>
      </c>
      <c r="C1712" t="s">
        <v>19</v>
      </c>
      <c r="D1712">
        <v>1</v>
      </c>
      <c r="E1712" t="s">
        <v>9</v>
      </c>
      <c r="F1712">
        <v>60000</v>
      </c>
      <c r="G1712">
        <v>31000</v>
      </c>
      <c r="H1712">
        <f>Table1[[#This Row],[Qty]]*Table1[[#This Row],[SellingPrice]]</f>
        <v>60000</v>
      </c>
      <c r="I1712">
        <f>Table1[[#This Row],[Qty]]*Table1[[#This Row],[CostPrice]]</f>
        <v>31000</v>
      </c>
      <c r="J1712">
        <v>28797</v>
      </c>
      <c r="K1712">
        <v>202.99999999999997</v>
      </c>
      <c r="L1712" t="s">
        <v>8</v>
      </c>
      <c r="M1712" t="s">
        <v>30</v>
      </c>
      <c r="N1712">
        <f>MONTH(Table1[[#This Row],[SaleDate]])</f>
        <v>7</v>
      </c>
      <c r="O1712" t="str">
        <f>TEXT(Table1[[#This Row],[SaleDate]],"MMM")</f>
        <v>Jul</v>
      </c>
    </row>
    <row r="1713" spans="1:15">
      <c r="A1713" s="1">
        <v>45125</v>
      </c>
      <c r="B1713" t="s">
        <v>23</v>
      </c>
      <c r="C1713" t="s">
        <v>19</v>
      </c>
      <c r="D1713">
        <v>1</v>
      </c>
      <c r="E1713" t="s">
        <v>10</v>
      </c>
      <c r="F1713">
        <v>89000</v>
      </c>
      <c r="G1713">
        <v>65000</v>
      </c>
      <c r="H1713">
        <f>Table1[[#This Row],[Qty]]*Table1[[#This Row],[SellingPrice]]</f>
        <v>89000</v>
      </c>
      <c r="I1713">
        <f>Table1[[#This Row],[Qty]]*Table1[[#This Row],[CostPrice]]</f>
        <v>65000</v>
      </c>
      <c r="J1713">
        <v>23832</v>
      </c>
      <c r="K1713">
        <v>167.99999999999997</v>
      </c>
      <c r="L1713" t="s">
        <v>8</v>
      </c>
      <c r="M1713" t="s">
        <v>30</v>
      </c>
      <c r="N1713">
        <f>MONTH(Table1[[#This Row],[SaleDate]])</f>
        <v>7</v>
      </c>
      <c r="O1713" t="str">
        <f>TEXT(Table1[[#This Row],[SaleDate]],"MMM")</f>
        <v>Jul</v>
      </c>
    </row>
    <row r="1714" spans="1:15">
      <c r="A1714" s="1">
        <v>45125</v>
      </c>
      <c r="B1714" t="s">
        <v>24</v>
      </c>
      <c r="C1714" t="s">
        <v>22</v>
      </c>
      <c r="D1714">
        <v>1</v>
      </c>
      <c r="E1714" t="s">
        <v>7</v>
      </c>
      <c r="F1714">
        <v>33000</v>
      </c>
      <c r="G1714">
        <v>18000</v>
      </c>
      <c r="H1714">
        <f>Table1[[#This Row],[Qty]]*Table1[[#This Row],[SellingPrice]]</f>
        <v>33000</v>
      </c>
      <c r="I1714">
        <f>Table1[[#This Row],[Qty]]*Table1[[#This Row],[CostPrice]]</f>
        <v>18000</v>
      </c>
      <c r="J1714">
        <v>14895</v>
      </c>
      <c r="K1714">
        <v>104.99999999999999</v>
      </c>
      <c r="L1714" t="s">
        <v>12</v>
      </c>
      <c r="M1714" t="s">
        <v>28</v>
      </c>
      <c r="N1714">
        <f>MONTH(Table1[[#This Row],[SaleDate]])</f>
        <v>7</v>
      </c>
      <c r="O1714" t="str">
        <f>TEXT(Table1[[#This Row],[SaleDate]],"MMM")</f>
        <v>Jul</v>
      </c>
    </row>
    <row r="1715" spans="1:15">
      <c r="A1715" s="1">
        <v>45125</v>
      </c>
      <c r="B1715" t="s">
        <v>24</v>
      </c>
      <c r="C1715" t="s">
        <v>22</v>
      </c>
      <c r="D1715">
        <v>1</v>
      </c>
      <c r="E1715" t="s">
        <v>9</v>
      </c>
      <c r="F1715">
        <v>60000</v>
      </c>
      <c r="G1715">
        <v>31000</v>
      </c>
      <c r="H1715">
        <f>Table1[[#This Row],[Qty]]*Table1[[#This Row],[SellingPrice]]</f>
        <v>60000</v>
      </c>
      <c r="I1715">
        <f>Table1[[#This Row],[Qty]]*Table1[[#This Row],[CostPrice]]</f>
        <v>31000</v>
      </c>
      <c r="J1715">
        <v>28797</v>
      </c>
      <c r="K1715">
        <v>202.99999999999997</v>
      </c>
      <c r="L1715" t="s">
        <v>12</v>
      </c>
      <c r="M1715" t="s">
        <v>30</v>
      </c>
      <c r="N1715">
        <f>MONTH(Table1[[#This Row],[SaleDate]])</f>
        <v>7</v>
      </c>
      <c r="O1715" t="str">
        <f>TEXT(Table1[[#This Row],[SaleDate]],"MMM")</f>
        <v>Jul</v>
      </c>
    </row>
    <row r="1716" spans="1:15">
      <c r="A1716" s="1">
        <v>45125</v>
      </c>
      <c r="B1716" t="s">
        <v>24</v>
      </c>
      <c r="C1716" t="s">
        <v>22</v>
      </c>
      <c r="D1716">
        <v>1</v>
      </c>
      <c r="E1716" t="s">
        <v>10</v>
      </c>
      <c r="F1716">
        <v>89000</v>
      </c>
      <c r="G1716">
        <v>65000</v>
      </c>
      <c r="H1716">
        <f>Table1[[#This Row],[Qty]]*Table1[[#This Row],[SellingPrice]]</f>
        <v>89000</v>
      </c>
      <c r="I1716">
        <f>Table1[[#This Row],[Qty]]*Table1[[#This Row],[CostPrice]]</f>
        <v>65000</v>
      </c>
      <c r="J1716">
        <v>23832</v>
      </c>
      <c r="K1716">
        <v>167.99999999999997</v>
      </c>
      <c r="L1716" t="s">
        <v>12</v>
      </c>
      <c r="M1716" t="s">
        <v>27</v>
      </c>
      <c r="N1716">
        <f>MONTH(Table1[[#This Row],[SaleDate]])</f>
        <v>7</v>
      </c>
      <c r="O1716" t="str">
        <f>TEXT(Table1[[#This Row],[SaleDate]],"MMM")</f>
        <v>Jul</v>
      </c>
    </row>
    <row r="1717" spans="1:15">
      <c r="A1717" s="1">
        <v>45125</v>
      </c>
      <c r="B1717" t="s">
        <v>25</v>
      </c>
      <c r="C1717" t="s">
        <v>21</v>
      </c>
      <c r="D1717">
        <v>1</v>
      </c>
      <c r="E1717" t="s">
        <v>7</v>
      </c>
      <c r="F1717">
        <v>33000</v>
      </c>
      <c r="G1717">
        <v>18000</v>
      </c>
      <c r="H1717">
        <f>Table1[[#This Row],[Qty]]*Table1[[#This Row],[SellingPrice]]</f>
        <v>33000</v>
      </c>
      <c r="I1717">
        <f>Table1[[#This Row],[Qty]]*Table1[[#This Row],[CostPrice]]</f>
        <v>18000</v>
      </c>
      <c r="J1717">
        <v>14895</v>
      </c>
      <c r="K1717">
        <v>104.99999999999999</v>
      </c>
      <c r="L1717" t="s">
        <v>13</v>
      </c>
      <c r="M1717" t="s">
        <v>27</v>
      </c>
      <c r="N1717">
        <f>MONTH(Table1[[#This Row],[SaleDate]])</f>
        <v>7</v>
      </c>
      <c r="O1717" t="str">
        <f>TEXT(Table1[[#This Row],[SaleDate]],"MMM")</f>
        <v>Jul</v>
      </c>
    </row>
    <row r="1718" spans="1:15">
      <c r="A1718" s="1">
        <v>45125</v>
      </c>
      <c r="B1718" t="s">
        <v>25</v>
      </c>
      <c r="C1718" t="s">
        <v>21</v>
      </c>
      <c r="D1718">
        <v>1</v>
      </c>
      <c r="E1718" t="s">
        <v>9</v>
      </c>
      <c r="F1718">
        <v>60000</v>
      </c>
      <c r="G1718">
        <v>31000</v>
      </c>
      <c r="H1718">
        <f>Table1[[#This Row],[Qty]]*Table1[[#This Row],[SellingPrice]]</f>
        <v>60000</v>
      </c>
      <c r="I1718">
        <f>Table1[[#This Row],[Qty]]*Table1[[#This Row],[CostPrice]]</f>
        <v>31000</v>
      </c>
      <c r="J1718">
        <v>28797</v>
      </c>
      <c r="K1718">
        <v>202.99999999999997</v>
      </c>
      <c r="L1718" t="s">
        <v>13</v>
      </c>
      <c r="M1718" t="s">
        <v>29</v>
      </c>
      <c r="N1718">
        <f>MONTH(Table1[[#This Row],[SaleDate]])</f>
        <v>7</v>
      </c>
      <c r="O1718" t="str">
        <f>TEXT(Table1[[#This Row],[SaleDate]],"MMM")</f>
        <v>Jul</v>
      </c>
    </row>
    <row r="1719" spans="1:15">
      <c r="A1719" s="1">
        <v>45125</v>
      </c>
      <c r="B1719" t="s">
        <v>25</v>
      </c>
      <c r="C1719" t="s">
        <v>21</v>
      </c>
      <c r="D1719">
        <v>1</v>
      </c>
      <c r="E1719" t="s">
        <v>10</v>
      </c>
      <c r="F1719">
        <v>89000</v>
      </c>
      <c r="G1719">
        <v>65000</v>
      </c>
      <c r="H1719">
        <f>Table1[[#This Row],[Qty]]*Table1[[#This Row],[SellingPrice]]</f>
        <v>89000</v>
      </c>
      <c r="I1719">
        <f>Table1[[#This Row],[Qty]]*Table1[[#This Row],[CostPrice]]</f>
        <v>65000</v>
      </c>
      <c r="J1719">
        <v>23832</v>
      </c>
      <c r="K1719">
        <v>167.99999999999997</v>
      </c>
      <c r="L1719" t="s">
        <v>13</v>
      </c>
      <c r="M1719" t="s">
        <v>30</v>
      </c>
      <c r="N1719">
        <f>MONTH(Table1[[#This Row],[SaleDate]])</f>
        <v>7</v>
      </c>
      <c r="O1719" t="str">
        <f>TEXT(Table1[[#This Row],[SaleDate]],"MMM")</f>
        <v>Jul</v>
      </c>
    </row>
    <row r="1720" spans="1:15">
      <c r="A1720" s="1">
        <v>45126</v>
      </c>
      <c r="B1720" t="s">
        <v>23</v>
      </c>
      <c r="C1720" t="s">
        <v>19</v>
      </c>
      <c r="D1720">
        <v>1</v>
      </c>
      <c r="E1720" t="s">
        <v>7</v>
      </c>
      <c r="F1720">
        <v>33000</v>
      </c>
      <c r="G1720">
        <v>18000</v>
      </c>
      <c r="H1720">
        <f>Table1[[#This Row],[Qty]]*Table1[[#This Row],[SellingPrice]]</f>
        <v>33000</v>
      </c>
      <c r="I1720">
        <f>Table1[[#This Row],[Qty]]*Table1[[#This Row],[CostPrice]]</f>
        <v>18000</v>
      </c>
      <c r="J1720">
        <v>14895</v>
      </c>
      <c r="K1720">
        <v>104.99999999999999</v>
      </c>
      <c r="L1720" t="s">
        <v>8</v>
      </c>
      <c r="M1720" t="s">
        <v>29</v>
      </c>
      <c r="N1720">
        <f>MONTH(Table1[[#This Row],[SaleDate]])</f>
        <v>7</v>
      </c>
      <c r="O1720" t="str">
        <f>TEXT(Table1[[#This Row],[SaleDate]],"MMM")</f>
        <v>Jul</v>
      </c>
    </row>
    <row r="1721" spans="1:15">
      <c r="A1721" s="1">
        <v>45126</v>
      </c>
      <c r="B1721" t="s">
        <v>23</v>
      </c>
      <c r="C1721" t="s">
        <v>19</v>
      </c>
      <c r="D1721">
        <v>1</v>
      </c>
      <c r="E1721" t="s">
        <v>9</v>
      </c>
      <c r="F1721">
        <v>60000</v>
      </c>
      <c r="G1721">
        <v>31000</v>
      </c>
      <c r="H1721">
        <f>Table1[[#This Row],[Qty]]*Table1[[#This Row],[SellingPrice]]</f>
        <v>60000</v>
      </c>
      <c r="I1721">
        <f>Table1[[#This Row],[Qty]]*Table1[[#This Row],[CostPrice]]</f>
        <v>31000</v>
      </c>
      <c r="J1721">
        <v>28797</v>
      </c>
      <c r="K1721">
        <v>202.99999999999997</v>
      </c>
      <c r="L1721" t="s">
        <v>8</v>
      </c>
      <c r="M1721" t="s">
        <v>30</v>
      </c>
      <c r="N1721">
        <f>MONTH(Table1[[#This Row],[SaleDate]])</f>
        <v>7</v>
      </c>
      <c r="O1721" t="str">
        <f>TEXT(Table1[[#This Row],[SaleDate]],"MMM")</f>
        <v>Jul</v>
      </c>
    </row>
    <row r="1722" spans="1:15">
      <c r="A1722" s="1">
        <v>45126</v>
      </c>
      <c r="B1722" t="s">
        <v>23</v>
      </c>
      <c r="C1722" t="s">
        <v>19</v>
      </c>
      <c r="D1722">
        <v>1</v>
      </c>
      <c r="E1722" t="s">
        <v>10</v>
      </c>
      <c r="F1722">
        <v>89000</v>
      </c>
      <c r="G1722">
        <v>65000</v>
      </c>
      <c r="H1722">
        <f>Table1[[#This Row],[Qty]]*Table1[[#This Row],[SellingPrice]]</f>
        <v>89000</v>
      </c>
      <c r="I1722">
        <f>Table1[[#This Row],[Qty]]*Table1[[#This Row],[CostPrice]]</f>
        <v>65000</v>
      </c>
      <c r="J1722">
        <v>23832</v>
      </c>
      <c r="K1722">
        <v>167.99999999999997</v>
      </c>
      <c r="L1722" t="s">
        <v>8</v>
      </c>
      <c r="M1722" t="s">
        <v>29</v>
      </c>
      <c r="N1722">
        <f>MONTH(Table1[[#This Row],[SaleDate]])</f>
        <v>7</v>
      </c>
      <c r="O1722" t="str">
        <f>TEXT(Table1[[#This Row],[SaleDate]],"MMM")</f>
        <v>Jul</v>
      </c>
    </row>
    <row r="1723" spans="1:15">
      <c r="A1723" s="1">
        <v>45126</v>
      </c>
      <c r="B1723" t="s">
        <v>24</v>
      </c>
      <c r="C1723" t="s">
        <v>22</v>
      </c>
      <c r="D1723">
        <v>1</v>
      </c>
      <c r="E1723" t="s">
        <v>7</v>
      </c>
      <c r="F1723">
        <v>33000</v>
      </c>
      <c r="G1723">
        <v>18000</v>
      </c>
      <c r="H1723">
        <f>Table1[[#This Row],[Qty]]*Table1[[#This Row],[SellingPrice]]</f>
        <v>33000</v>
      </c>
      <c r="I1723">
        <f>Table1[[#This Row],[Qty]]*Table1[[#This Row],[CostPrice]]</f>
        <v>18000</v>
      </c>
      <c r="J1723">
        <v>14895</v>
      </c>
      <c r="K1723">
        <v>104.99999999999999</v>
      </c>
      <c r="L1723" t="s">
        <v>12</v>
      </c>
      <c r="M1723" t="s">
        <v>29</v>
      </c>
      <c r="N1723">
        <f>MONTH(Table1[[#This Row],[SaleDate]])</f>
        <v>7</v>
      </c>
      <c r="O1723" t="str">
        <f>TEXT(Table1[[#This Row],[SaleDate]],"MMM")</f>
        <v>Jul</v>
      </c>
    </row>
    <row r="1724" spans="1:15">
      <c r="A1724" s="1">
        <v>45126</v>
      </c>
      <c r="B1724" t="s">
        <v>24</v>
      </c>
      <c r="C1724" t="s">
        <v>22</v>
      </c>
      <c r="D1724">
        <v>1</v>
      </c>
      <c r="E1724" t="s">
        <v>9</v>
      </c>
      <c r="F1724">
        <v>60000</v>
      </c>
      <c r="G1724">
        <v>31000</v>
      </c>
      <c r="H1724">
        <f>Table1[[#This Row],[Qty]]*Table1[[#This Row],[SellingPrice]]</f>
        <v>60000</v>
      </c>
      <c r="I1724">
        <f>Table1[[#This Row],[Qty]]*Table1[[#This Row],[CostPrice]]</f>
        <v>31000</v>
      </c>
      <c r="J1724">
        <v>28797</v>
      </c>
      <c r="K1724">
        <v>202.99999999999997</v>
      </c>
      <c r="L1724" t="s">
        <v>12</v>
      </c>
      <c r="M1724" t="s">
        <v>27</v>
      </c>
      <c r="N1724">
        <f>MONTH(Table1[[#This Row],[SaleDate]])</f>
        <v>7</v>
      </c>
      <c r="O1724" t="str">
        <f>TEXT(Table1[[#This Row],[SaleDate]],"MMM")</f>
        <v>Jul</v>
      </c>
    </row>
    <row r="1725" spans="1:15">
      <c r="A1725" s="1">
        <v>45126</v>
      </c>
      <c r="B1725" t="s">
        <v>24</v>
      </c>
      <c r="C1725" t="s">
        <v>22</v>
      </c>
      <c r="D1725">
        <v>1</v>
      </c>
      <c r="E1725" t="s">
        <v>10</v>
      </c>
      <c r="F1725">
        <v>89000</v>
      </c>
      <c r="G1725">
        <v>65000</v>
      </c>
      <c r="H1725">
        <f>Table1[[#This Row],[Qty]]*Table1[[#This Row],[SellingPrice]]</f>
        <v>89000</v>
      </c>
      <c r="I1725">
        <f>Table1[[#This Row],[Qty]]*Table1[[#This Row],[CostPrice]]</f>
        <v>65000</v>
      </c>
      <c r="J1725">
        <v>23832</v>
      </c>
      <c r="K1725">
        <v>167.99999999999997</v>
      </c>
      <c r="L1725" t="s">
        <v>12</v>
      </c>
      <c r="M1725" t="s">
        <v>28</v>
      </c>
      <c r="N1725">
        <f>MONTH(Table1[[#This Row],[SaleDate]])</f>
        <v>7</v>
      </c>
      <c r="O1725" t="str">
        <f>TEXT(Table1[[#This Row],[SaleDate]],"MMM")</f>
        <v>Jul</v>
      </c>
    </row>
    <row r="1726" spans="1:15">
      <c r="A1726" s="1">
        <v>45126</v>
      </c>
      <c r="B1726" t="s">
        <v>25</v>
      </c>
      <c r="C1726" t="s">
        <v>21</v>
      </c>
      <c r="D1726">
        <v>1</v>
      </c>
      <c r="E1726" t="s">
        <v>7</v>
      </c>
      <c r="F1726">
        <v>33000</v>
      </c>
      <c r="G1726">
        <v>18000</v>
      </c>
      <c r="H1726">
        <f>Table1[[#This Row],[Qty]]*Table1[[#This Row],[SellingPrice]]</f>
        <v>33000</v>
      </c>
      <c r="I1726">
        <f>Table1[[#This Row],[Qty]]*Table1[[#This Row],[CostPrice]]</f>
        <v>18000</v>
      </c>
      <c r="J1726">
        <v>14895</v>
      </c>
      <c r="K1726">
        <v>104.99999999999999</v>
      </c>
      <c r="L1726" t="s">
        <v>13</v>
      </c>
      <c r="M1726" t="s">
        <v>30</v>
      </c>
      <c r="N1726">
        <f>MONTH(Table1[[#This Row],[SaleDate]])</f>
        <v>7</v>
      </c>
      <c r="O1726" t="str">
        <f>TEXT(Table1[[#This Row],[SaleDate]],"MMM")</f>
        <v>Jul</v>
      </c>
    </row>
    <row r="1727" spans="1:15">
      <c r="A1727" s="1">
        <v>45126</v>
      </c>
      <c r="B1727" t="s">
        <v>25</v>
      </c>
      <c r="C1727" t="s">
        <v>21</v>
      </c>
      <c r="D1727">
        <v>1</v>
      </c>
      <c r="E1727" t="s">
        <v>9</v>
      </c>
      <c r="F1727">
        <v>60000</v>
      </c>
      <c r="G1727">
        <v>31000</v>
      </c>
      <c r="H1727">
        <f>Table1[[#This Row],[Qty]]*Table1[[#This Row],[SellingPrice]]</f>
        <v>60000</v>
      </c>
      <c r="I1727">
        <f>Table1[[#This Row],[Qty]]*Table1[[#This Row],[CostPrice]]</f>
        <v>31000</v>
      </c>
      <c r="J1727">
        <v>28797</v>
      </c>
      <c r="K1727">
        <v>202.99999999999997</v>
      </c>
      <c r="L1727" t="s">
        <v>13</v>
      </c>
      <c r="M1727" t="s">
        <v>27</v>
      </c>
      <c r="N1727">
        <f>MONTH(Table1[[#This Row],[SaleDate]])</f>
        <v>7</v>
      </c>
      <c r="O1727" t="str">
        <f>TEXT(Table1[[#This Row],[SaleDate]],"MMM")</f>
        <v>Jul</v>
      </c>
    </row>
    <row r="1728" spans="1:15">
      <c r="A1728" s="1">
        <v>45126</v>
      </c>
      <c r="B1728" t="s">
        <v>25</v>
      </c>
      <c r="C1728" t="s">
        <v>21</v>
      </c>
      <c r="D1728">
        <v>1</v>
      </c>
      <c r="E1728" t="s">
        <v>10</v>
      </c>
      <c r="F1728">
        <v>89000</v>
      </c>
      <c r="G1728">
        <v>65000</v>
      </c>
      <c r="H1728">
        <f>Table1[[#This Row],[Qty]]*Table1[[#This Row],[SellingPrice]]</f>
        <v>89000</v>
      </c>
      <c r="I1728">
        <f>Table1[[#This Row],[Qty]]*Table1[[#This Row],[CostPrice]]</f>
        <v>65000</v>
      </c>
      <c r="J1728">
        <v>23832</v>
      </c>
      <c r="K1728">
        <v>167.99999999999997</v>
      </c>
      <c r="L1728" t="s">
        <v>13</v>
      </c>
      <c r="M1728" t="s">
        <v>28</v>
      </c>
      <c r="N1728">
        <f>MONTH(Table1[[#This Row],[SaleDate]])</f>
        <v>7</v>
      </c>
      <c r="O1728" t="str">
        <f>TEXT(Table1[[#This Row],[SaleDate]],"MMM")</f>
        <v>Jul</v>
      </c>
    </row>
    <row r="1729" spans="1:15">
      <c r="A1729" s="1">
        <v>45127</v>
      </c>
      <c r="B1729" t="s">
        <v>23</v>
      </c>
      <c r="C1729" t="s">
        <v>19</v>
      </c>
      <c r="D1729">
        <v>1</v>
      </c>
      <c r="E1729" t="s">
        <v>7</v>
      </c>
      <c r="F1729">
        <v>33000</v>
      </c>
      <c r="G1729">
        <v>18000</v>
      </c>
      <c r="H1729">
        <f>Table1[[#This Row],[Qty]]*Table1[[#This Row],[SellingPrice]]</f>
        <v>33000</v>
      </c>
      <c r="I1729">
        <f>Table1[[#This Row],[Qty]]*Table1[[#This Row],[CostPrice]]</f>
        <v>18000</v>
      </c>
      <c r="J1729">
        <v>14895</v>
      </c>
      <c r="K1729">
        <v>104.99999999999999</v>
      </c>
      <c r="L1729" t="s">
        <v>8</v>
      </c>
      <c r="M1729" t="s">
        <v>27</v>
      </c>
      <c r="N1729">
        <f>MONTH(Table1[[#This Row],[SaleDate]])</f>
        <v>7</v>
      </c>
      <c r="O1729" t="str">
        <f>TEXT(Table1[[#This Row],[SaleDate]],"MMM")</f>
        <v>Jul</v>
      </c>
    </row>
    <row r="1730" spans="1:15">
      <c r="A1730" s="1">
        <v>45127</v>
      </c>
      <c r="B1730" t="s">
        <v>23</v>
      </c>
      <c r="C1730" t="s">
        <v>19</v>
      </c>
      <c r="D1730">
        <v>1</v>
      </c>
      <c r="E1730" t="s">
        <v>9</v>
      </c>
      <c r="F1730">
        <v>60000</v>
      </c>
      <c r="G1730">
        <v>31000</v>
      </c>
      <c r="H1730">
        <f>Table1[[#This Row],[Qty]]*Table1[[#This Row],[SellingPrice]]</f>
        <v>60000</v>
      </c>
      <c r="I1730">
        <f>Table1[[#This Row],[Qty]]*Table1[[#This Row],[CostPrice]]</f>
        <v>31000</v>
      </c>
      <c r="J1730">
        <v>28797</v>
      </c>
      <c r="K1730">
        <v>202.99999999999997</v>
      </c>
      <c r="L1730" t="s">
        <v>8</v>
      </c>
      <c r="M1730" t="s">
        <v>29</v>
      </c>
      <c r="N1730">
        <f>MONTH(Table1[[#This Row],[SaleDate]])</f>
        <v>7</v>
      </c>
      <c r="O1730" t="str">
        <f>TEXT(Table1[[#This Row],[SaleDate]],"MMM")</f>
        <v>Jul</v>
      </c>
    </row>
    <row r="1731" spans="1:15">
      <c r="A1731" s="1">
        <v>45127</v>
      </c>
      <c r="B1731" t="s">
        <v>23</v>
      </c>
      <c r="C1731" t="s">
        <v>19</v>
      </c>
      <c r="D1731">
        <v>1</v>
      </c>
      <c r="E1731" t="s">
        <v>10</v>
      </c>
      <c r="F1731">
        <v>89000</v>
      </c>
      <c r="G1731">
        <v>65000</v>
      </c>
      <c r="H1731">
        <f>Table1[[#This Row],[Qty]]*Table1[[#This Row],[SellingPrice]]</f>
        <v>89000</v>
      </c>
      <c r="I1731">
        <f>Table1[[#This Row],[Qty]]*Table1[[#This Row],[CostPrice]]</f>
        <v>65000</v>
      </c>
      <c r="J1731">
        <v>23832</v>
      </c>
      <c r="K1731">
        <v>167.99999999999997</v>
      </c>
      <c r="L1731" t="s">
        <v>8</v>
      </c>
      <c r="M1731" t="s">
        <v>27</v>
      </c>
      <c r="N1731">
        <f>MONTH(Table1[[#This Row],[SaleDate]])</f>
        <v>7</v>
      </c>
      <c r="O1731" t="str">
        <f>TEXT(Table1[[#This Row],[SaleDate]],"MMM")</f>
        <v>Jul</v>
      </c>
    </row>
    <row r="1732" spans="1:15">
      <c r="A1732" s="1">
        <v>45127</v>
      </c>
      <c r="B1732" t="s">
        <v>24</v>
      </c>
      <c r="C1732" t="s">
        <v>22</v>
      </c>
      <c r="D1732">
        <v>1</v>
      </c>
      <c r="E1732" t="s">
        <v>7</v>
      </c>
      <c r="F1732">
        <v>33000</v>
      </c>
      <c r="G1732">
        <v>18000</v>
      </c>
      <c r="H1732">
        <f>Table1[[#This Row],[Qty]]*Table1[[#This Row],[SellingPrice]]</f>
        <v>33000</v>
      </c>
      <c r="I1732">
        <f>Table1[[#This Row],[Qty]]*Table1[[#This Row],[CostPrice]]</f>
        <v>18000</v>
      </c>
      <c r="J1732">
        <v>14895</v>
      </c>
      <c r="K1732">
        <v>104.99999999999999</v>
      </c>
      <c r="L1732" t="s">
        <v>12</v>
      </c>
      <c r="M1732" t="s">
        <v>27</v>
      </c>
      <c r="N1732">
        <f>MONTH(Table1[[#This Row],[SaleDate]])</f>
        <v>7</v>
      </c>
      <c r="O1732" t="str">
        <f>TEXT(Table1[[#This Row],[SaleDate]],"MMM")</f>
        <v>Jul</v>
      </c>
    </row>
    <row r="1733" spans="1:15">
      <c r="A1733" s="1">
        <v>45127</v>
      </c>
      <c r="B1733" t="s">
        <v>24</v>
      </c>
      <c r="C1733" t="s">
        <v>22</v>
      </c>
      <c r="D1733">
        <v>1</v>
      </c>
      <c r="E1733" t="s">
        <v>9</v>
      </c>
      <c r="F1733">
        <v>60000</v>
      </c>
      <c r="G1733">
        <v>31000</v>
      </c>
      <c r="H1733">
        <f>Table1[[#This Row],[Qty]]*Table1[[#This Row],[SellingPrice]]</f>
        <v>60000</v>
      </c>
      <c r="I1733">
        <f>Table1[[#This Row],[Qty]]*Table1[[#This Row],[CostPrice]]</f>
        <v>31000</v>
      </c>
      <c r="J1733">
        <v>28797</v>
      </c>
      <c r="K1733">
        <v>202.99999999999997</v>
      </c>
      <c r="L1733" t="s">
        <v>12</v>
      </c>
      <c r="M1733" t="s">
        <v>29</v>
      </c>
      <c r="N1733">
        <f>MONTH(Table1[[#This Row],[SaleDate]])</f>
        <v>7</v>
      </c>
      <c r="O1733" t="str">
        <f>TEXT(Table1[[#This Row],[SaleDate]],"MMM")</f>
        <v>Jul</v>
      </c>
    </row>
    <row r="1734" spans="1:15">
      <c r="A1734" s="1">
        <v>45127</v>
      </c>
      <c r="B1734" t="s">
        <v>24</v>
      </c>
      <c r="C1734" t="s">
        <v>22</v>
      </c>
      <c r="D1734">
        <v>1</v>
      </c>
      <c r="E1734" t="s">
        <v>10</v>
      </c>
      <c r="F1734">
        <v>89000</v>
      </c>
      <c r="G1734">
        <v>65000</v>
      </c>
      <c r="H1734">
        <f>Table1[[#This Row],[Qty]]*Table1[[#This Row],[SellingPrice]]</f>
        <v>89000</v>
      </c>
      <c r="I1734">
        <f>Table1[[#This Row],[Qty]]*Table1[[#This Row],[CostPrice]]</f>
        <v>65000</v>
      </c>
      <c r="J1734">
        <v>23832</v>
      </c>
      <c r="K1734">
        <v>167.99999999999997</v>
      </c>
      <c r="L1734" t="s">
        <v>12</v>
      </c>
      <c r="M1734" t="s">
        <v>29</v>
      </c>
      <c r="N1734">
        <f>MONTH(Table1[[#This Row],[SaleDate]])</f>
        <v>7</v>
      </c>
      <c r="O1734" t="str">
        <f>TEXT(Table1[[#This Row],[SaleDate]],"MMM")</f>
        <v>Jul</v>
      </c>
    </row>
    <row r="1735" spans="1:15">
      <c r="A1735" s="1">
        <v>45127</v>
      </c>
      <c r="B1735" t="s">
        <v>25</v>
      </c>
      <c r="C1735" t="s">
        <v>21</v>
      </c>
      <c r="D1735">
        <v>1</v>
      </c>
      <c r="E1735" t="s">
        <v>7</v>
      </c>
      <c r="F1735">
        <v>33000</v>
      </c>
      <c r="G1735">
        <v>18000</v>
      </c>
      <c r="H1735">
        <f>Table1[[#This Row],[Qty]]*Table1[[#This Row],[SellingPrice]]</f>
        <v>33000</v>
      </c>
      <c r="I1735">
        <f>Table1[[#This Row],[Qty]]*Table1[[#This Row],[CostPrice]]</f>
        <v>18000</v>
      </c>
      <c r="J1735">
        <v>14895</v>
      </c>
      <c r="K1735">
        <v>104.99999999999999</v>
      </c>
      <c r="L1735" t="s">
        <v>13</v>
      </c>
      <c r="M1735" t="s">
        <v>29</v>
      </c>
      <c r="N1735">
        <f>MONTH(Table1[[#This Row],[SaleDate]])</f>
        <v>7</v>
      </c>
      <c r="O1735" t="str">
        <f>TEXT(Table1[[#This Row],[SaleDate]],"MMM")</f>
        <v>Jul</v>
      </c>
    </row>
    <row r="1736" spans="1:15">
      <c r="A1736" s="1">
        <v>45127</v>
      </c>
      <c r="B1736" t="s">
        <v>25</v>
      </c>
      <c r="C1736" t="s">
        <v>21</v>
      </c>
      <c r="D1736">
        <v>1</v>
      </c>
      <c r="E1736" t="s">
        <v>9</v>
      </c>
      <c r="F1736">
        <v>60000</v>
      </c>
      <c r="G1736">
        <v>31000</v>
      </c>
      <c r="H1736">
        <f>Table1[[#This Row],[Qty]]*Table1[[#This Row],[SellingPrice]]</f>
        <v>60000</v>
      </c>
      <c r="I1736">
        <f>Table1[[#This Row],[Qty]]*Table1[[#This Row],[CostPrice]]</f>
        <v>31000</v>
      </c>
      <c r="J1736">
        <v>28797</v>
      </c>
      <c r="K1736">
        <v>202.99999999999997</v>
      </c>
      <c r="L1736" t="s">
        <v>13</v>
      </c>
      <c r="M1736" t="s">
        <v>30</v>
      </c>
      <c r="N1736">
        <f>MONTH(Table1[[#This Row],[SaleDate]])</f>
        <v>7</v>
      </c>
      <c r="O1736" t="str">
        <f>TEXT(Table1[[#This Row],[SaleDate]],"MMM")</f>
        <v>Jul</v>
      </c>
    </row>
    <row r="1737" spans="1:15">
      <c r="A1737" s="1">
        <v>45127</v>
      </c>
      <c r="B1737" t="s">
        <v>25</v>
      </c>
      <c r="C1737" t="s">
        <v>21</v>
      </c>
      <c r="D1737">
        <v>1</v>
      </c>
      <c r="E1737" t="s">
        <v>10</v>
      </c>
      <c r="F1737">
        <v>89000</v>
      </c>
      <c r="G1737">
        <v>65000</v>
      </c>
      <c r="H1737">
        <f>Table1[[#This Row],[Qty]]*Table1[[#This Row],[SellingPrice]]</f>
        <v>89000</v>
      </c>
      <c r="I1737">
        <f>Table1[[#This Row],[Qty]]*Table1[[#This Row],[CostPrice]]</f>
        <v>65000</v>
      </c>
      <c r="J1737">
        <v>23832</v>
      </c>
      <c r="K1737">
        <v>167.99999999999997</v>
      </c>
      <c r="L1737" t="s">
        <v>13</v>
      </c>
      <c r="M1737" t="s">
        <v>30</v>
      </c>
      <c r="N1737">
        <f>MONTH(Table1[[#This Row],[SaleDate]])</f>
        <v>7</v>
      </c>
      <c r="O1737" t="str">
        <f>TEXT(Table1[[#This Row],[SaleDate]],"MMM")</f>
        <v>Jul</v>
      </c>
    </row>
    <row r="1738" spans="1:15">
      <c r="A1738" s="1">
        <v>45128</v>
      </c>
      <c r="B1738" t="s">
        <v>23</v>
      </c>
      <c r="C1738" t="s">
        <v>19</v>
      </c>
      <c r="D1738">
        <v>1</v>
      </c>
      <c r="E1738" t="s">
        <v>7</v>
      </c>
      <c r="F1738">
        <v>33000</v>
      </c>
      <c r="G1738">
        <v>18000</v>
      </c>
      <c r="H1738">
        <f>Table1[[#This Row],[Qty]]*Table1[[#This Row],[SellingPrice]]</f>
        <v>33000</v>
      </c>
      <c r="I1738">
        <f>Table1[[#This Row],[Qty]]*Table1[[#This Row],[CostPrice]]</f>
        <v>18000</v>
      </c>
      <c r="J1738">
        <v>14895</v>
      </c>
      <c r="K1738">
        <v>104.99999999999999</v>
      </c>
      <c r="L1738" t="s">
        <v>8</v>
      </c>
      <c r="M1738" t="s">
        <v>29</v>
      </c>
      <c r="N1738">
        <f>MONTH(Table1[[#This Row],[SaleDate]])</f>
        <v>7</v>
      </c>
      <c r="O1738" t="str">
        <f>TEXT(Table1[[#This Row],[SaleDate]],"MMM")</f>
        <v>Jul</v>
      </c>
    </row>
    <row r="1739" spans="1:15">
      <c r="A1739" s="1">
        <v>45128</v>
      </c>
      <c r="B1739" t="s">
        <v>23</v>
      </c>
      <c r="C1739" t="s">
        <v>19</v>
      </c>
      <c r="D1739">
        <v>1</v>
      </c>
      <c r="E1739" t="s">
        <v>9</v>
      </c>
      <c r="F1739">
        <v>60000</v>
      </c>
      <c r="G1739">
        <v>31000</v>
      </c>
      <c r="H1739">
        <f>Table1[[#This Row],[Qty]]*Table1[[#This Row],[SellingPrice]]</f>
        <v>60000</v>
      </c>
      <c r="I1739">
        <f>Table1[[#This Row],[Qty]]*Table1[[#This Row],[CostPrice]]</f>
        <v>31000</v>
      </c>
      <c r="J1739">
        <v>28797</v>
      </c>
      <c r="K1739">
        <v>202.99999999999997</v>
      </c>
      <c r="L1739" t="s">
        <v>8</v>
      </c>
      <c r="M1739" t="s">
        <v>27</v>
      </c>
      <c r="N1739">
        <f>MONTH(Table1[[#This Row],[SaleDate]])</f>
        <v>7</v>
      </c>
      <c r="O1739" t="str">
        <f>TEXT(Table1[[#This Row],[SaleDate]],"MMM")</f>
        <v>Jul</v>
      </c>
    </row>
    <row r="1740" spans="1:15">
      <c r="A1740" s="1">
        <v>45128</v>
      </c>
      <c r="B1740" t="s">
        <v>23</v>
      </c>
      <c r="C1740" t="s">
        <v>19</v>
      </c>
      <c r="D1740">
        <v>1</v>
      </c>
      <c r="E1740" t="s">
        <v>10</v>
      </c>
      <c r="F1740">
        <v>89000</v>
      </c>
      <c r="G1740">
        <v>65000</v>
      </c>
      <c r="H1740">
        <f>Table1[[#This Row],[Qty]]*Table1[[#This Row],[SellingPrice]]</f>
        <v>89000</v>
      </c>
      <c r="I1740">
        <f>Table1[[#This Row],[Qty]]*Table1[[#This Row],[CostPrice]]</f>
        <v>65000</v>
      </c>
      <c r="J1740">
        <v>23832</v>
      </c>
      <c r="K1740">
        <v>167.99999999999997</v>
      </c>
      <c r="L1740" t="s">
        <v>8</v>
      </c>
      <c r="M1740" t="s">
        <v>29</v>
      </c>
      <c r="N1740">
        <f>MONTH(Table1[[#This Row],[SaleDate]])</f>
        <v>7</v>
      </c>
      <c r="O1740" t="str">
        <f>TEXT(Table1[[#This Row],[SaleDate]],"MMM")</f>
        <v>Jul</v>
      </c>
    </row>
    <row r="1741" spans="1:15">
      <c r="A1741" s="1">
        <v>45128</v>
      </c>
      <c r="B1741" t="s">
        <v>24</v>
      </c>
      <c r="C1741" t="s">
        <v>22</v>
      </c>
      <c r="D1741">
        <v>1</v>
      </c>
      <c r="E1741" t="s">
        <v>7</v>
      </c>
      <c r="F1741">
        <v>33000</v>
      </c>
      <c r="G1741">
        <v>18000</v>
      </c>
      <c r="H1741">
        <f>Table1[[#This Row],[Qty]]*Table1[[#This Row],[SellingPrice]]</f>
        <v>33000</v>
      </c>
      <c r="I1741">
        <f>Table1[[#This Row],[Qty]]*Table1[[#This Row],[CostPrice]]</f>
        <v>18000</v>
      </c>
      <c r="J1741">
        <v>14895</v>
      </c>
      <c r="K1741">
        <v>104.99999999999999</v>
      </c>
      <c r="L1741" t="s">
        <v>12</v>
      </c>
      <c r="M1741" t="s">
        <v>30</v>
      </c>
      <c r="N1741">
        <f>MONTH(Table1[[#This Row],[SaleDate]])</f>
        <v>7</v>
      </c>
      <c r="O1741" t="str">
        <f>TEXT(Table1[[#This Row],[SaleDate]],"MMM")</f>
        <v>Jul</v>
      </c>
    </row>
    <row r="1742" spans="1:15">
      <c r="A1742" s="1">
        <v>45128</v>
      </c>
      <c r="B1742" t="s">
        <v>24</v>
      </c>
      <c r="C1742" t="s">
        <v>22</v>
      </c>
      <c r="D1742">
        <v>1</v>
      </c>
      <c r="E1742" t="s">
        <v>9</v>
      </c>
      <c r="F1742">
        <v>60000</v>
      </c>
      <c r="G1742">
        <v>31000</v>
      </c>
      <c r="H1742">
        <f>Table1[[#This Row],[Qty]]*Table1[[#This Row],[SellingPrice]]</f>
        <v>60000</v>
      </c>
      <c r="I1742">
        <f>Table1[[#This Row],[Qty]]*Table1[[#This Row],[CostPrice]]</f>
        <v>31000</v>
      </c>
      <c r="J1742">
        <v>28797</v>
      </c>
      <c r="K1742">
        <v>202.99999999999997</v>
      </c>
      <c r="L1742" t="s">
        <v>12</v>
      </c>
      <c r="M1742" t="s">
        <v>29</v>
      </c>
      <c r="N1742">
        <f>MONTH(Table1[[#This Row],[SaleDate]])</f>
        <v>7</v>
      </c>
      <c r="O1742" t="str">
        <f>TEXT(Table1[[#This Row],[SaleDate]],"MMM")</f>
        <v>Jul</v>
      </c>
    </row>
    <row r="1743" spans="1:15">
      <c r="A1743" s="1">
        <v>45128</v>
      </c>
      <c r="B1743" t="s">
        <v>24</v>
      </c>
      <c r="C1743" t="s">
        <v>22</v>
      </c>
      <c r="D1743">
        <v>1</v>
      </c>
      <c r="E1743" t="s">
        <v>10</v>
      </c>
      <c r="F1743">
        <v>89000</v>
      </c>
      <c r="G1743">
        <v>65000</v>
      </c>
      <c r="H1743">
        <f>Table1[[#This Row],[Qty]]*Table1[[#This Row],[SellingPrice]]</f>
        <v>89000</v>
      </c>
      <c r="I1743">
        <f>Table1[[#This Row],[Qty]]*Table1[[#This Row],[CostPrice]]</f>
        <v>65000</v>
      </c>
      <c r="J1743">
        <v>23832</v>
      </c>
      <c r="K1743">
        <v>167.99999999999997</v>
      </c>
      <c r="L1743" t="s">
        <v>12</v>
      </c>
      <c r="M1743" t="s">
        <v>29</v>
      </c>
      <c r="N1743">
        <f>MONTH(Table1[[#This Row],[SaleDate]])</f>
        <v>7</v>
      </c>
      <c r="O1743" t="str">
        <f>TEXT(Table1[[#This Row],[SaleDate]],"MMM")</f>
        <v>Jul</v>
      </c>
    </row>
    <row r="1744" spans="1:15">
      <c r="A1744" s="1">
        <v>45128</v>
      </c>
      <c r="B1744" t="s">
        <v>25</v>
      </c>
      <c r="C1744" t="s">
        <v>21</v>
      </c>
      <c r="D1744">
        <v>1</v>
      </c>
      <c r="E1744" t="s">
        <v>7</v>
      </c>
      <c r="F1744">
        <v>33000</v>
      </c>
      <c r="G1744">
        <v>18000</v>
      </c>
      <c r="H1744">
        <f>Table1[[#This Row],[Qty]]*Table1[[#This Row],[SellingPrice]]</f>
        <v>33000</v>
      </c>
      <c r="I1744">
        <f>Table1[[#This Row],[Qty]]*Table1[[#This Row],[CostPrice]]</f>
        <v>18000</v>
      </c>
      <c r="J1744">
        <v>14895</v>
      </c>
      <c r="K1744">
        <v>104.99999999999999</v>
      </c>
      <c r="L1744" t="s">
        <v>13</v>
      </c>
      <c r="M1744" t="s">
        <v>30</v>
      </c>
      <c r="N1744">
        <f>MONTH(Table1[[#This Row],[SaleDate]])</f>
        <v>7</v>
      </c>
      <c r="O1744" t="str">
        <f>TEXT(Table1[[#This Row],[SaleDate]],"MMM")</f>
        <v>Jul</v>
      </c>
    </row>
    <row r="1745" spans="1:15">
      <c r="A1745" s="1">
        <v>45128</v>
      </c>
      <c r="B1745" t="s">
        <v>25</v>
      </c>
      <c r="C1745" t="s">
        <v>21</v>
      </c>
      <c r="D1745">
        <v>1</v>
      </c>
      <c r="E1745" t="s">
        <v>9</v>
      </c>
      <c r="F1745">
        <v>60000</v>
      </c>
      <c r="G1745">
        <v>31000</v>
      </c>
      <c r="H1745">
        <f>Table1[[#This Row],[Qty]]*Table1[[#This Row],[SellingPrice]]</f>
        <v>60000</v>
      </c>
      <c r="I1745">
        <f>Table1[[#This Row],[Qty]]*Table1[[#This Row],[CostPrice]]</f>
        <v>31000</v>
      </c>
      <c r="J1745">
        <v>28797</v>
      </c>
      <c r="K1745">
        <v>202.99999999999997</v>
      </c>
      <c r="L1745" t="s">
        <v>13</v>
      </c>
      <c r="M1745" t="s">
        <v>29</v>
      </c>
      <c r="N1745">
        <f>MONTH(Table1[[#This Row],[SaleDate]])</f>
        <v>7</v>
      </c>
      <c r="O1745" t="str">
        <f>TEXT(Table1[[#This Row],[SaleDate]],"MMM")</f>
        <v>Jul</v>
      </c>
    </row>
    <row r="1746" spans="1:15">
      <c r="A1746" s="1">
        <v>45128</v>
      </c>
      <c r="B1746" t="s">
        <v>25</v>
      </c>
      <c r="C1746" t="s">
        <v>21</v>
      </c>
      <c r="D1746">
        <v>1</v>
      </c>
      <c r="E1746" t="s">
        <v>10</v>
      </c>
      <c r="F1746">
        <v>89000</v>
      </c>
      <c r="G1746">
        <v>65000</v>
      </c>
      <c r="H1746">
        <f>Table1[[#This Row],[Qty]]*Table1[[#This Row],[SellingPrice]]</f>
        <v>89000</v>
      </c>
      <c r="I1746">
        <f>Table1[[#This Row],[Qty]]*Table1[[#This Row],[CostPrice]]</f>
        <v>65000</v>
      </c>
      <c r="J1746">
        <v>23832</v>
      </c>
      <c r="K1746">
        <v>167.99999999999997</v>
      </c>
      <c r="L1746" t="s">
        <v>13</v>
      </c>
      <c r="M1746" t="s">
        <v>27</v>
      </c>
      <c r="N1746">
        <f>MONTH(Table1[[#This Row],[SaleDate]])</f>
        <v>7</v>
      </c>
      <c r="O1746" t="str">
        <f>TEXT(Table1[[#This Row],[SaleDate]],"MMM")</f>
        <v>Jul</v>
      </c>
    </row>
    <row r="1747" spans="1:15">
      <c r="A1747" s="1">
        <v>45129</v>
      </c>
      <c r="B1747" t="s">
        <v>23</v>
      </c>
      <c r="C1747" t="s">
        <v>19</v>
      </c>
      <c r="D1747">
        <v>2</v>
      </c>
      <c r="E1747" t="s">
        <v>7</v>
      </c>
      <c r="F1747">
        <v>33000</v>
      </c>
      <c r="G1747">
        <v>18000</v>
      </c>
      <c r="H1747">
        <f>Table1[[#This Row],[Qty]]*Table1[[#This Row],[SellingPrice]]</f>
        <v>66000</v>
      </c>
      <c r="I1747">
        <f>Table1[[#This Row],[Qty]]*Table1[[#This Row],[CostPrice]]</f>
        <v>36000</v>
      </c>
      <c r="J1747">
        <v>29790</v>
      </c>
      <c r="K1747">
        <v>209.99999999999997</v>
      </c>
      <c r="L1747" t="s">
        <v>8</v>
      </c>
      <c r="M1747" t="s">
        <v>29</v>
      </c>
      <c r="N1747">
        <f>MONTH(Table1[[#This Row],[SaleDate]])</f>
        <v>7</v>
      </c>
      <c r="O1747" t="str">
        <f>TEXT(Table1[[#This Row],[SaleDate]],"MMM")</f>
        <v>Jul</v>
      </c>
    </row>
    <row r="1748" spans="1:15">
      <c r="A1748" s="1">
        <v>45129</v>
      </c>
      <c r="B1748" t="s">
        <v>23</v>
      </c>
      <c r="C1748" t="s">
        <v>19</v>
      </c>
      <c r="D1748">
        <v>2</v>
      </c>
      <c r="E1748" t="s">
        <v>9</v>
      </c>
      <c r="F1748">
        <v>60000</v>
      </c>
      <c r="G1748">
        <v>31000</v>
      </c>
      <c r="H1748">
        <f>Table1[[#This Row],[Qty]]*Table1[[#This Row],[SellingPrice]]</f>
        <v>120000</v>
      </c>
      <c r="I1748">
        <f>Table1[[#This Row],[Qty]]*Table1[[#This Row],[CostPrice]]</f>
        <v>62000</v>
      </c>
      <c r="J1748">
        <v>57594</v>
      </c>
      <c r="K1748">
        <v>405.99999999999994</v>
      </c>
      <c r="L1748" t="s">
        <v>8</v>
      </c>
      <c r="M1748" t="s">
        <v>27</v>
      </c>
      <c r="N1748">
        <f>MONTH(Table1[[#This Row],[SaleDate]])</f>
        <v>7</v>
      </c>
      <c r="O1748" t="str">
        <f>TEXT(Table1[[#This Row],[SaleDate]],"MMM")</f>
        <v>Jul</v>
      </c>
    </row>
    <row r="1749" spans="1:15">
      <c r="A1749" s="1">
        <v>45129</v>
      </c>
      <c r="B1749" t="s">
        <v>23</v>
      </c>
      <c r="C1749" t="s">
        <v>19</v>
      </c>
      <c r="D1749">
        <v>2</v>
      </c>
      <c r="E1749" t="s">
        <v>10</v>
      </c>
      <c r="F1749">
        <v>89000</v>
      </c>
      <c r="G1749">
        <v>65000</v>
      </c>
      <c r="H1749">
        <f>Table1[[#This Row],[Qty]]*Table1[[#This Row],[SellingPrice]]</f>
        <v>178000</v>
      </c>
      <c r="I1749">
        <f>Table1[[#This Row],[Qty]]*Table1[[#This Row],[CostPrice]]</f>
        <v>130000</v>
      </c>
      <c r="J1749">
        <v>47664</v>
      </c>
      <c r="K1749">
        <v>335.99999999999994</v>
      </c>
      <c r="L1749" t="s">
        <v>8</v>
      </c>
      <c r="M1749" t="s">
        <v>27</v>
      </c>
      <c r="N1749">
        <f>MONTH(Table1[[#This Row],[SaleDate]])</f>
        <v>7</v>
      </c>
      <c r="O1749" t="str">
        <f>TEXT(Table1[[#This Row],[SaleDate]],"MMM")</f>
        <v>Jul</v>
      </c>
    </row>
    <row r="1750" spans="1:15">
      <c r="A1750" s="1">
        <v>45129</v>
      </c>
      <c r="B1750" t="s">
        <v>24</v>
      </c>
      <c r="C1750" t="s">
        <v>22</v>
      </c>
      <c r="D1750">
        <v>2</v>
      </c>
      <c r="E1750" t="s">
        <v>7</v>
      </c>
      <c r="F1750">
        <v>33000</v>
      </c>
      <c r="G1750">
        <v>18000</v>
      </c>
      <c r="H1750">
        <f>Table1[[#This Row],[Qty]]*Table1[[#This Row],[SellingPrice]]</f>
        <v>66000</v>
      </c>
      <c r="I1750">
        <f>Table1[[#This Row],[Qty]]*Table1[[#This Row],[CostPrice]]</f>
        <v>36000</v>
      </c>
      <c r="J1750">
        <v>29790</v>
      </c>
      <c r="K1750">
        <v>209.99999999999997</v>
      </c>
      <c r="L1750" t="s">
        <v>12</v>
      </c>
      <c r="M1750" t="s">
        <v>30</v>
      </c>
      <c r="N1750">
        <f>MONTH(Table1[[#This Row],[SaleDate]])</f>
        <v>7</v>
      </c>
      <c r="O1750" t="str">
        <f>TEXT(Table1[[#This Row],[SaleDate]],"MMM")</f>
        <v>Jul</v>
      </c>
    </row>
    <row r="1751" spans="1:15">
      <c r="A1751" s="1">
        <v>45129</v>
      </c>
      <c r="B1751" t="s">
        <v>24</v>
      </c>
      <c r="C1751" t="s">
        <v>22</v>
      </c>
      <c r="D1751">
        <v>2</v>
      </c>
      <c r="E1751" t="s">
        <v>9</v>
      </c>
      <c r="F1751">
        <v>60000</v>
      </c>
      <c r="G1751">
        <v>31000</v>
      </c>
      <c r="H1751">
        <f>Table1[[#This Row],[Qty]]*Table1[[#This Row],[SellingPrice]]</f>
        <v>120000</v>
      </c>
      <c r="I1751">
        <f>Table1[[#This Row],[Qty]]*Table1[[#This Row],[CostPrice]]</f>
        <v>62000</v>
      </c>
      <c r="J1751">
        <v>57594</v>
      </c>
      <c r="K1751">
        <v>405.99999999999994</v>
      </c>
      <c r="L1751" t="s">
        <v>12</v>
      </c>
      <c r="M1751" t="s">
        <v>28</v>
      </c>
      <c r="N1751">
        <f>MONTH(Table1[[#This Row],[SaleDate]])</f>
        <v>7</v>
      </c>
      <c r="O1751" t="str">
        <f>TEXT(Table1[[#This Row],[SaleDate]],"MMM")</f>
        <v>Jul</v>
      </c>
    </row>
    <row r="1752" spans="1:15">
      <c r="A1752" s="1">
        <v>45129</v>
      </c>
      <c r="B1752" t="s">
        <v>24</v>
      </c>
      <c r="C1752" t="s">
        <v>22</v>
      </c>
      <c r="D1752">
        <v>2</v>
      </c>
      <c r="E1752" t="s">
        <v>10</v>
      </c>
      <c r="F1752">
        <v>89000</v>
      </c>
      <c r="G1752">
        <v>65000</v>
      </c>
      <c r="H1752">
        <f>Table1[[#This Row],[Qty]]*Table1[[#This Row],[SellingPrice]]</f>
        <v>178000</v>
      </c>
      <c r="I1752">
        <f>Table1[[#This Row],[Qty]]*Table1[[#This Row],[CostPrice]]</f>
        <v>130000</v>
      </c>
      <c r="J1752">
        <v>47664</v>
      </c>
      <c r="K1752">
        <v>335.99999999999994</v>
      </c>
      <c r="L1752" t="s">
        <v>12</v>
      </c>
      <c r="M1752" t="s">
        <v>28</v>
      </c>
      <c r="N1752">
        <f>MONTH(Table1[[#This Row],[SaleDate]])</f>
        <v>7</v>
      </c>
      <c r="O1752" t="str">
        <f>TEXT(Table1[[#This Row],[SaleDate]],"MMM")</f>
        <v>Jul</v>
      </c>
    </row>
    <row r="1753" spans="1:15">
      <c r="A1753" s="1">
        <v>45129</v>
      </c>
      <c r="B1753" t="s">
        <v>25</v>
      </c>
      <c r="C1753" t="s">
        <v>21</v>
      </c>
      <c r="D1753">
        <v>2</v>
      </c>
      <c r="E1753" t="s">
        <v>7</v>
      </c>
      <c r="F1753">
        <v>33000</v>
      </c>
      <c r="G1753">
        <v>18000</v>
      </c>
      <c r="H1753">
        <f>Table1[[#This Row],[Qty]]*Table1[[#This Row],[SellingPrice]]</f>
        <v>66000</v>
      </c>
      <c r="I1753">
        <f>Table1[[#This Row],[Qty]]*Table1[[#This Row],[CostPrice]]</f>
        <v>36000</v>
      </c>
      <c r="J1753">
        <v>29790</v>
      </c>
      <c r="K1753">
        <v>209.99999999999997</v>
      </c>
      <c r="L1753" t="s">
        <v>13</v>
      </c>
      <c r="M1753" t="s">
        <v>28</v>
      </c>
      <c r="N1753">
        <f>MONTH(Table1[[#This Row],[SaleDate]])</f>
        <v>7</v>
      </c>
      <c r="O1753" t="str">
        <f>TEXT(Table1[[#This Row],[SaleDate]],"MMM")</f>
        <v>Jul</v>
      </c>
    </row>
    <row r="1754" spans="1:15">
      <c r="A1754" s="1">
        <v>45129</v>
      </c>
      <c r="B1754" t="s">
        <v>25</v>
      </c>
      <c r="C1754" t="s">
        <v>21</v>
      </c>
      <c r="D1754">
        <v>2</v>
      </c>
      <c r="E1754" t="s">
        <v>9</v>
      </c>
      <c r="F1754">
        <v>60000</v>
      </c>
      <c r="G1754">
        <v>31000</v>
      </c>
      <c r="H1754">
        <f>Table1[[#This Row],[Qty]]*Table1[[#This Row],[SellingPrice]]</f>
        <v>120000</v>
      </c>
      <c r="I1754">
        <f>Table1[[#This Row],[Qty]]*Table1[[#This Row],[CostPrice]]</f>
        <v>62000</v>
      </c>
      <c r="J1754">
        <v>57594</v>
      </c>
      <c r="K1754">
        <v>405.99999999999994</v>
      </c>
      <c r="L1754" t="s">
        <v>13</v>
      </c>
      <c r="M1754" t="s">
        <v>28</v>
      </c>
      <c r="N1754">
        <f>MONTH(Table1[[#This Row],[SaleDate]])</f>
        <v>7</v>
      </c>
      <c r="O1754" t="str">
        <f>TEXT(Table1[[#This Row],[SaleDate]],"MMM")</f>
        <v>Jul</v>
      </c>
    </row>
    <row r="1755" spans="1:15">
      <c r="A1755" s="1">
        <v>45129</v>
      </c>
      <c r="B1755" t="s">
        <v>25</v>
      </c>
      <c r="C1755" t="s">
        <v>21</v>
      </c>
      <c r="D1755">
        <v>2</v>
      </c>
      <c r="E1755" t="s">
        <v>10</v>
      </c>
      <c r="F1755">
        <v>89000</v>
      </c>
      <c r="G1755">
        <v>65000</v>
      </c>
      <c r="H1755">
        <f>Table1[[#This Row],[Qty]]*Table1[[#This Row],[SellingPrice]]</f>
        <v>178000</v>
      </c>
      <c r="I1755">
        <f>Table1[[#This Row],[Qty]]*Table1[[#This Row],[CostPrice]]</f>
        <v>130000</v>
      </c>
      <c r="J1755">
        <v>47664</v>
      </c>
      <c r="K1755">
        <v>335.99999999999994</v>
      </c>
      <c r="L1755" t="s">
        <v>13</v>
      </c>
      <c r="M1755" t="s">
        <v>27</v>
      </c>
      <c r="N1755">
        <f>MONTH(Table1[[#This Row],[SaleDate]])</f>
        <v>7</v>
      </c>
      <c r="O1755" t="str">
        <f>TEXT(Table1[[#This Row],[SaleDate]],"MMM")</f>
        <v>Jul</v>
      </c>
    </row>
    <row r="1756" spans="1:15">
      <c r="A1756" s="1">
        <v>45130</v>
      </c>
      <c r="B1756" t="s">
        <v>23</v>
      </c>
      <c r="C1756" t="s">
        <v>19</v>
      </c>
      <c r="D1756">
        <v>1</v>
      </c>
      <c r="E1756" t="s">
        <v>7</v>
      </c>
      <c r="F1756">
        <v>33000</v>
      </c>
      <c r="G1756">
        <v>18000</v>
      </c>
      <c r="H1756">
        <f>Table1[[#This Row],[Qty]]*Table1[[#This Row],[SellingPrice]]</f>
        <v>33000</v>
      </c>
      <c r="I1756">
        <f>Table1[[#This Row],[Qty]]*Table1[[#This Row],[CostPrice]]</f>
        <v>18000</v>
      </c>
      <c r="J1756">
        <v>14895</v>
      </c>
      <c r="K1756">
        <v>104.99999999999999</v>
      </c>
      <c r="L1756" t="s">
        <v>8</v>
      </c>
      <c r="M1756" t="s">
        <v>30</v>
      </c>
      <c r="N1756">
        <f>MONTH(Table1[[#This Row],[SaleDate]])</f>
        <v>7</v>
      </c>
      <c r="O1756" t="str">
        <f>TEXT(Table1[[#This Row],[SaleDate]],"MMM")</f>
        <v>Jul</v>
      </c>
    </row>
    <row r="1757" spans="1:15">
      <c r="A1757" s="1">
        <v>45130</v>
      </c>
      <c r="B1757" t="s">
        <v>23</v>
      </c>
      <c r="C1757" t="s">
        <v>19</v>
      </c>
      <c r="D1757">
        <v>1</v>
      </c>
      <c r="E1757" t="s">
        <v>9</v>
      </c>
      <c r="F1757">
        <v>60000</v>
      </c>
      <c r="G1757">
        <v>31000</v>
      </c>
      <c r="H1757">
        <f>Table1[[#This Row],[Qty]]*Table1[[#This Row],[SellingPrice]]</f>
        <v>60000</v>
      </c>
      <c r="I1757">
        <f>Table1[[#This Row],[Qty]]*Table1[[#This Row],[CostPrice]]</f>
        <v>31000</v>
      </c>
      <c r="J1757">
        <v>28797</v>
      </c>
      <c r="K1757">
        <v>202.99999999999997</v>
      </c>
      <c r="L1757" t="s">
        <v>8</v>
      </c>
      <c r="M1757" t="s">
        <v>28</v>
      </c>
      <c r="N1757">
        <f>MONTH(Table1[[#This Row],[SaleDate]])</f>
        <v>7</v>
      </c>
      <c r="O1757" t="str">
        <f>TEXT(Table1[[#This Row],[SaleDate]],"MMM")</f>
        <v>Jul</v>
      </c>
    </row>
    <row r="1758" spans="1:15">
      <c r="A1758" s="1">
        <v>45130</v>
      </c>
      <c r="B1758" t="s">
        <v>23</v>
      </c>
      <c r="C1758" t="s">
        <v>19</v>
      </c>
      <c r="D1758">
        <v>1</v>
      </c>
      <c r="E1758" t="s">
        <v>10</v>
      </c>
      <c r="F1758">
        <v>89000</v>
      </c>
      <c r="G1758">
        <v>65000</v>
      </c>
      <c r="H1758">
        <f>Table1[[#This Row],[Qty]]*Table1[[#This Row],[SellingPrice]]</f>
        <v>89000</v>
      </c>
      <c r="I1758">
        <f>Table1[[#This Row],[Qty]]*Table1[[#This Row],[CostPrice]]</f>
        <v>65000</v>
      </c>
      <c r="J1758">
        <v>23832</v>
      </c>
      <c r="K1758">
        <v>167.99999999999997</v>
      </c>
      <c r="L1758" t="s">
        <v>8</v>
      </c>
      <c r="M1758" t="s">
        <v>29</v>
      </c>
      <c r="N1758">
        <f>MONTH(Table1[[#This Row],[SaleDate]])</f>
        <v>7</v>
      </c>
      <c r="O1758" t="str">
        <f>TEXT(Table1[[#This Row],[SaleDate]],"MMM")</f>
        <v>Jul</v>
      </c>
    </row>
    <row r="1759" spans="1:15">
      <c r="A1759" s="1">
        <v>45130</v>
      </c>
      <c r="B1759" t="s">
        <v>24</v>
      </c>
      <c r="C1759" t="s">
        <v>22</v>
      </c>
      <c r="D1759">
        <v>1</v>
      </c>
      <c r="E1759" t="s">
        <v>7</v>
      </c>
      <c r="F1759">
        <v>33000</v>
      </c>
      <c r="G1759">
        <v>18000</v>
      </c>
      <c r="H1759">
        <f>Table1[[#This Row],[Qty]]*Table1[[#This Row],[SellingPrice]]</f>
        <v>33000</v>
      </c>
      <c r="I1759">
        <f>Table1[[#This Row],[Qty]]*Table1[[#This Row],[CostPrice]]</f>
        <v>18000</v>
      </c>
      <c r="J1759">
        <v>14895</v>
      </c>
      <c r="K1759">
        <v>104.99999999999999</v>
      </c>
      <c r="L1759" t="s">
        <v>12</v>
      </c>
      <c r="M1759" t="s">
        <v>27</v>
      </c>
      <c r="N1759">
        <f>MONTH(Table1[[#This Row],[SaleDate]])</f>
        <v>7</v>
      </c>
      <c r="O1759" t="str">
        <f>TEXT(Table1[[#This Row],[SaleDate]],"MMM")</f>
        <v>Jul</v>
      </c>
    </row>
    <row r="1760" spans="1:15">
      <c r="A1760" s="1">
        <v>45130</v>
      </c>
      <c r="B1760" t="s">
        <v>24</v>
      </c>
      <c r="C1760" t="s">
        <v>22</v>
      </c>
      <c r="D1760">
        <v>1</v>
      </c>
      <c r="E1760" t="s">
        <v>9</v>
      </c>
      <c r="F1760">
        <v>60000</v>
      </c>
      <c r="G1760">
        <v>31000</v>
      </c>
      <c r="H1760">
        <f>Table1[[#This Row],[Qty]]*Table1[[#This Row],[SellingPrice]]</f>
        <v>60000</v>
      </c>
      <c r="I1760">
        <f>Table1[[#This Row],[Qty]]*Table1[[#This Row],[CostPrice]]</f>
        <v>31000</v>
      </c>
      <c r="J1760">
        <v>28797</v>
      </c>
      <c r="K1760">
        <v>202.99999999999997</v>
      </c>
      <c r="L1760" t="s">
        <v>12</v>
      </c>
      <c r="M1760" t="s">
        <v>30</v>
      </c>
      <c r="N1760">
        <f>MONTH(Table1[[#This Row],[SaleDate]])</f>
        <v>7</v>
      </c>
      <c r="O1760" t="str">
        <f>TEXT(Table1[[#This Row],[SaleDate]],"MMM")</f>
        <v>Jul</v>
      </c>
    </row>
    <row r="1761" spans="1:15">
      <c r="A1761" s="1">
        <v>45130</v>
      </c>
      <c r="B1761" t="s">
        <v>24</v>
      </c>
      <c r="C1761" t="s">
        <v>22</v>
      </c>
      <c r="D1761">
        <v>1</v>
      </c>
      <c r="E1761" t="s">
        <v>10</v>
      </c>
      <c r="F1761">
        <v>89000</v>
      </c>
      <c r="G1761">
        <v>65000</v>
      </c>
      <c r="H1761">
        <f>Table1[[#This Row],[Qty]]*Table1[[#This Row],[SellingPrice]]</f>
        <v>89000</v>
      </c>
      <c r="I1761">
        <f>Table1[[#This Row],[Qty]]*Table1[[#This Row],[CostPrice]]</f>
        <v>65000</v>
      </c>
      <c r="J1761">
        <v>23832</v>
      </c>
      <c r="K1761">
        <v>167.99999999999997</v>
      </c>
      <c r="L1761" t="s">
        <v>12</v>
      </c>
      <c r="M1761" t="s">
        <v>29</v>
      </c>
      <c r="N1761">
        <f>MONTH(Table1[[#This Row],[SaleDate]])</f>
        <v>7</v>
      </c>
      <c r="O1761" t="str">
        <f>TEXT(Table1[[#This Row],[SaleDate]],"MMM")</f>
        <v>Jul</v>
      </c>
    </row>
    <row r="1762" spans="1:15">
      <c r="A1762" s="1">
        <v>45130</v>
      </c>
      <c r="B1762" t="s">
        <v>25</v>
      </c>
      <c r="C1762" t="s">
        <v>21</v>
      </c>
      <c r="D1762">
        <v>1</v>
      </c>
      <c r="E1762" t="s">
        <v>7</v>
      </c>
      <c r="F1762">
        <v>33000</v>
      </c>
      <c r="G1762">
        <v>18000</v>
      </c>
      <c r="H1762">
        <f>Table1[[#This Row],[Qty]]*Table1[[#This Row],[SellingPrice]]</f>
        <v>33000</v>
      </c>
      <c r="I1762">
        <f>Table1[[#This Row],[Qty]]*Table1[[#This Row],[CostPrice]]</f>
        <v>18000</v>
      </c>
      <c r="J1762">
        <v>14895</v>
      </c>
      <c r="K1762">
        <v>104.99999999999999</v>
      </c>
      <c r="L1762" t="s">
        <v>13</v>
      </c>
      <c r="M1762" t="s">
        <v>28</v>
      </c>
      <c r="N1762">
        <f>MONTH(Table1[[#This Row],[SaleDate]])</f>
        <v>7</v>
      </c>
      <c r="O1762" t="str">
        <f>TEXT(Table1[[#This Row],[SaleDate]],"MMM")</f>
        <v>Jul</v>
      </c>
    </row>
    <row r="1763" spans="1:15">
      <c r="A1763" s="1">
        <v>45130</v>
      </c>
      <c r="B1763" t="s">
        <v>25</v>
      </c>
      <c r="C1763" t="s">
        <v>21</v>
      </c>
      <c r="D1763">
        <v>1</v>
      </c>
      <c r="E1763" t="s">
        <v>9</v>
      </c>
      <c r="F1763">
        <v>60000</v>
      </c>
      <c r="G1763">
        <v>31000</v>
      </c>
      <c r="H1763">
        <f>Table1[[#This Row],[Qty]]*Table1[[#This Row],[SellingPrice]]</f>
        <v>60000</v>
      </c>
      <c r="I1763">
        <f>Table1[[#This Row],[Qty]]*Table1[[#This Row],[CostPrice]]</f>
        <v>31000</v>
      </c>
      <c r="J1763">
        <v>28797</v>
      </c>
      <c r="K1763">
        <v>202.99999999999997</v>
      </c>
      <c r="L1763" t="s">
        <v>13</v>
      </c>
      <c r="M1763" t="s">
        <v>30</v>
      </c>
      <c r="N1763">
        <f>MONTH(Table1[[#This Row],[SaleDate]])</f>
        <v>7</v>
      </c>
      <c r="O1763" t="str">
        <f>TEXT(Table1[[#This Row],[SaleDate]],"MMM")</f>
        <v>Jul</v>
      </c>
    </row>
    <row r="1764" spans="1:15">
      <c r="A1764" s="1">
        <v>45130</v>
      </c>
      <c r="B1764" t="s">
        <v>25</v>
      </c>
      <c r="C1764" t="s">
        <v>21</v>
      </c>
      <c r="D1764">
        <v>1</v>
      </c>
      <c r="E1764" t="s">
        <v>10</v>
      </c>
      <c r="F1764">
        <v>89000</v>
      </c>
      <c r="G1764">
        <v>65000</v>
      </c>
      <c r="H1764">
        <f>Table1[[#This Row],[Qty]]*Table1[[#This Row],[SellingPrice]]</f>
        <v>89000</v>
      </c>
      <c r="I1764">
        <f>Table1[[#This Row],[Qty]]*Table1[[#This Row],[CostPrice]]</f>
        <v>65000</v>
      </c>
      <c r="J1764">
        <v>23832</v>
      </c>
      <c r="K1764">
        <v>167.99999999999997</v>
      </c>
      <c r="L1764" t="s">
        <v>13</v>
      </c>
      <c r="M1764" t="s">
        <v>29</v>
      </c>
      <c r="N1764">
        <f>MONTH(Table1[[#This Row],[SaleDate]])</f>
        <v>7</v>
      </c>
      <c r="O1764" t="str">
        <f>TEXT(Table1[[#This Row],[SaleDate]],"MMM")</f>
        <v>Jul</v>
      </c>
    </row>
    <row r="1765" spans="1:15">
      <c r="A1765" s="1">
        <v>45131</v>
      </c>
      <c r="B1765" t="s">
        <v>23</v>
      </c>
      <c r="C1765" t="s">
        <v>19</v>
      </c>
      <c r="D1765">
        <v>1</v>
      </c>
      <c r="E1765" t="s">
        <v>7</v>
      </c>
      <c r="F1765">
        <v>33000</v>
      </c>
      <c r="G1765">
        <v>18000</v>
      </c>
      <c r="H1765">
        <f>Table1[[#This Row],[Qty]]*Table1[[#This Row],[SellingPrice]]</f>
        <v>33000</v>
      </c>
      <c r="I1765">
        <f>Table1[[#This Row],[Qty]]*Table1[[#This Row],[CostPrice]]</f>
        <v>18000</v>
      </c>
      <c r="J1765">
        <v>14895</v>
      </c>
      <c r="K1765">
        <v>104.99999999999999</v>
      </c>
      <c r="L1765" t="s">
        <v>8</v>
      </c>
      <c r="M1765" t="s">
        <v>29</v>
      </c>
      <c r="N1765">
        <f>MONTH(Table1[[#This Row],[SaleDate]])</f>
        <v>7</v>
      </c>
      <c r="O1765" t="str">
        <f>TEXT(Table1[[#This Row],[SaleDate]],"MMM")</f>
        <v>Jul</v>
      </c>
    </row>
    <row r="1766" spans="1:15">
      <c r="A1766" s="1">
        <v>45131</v>
      </c>
      <c r="B1766" t="s">
        <v>23</v>
      </c>
      <c r="C1766" t="s">
        <v>19</v>
      </c>
      <c r="D1766">
        <v>1</v>
      </c>
      <c r="E1766" t="s">
        <v>9</v>
      </c>
      <c r="F1766">
        <v>60000</v>
      </c>
      <c r="G1766">
        <v>31000</v>
      </c>
      <c r="H1766">
        <f>Table1[[#This Row],[Qty]]*Table1[[#This Row],[SellingPrice]]</f>
        <v>60000</v>
      </c>
      <c r="I1766">
        <f>Table1[[#This Row],[Qty]]*Table1[[#This Row],[CostPrice]]</f>
        <v>31000</v>
      </c>
      <c r="J1766">
        <v>28797</v>
      </c>
      <c r="K1766">
        <v>202.99999999999997</v>
      </c>
      <c r="L1766" t="s">
        <v>8</v>
      </c>
      <c r="M1766" t="s">
        <v>27</v>
      </c>
      <c r="N1766">
        <f>MONTH(Table1[[#This Row],[SaleDate]])</f>
        <v>7</v>
      </c>
      <c r="O1766" t="str">
        <f>TEXT(Table1[[#This Row],[SaleDate]],"MMM")</f>
        <v>Jul</v>
      </c>
    </row>
    <row r="1767" spans="1:15">
      <c r="A1767" s="1">
        <v>45131</v>
      </c>
      <c r="B1767" t="s">
        <v>23</v>
      </c>
      <c r="C1767" t="s">
        <v>19</v>
      </c>
      <c r="D1767">
        <v>1</v>
      </c>
      <c r="E1767" t="s">
        <v>10</v>
      </c>
      <c r="F1767">
        <v>89000</v>
      </c>
      <c r="G1767">
        <v>65000</v>
      </c>
      <c r="H1767">
        <f>Table1[[#This Row],[Qty]]*Table1[[#This Row],[SellingPrice]]</f>
        <v>89000</v>
      </c>
      <c r="I1767">
        <f>Table1[[#This Row],[Qty]]*Table1[[#This Row],[CostPrice]]</f>
        <v>65000</v>
      </c>
      <c r="J1767">
        <v>23832</v>
      </c>
      <c r="K1767">
        <v>167.99999999999997</v>
      </c>
      <c r="L1767" t="s">
        <v>8</v>
      </c>
      <c r="M1767" t="s">
        <v>27</v>
      </c>
      <c r="N1767">
        <f>MONTH(Table1[[#This Row],[SaleDate]])</f>
        <v>7</v>
      </c>
      <c r="O1767" t="str">
        <f>TEXT(Table1[[#This Row],[SaleDate]],"MMM")</f>
        <v>Jul</v>
      </c>
    </row>
    <row r="1768" spans="1:15">
      <c r="A1768" s="1">
        <v>45131</v>
      </c>
      <c r="B1768" t="s">
        <v>24</v>
      </c>
      <c r="C1768" t="s">
        <v>22</v>
      </c>
      <c r="D1768">
        <v>1</v>
      </c>
      <c r="E1768" t="s">
        <v>7</v>
      </c>
      <c r="F1768">
        <v>33000</v>
      </c>
      <c r="G1768">
        <v>18000</v>
      </c>
      <c r="H1768">
        <f>Table1[[#This Row],[Qty]]*Table1[[#This Row],[SellingPrice]]</f>
        <v>33000</v>
      </c>
      <c r="I1768">
        <f>Table1[[#This Row],[Qty]]*Table1[[#This Row],[CostPrice]]</f>
        <v>18000</v>
      </c>
      <c r="J1768">
        <v>14895</v>
      </c>
      <c r="K1768">
        <v>104.99999999999999</v>
      </c>
      <c r="L1768" t="s">
        <v>12</v>
      </c>
      <c r="M1768" t="s">
        <v>30</v>
      </c>
      <c r="N1768">
        <f>MONTH(Table1[[#This Row],[SaleDate]])</f>
        <v>7</v>
      </c>
      <c r="O1768" t="str">
        <f>TEXT(Table1[[#This Row],[SaleDate]],"MMM")</f>
        <v>Jul</v>
      </c>
    </row>
    <row r="1769" spans="1:15">
      <c r="A1769" s="1">
        <v>45131</v>
      </c>
      <c r="B1769" t="s">
        <v>24</v>
      </c>
      <c r="C1769" t="s">
        <v>22</v>
      </c>
      <c r="D1769">
        <v>1</v>
      </c>
      <c r="E1769" t="s">
        <v>9</v>
      </c>
      <c r="F1769">
        <v>60000</v>
      </c>
      <c r="G1769">
        <v>31000</v>
      </c>
      <c r="H1769">
        <f>Table1[[#This Row],[Qty]]*Table1[[#This Row],[SellingPrice]]</f>
        <v>60000</v>
      </c>
      <c r="I1769">
        <f>Table1[[#This Row],[Qty]]*Table1[[#This Row],[CostPrice]]</f>
        <v>31000</v>
      </c>
      <c r="J1769">
        <v>28797</v>
      </c>
      <c r="K1769">
        <v>202.99999999999997</v>
      </c>
      <c r="L1769" t="s">
        <v>12</v>
      </c>
      <c r="M1769" t="s">
        <v>29</v>
      </c>
      <c r="N1769">
        <f>MONTH(Table1[[#This Row],[SaleDate]])</f>
        <v>7</v>
      </c>
      <c r="O1769" t="str">
        <f>TEXT(Table1[[#This Row],[SaleDate]],"MMM")</f>
        <v>Jul</v>
      </c>
    </row>
    <row r="1770" spans="1:15">
      <c r="A1770" s="1">
        <v>45131</v>
      </c>
      <c r="B1770" t="s">
        <v>24</v>
      </c>
      <c r="C1770" t="s">
        <v>22</v>
      </c>
      <c r="D1770">
        <v>1</v>
      </c>
      <c r="E1770" t="s">
        <v>10</v>
      </c>
      <c r="F1770">
        <v>89000</v>
      </c>
      <c r="G1770">
        <v>65000</v>
      </c>
      <c r="H1770">
        <f>Table1[[#This Row],[Qty]]*Table1[[#This Row],[SellingPrice]]</f>
        <v>89000</v>
      </c>
      <c r="I1770">
        <f>Table1[[#This Row],[Qty]]*Table1[[#This Row],[CostPrice]]</f>
        <v>65000</v>
      </c>
      <c r="J1770">
        <v>23832</v>
      </c>
      <c r="K1770">
        <v>167.99999999999997</v>
      </c>
      <c r="L1770" t="s">
        <v>12</v>
      </c>
      <c r="M1770" t="s">
        <v>29</v>
      </c>
      <c r="N1770">
        <f>MONTH(Table1[[#This Row],[SaleDate]])</f>
        <v>7</v>
      </c>
      <c r="O1770" t="str">
        <f>TEXT(Table1[[#This Row],[SaleDate]],"MMM")</f>
        <v>Jul</v>
      </c>
    </row>
    <row r="1771" spans="1:15">
      <c r="A1771" s="1">
        <v>45131</v>
      </c>
      <c r="B1771" t="s">
        <v>25</v>
      </c>
      <c r="C1771" t="s">
        <v>21</v>
      </c>
      <c r="D1771">
        <v>1</v>
      </c>
      <c r="E1771" t="s">
        <v>7</v>
      </c>
      <c r="F1771">
        <v>33000</v>
      </c>
      <c r="G1771">
        <v>18000</v>
      </c>
      <c r="H1771">
        <f>Table1[[#This Row],[Qty]]*Table1[[#This Row],[SellingPrice]]</f>
        <v>33000</v>
      </c>
      <c r="I1771">
        <f>Table1[[#This Row],[Qty]]*Table1[[#This Row],[CostPrice]]</f>
        <v>18000</v>
      </c>
      <c r="J1771">
        <v>14895</v>
      </c>
      <c r="K1771">
        <v>104.99999999999999</v>
      </c>
      <c r="L1771" t="s">
        <v>13</v>
      </c>
      <c r="M1771" t="s">
        <v>27</v>
      </c>
      <c r="N1771">
        <f>MONTH(Table1[[#This Row],[SaleDate]])</f>
        <v>7</v>
      </c>
      <c r="O1771" t="str">
        <f>TEXT(Table1[[#This Row],[SaleDate]],"MMM")</f>
        <v>Jul</v>
      </c>
    </row>
    <row r="1772" spans="1:15">
      <c r="A1772" s="1">
        <v>45131</v>
      </c>
      <c r="B1772" t="s">
        <v>25</v>
      </c>
      <c r="C1772" t="s">
        <v>21</v>
      </c>
      <c r="D1772">
        <v>1</v>
      </c>
      <c r="E1772" t="s">
        <v>9</v>
      </c>
      <c r="F1772">
        <v>60000</v>
      </c>
      <c r="G1772">
        <v>31000</v>
      </c>
      <c r="H1772">
        <f>Table1[[#This Row],[Qty]]*Table1[[#This Row],[SellingPrice]]</f>
        <v>60000</v>
      </c>
      <c r="I1772">
        <f>Table1[[#This Row],[Qty]]*Table1[[#This Row],[CostPrice]]</f>
        <v>31000</v>
      </c>
      <c r="J1772">
        <v>28797</v>
      </c>
      <c r="K1772">
        <v>202.99999999999997</v>
      </c>
      <c r="L1772" t="s">
        <v>13</v>
      </c>
      <c r="M1772" t="s">
        <v>29</v>
      </c>
      <c r="N1772">
        <f>MONTH(Table1[[#This Row],[SaleDate]])</f>
        <v>7</v>
      </c>
      <c r="O1772" t="str">
        <f>TEXT(Table1[[#This Row],[SaleDate]],"MMM")</f>
        <v>Jul</v>
      </c>
    </row>
    <row r="1773" spans="1:15">
      <c r="A1773" s="1">
        <v>45131</v>
      </c>
      <c r="B1773" t="s">
        <v>25</v>
      </c>
      <c r="C1773" t="s">
        <v>21</v>
      </c>
      <c r="D1773">
        <v>1</v>
      </c>
      <c r="E1773" t="s">
        <v>10</v>
      </c>
      <c r="F1773">
        <v>89000</v>
      </c>
      <c r="G1773">
        <v>65000</v>
      </c>
      <c r="H1773">
        <f>Table1[[#This Row],[Qty]]*Table1[[#This Row],[SellingPrice]]</f>
        <v>89000</v>
      </c>
      <c r="I1773">
        <f>Table1[[#This Row],[Qty]]*Table1[[#This Row],[CostPrice]]</f>
        <v>65000</v>
      </c>
      <c r="J1773">
        <v>23832</v>
      </c>
      <c r="K1773">
        <v>167.99999999999997</v>
      </c>
      <c r="L1773" t="s">
        <v>13</v>
      </c>
      <c r="M1773" t="s">
        <v>29</v>
      </c>
      <c r="N1773">
        <f>MONTH(Table1[[#This Row],[SaleDate]])</f>
        <v>7</v>
      </c>
      <c r="O1773" t="str">
        <f>TEXT(Table1[[#This Row],[SaleDate]],"MMM")</f>
        <v>Jul</v>
      </c>
    </row>
    <row r="1774" spans="1:15">
      <c r="A1774" s="1">
        <v>45132</v>
      </c>
      <c r="B1774" t="s">
        <v>23</v>
      </c>
      <c r="C1774" t="s">
        <v>19</v>
      </c>
      <c r="D1774">
        <v>2</v>
      </c>
      <c r="E1774" t="s">
        <v>7</v>
      </c>
      <c r="F1774">
        <v>33000</v>
      </c>
      <c r="G1774">
        <v>18000</v>
      </c>
      <c r="H1774">
        <f>Table1[[#This Row],[Qty]]*Table1[[#This Row],[SellingPrice]]</f>
        <v>66000</v>
      </c>
      <c r="I1774">
        <f>Table1[[#This Row],[Qty]]*Table1[[#This Row],[CostPrice]]</f>
        <v>36000</v>
      </c>
      <c r="J1774">
        <v>29790</v>
      </c>
      <c r="K1774">
        <v>209.99999999999997</v>
      </c>
      <c r="L1774" t="s">
        <v>8</v>
      </c>
      <c r="M1774" t="s">
        <v>28</v>
      </c>
      <c r="N1774">
        <f>MONTH(Table1[[#This Row],[SaleDate]])</f>
        <v>7</v>
      </c>
      <c r="O1774" t="str">
        <f>TEXT(Table1[[#This Row],[SaleDate]],"MMM")</f>
        <v>Jul</v>
      </c>
    </row>
    <row r="1775" spans="1:15">
      <c r="A1775" s="1">
        <v>45132</v>
      </c>
      <c r="B1775" t="s">
        <v>23</v>
      </c>
      <c r="C1775" t="s">
        <v>19</v>
      </c>
      <c r="D1775">
        <v>2</v>
      </c>
      <c r="E1775" t="s">
        <v>9</v>
      </c>
      <c r="F1775">
        <v>60000</v>
      </c>
      <c r="G1775">
        <v>31000</v>
      </c>
      <c r="H1775">
        <f>Table1[[#This Row],[Qty]]*Table1[[#This Row],[SellingPrice]]</f>
        <v>120000</v>
      </c>
      <c r="I1775">
        <f>Table1[[#This Row],[Qty]]*Table1[[#This Row],[CostPrice]]</f>
        <v>62000</v>
      </c>
      <c r="J1775">
        <v>57594</v>
      </c>
      <c r="K1775">
        <v>405.99999999999994</v>
      </c>
      <c r="L1775" t="s">
        <v>8</v>
      </c>
      <c r="M1775" t="s">
        <v>30</v>
      </c>
      <c r="N1775">
        <f>MONTH(Table1[[#This Row],[SaleDate]])</f>
        <v>7</v>
      </c>
      <c r="O1775" t="str">
        <f>TEXT(Table1[[#This Row],[SaleDate]],"MMM")</f>
        <v>Jul</v>
      </c>
    </row>
    <row r="1776" spans="1:15">
      <c r="A1776" s="1">
        <v>45132</v>
      </c>
      <c r="B1776" t="s">
        <v>23</v>
      </c>
      <c r="C1776" t="s">
        <v>19</v>
      </c>
      <c r="D1776">
        <v>2</v>
      </c>
      <c r="E1776" t="s">
        <v>10</v>
      </c>
      <c r="F1776">
        <v>89000</v>
      </c>
      <c r="G1776">
        <v>65000</v>
      </c>
      <c r="H1776">
        <f>Table1[[#This Row],[Qty]]*Table1[[#This Row],[SellingPrice]]</f>
        <v>178000</v>
      </c>
      <c r="I1776">
        <f>Table1[[#This Row],[Qty]]*Table1[[#This Row],[CostPrice]]</f>
        <v>130000</v>
      </c>
      <c r="J1776">
        <v>47664</v>
      </c>
      <c r="K1776">
        <v>335.99999999999994</v>
      </c>
      <c r="L1776" t="s">
        <v>8</v>
      </c>
      <c r="M1776" t="s">
        <v>29</v>
      </c>
      <c r="N1776">
        <f>MONTH(Table1[[#This Row],[SaleDate]])</f>
        <v>7</v>
      </c>
      <c r="O1776" t="str">
        <f>TEXT(Table1[[#This Row],[SaleDate]],"MMM")</f>
        <v>Jul</v>
      </c>
    </row>
    <row r="1777" spans="1:15">
      <c r="A1777" s="1">
        <v>45132</v>
      </c>
      <c r="B1777" t="s">
        <v>24</v>
      </c>
      <c r="C1777" t="s">
        <v>22</v>
      </c>
      <c r="D1777">
        <v>2</v>
      </c>
      <c r="E1777" t="s">
        <v>7</v>
      </c>
      <c r="F1777">
        <v>33000</v>
      </c>
      <c r="G1777">
        <v>18000</v>
      </c>
      <c r="H1777">
        <f>Table1[[#This Row],[Qty]]*Table1[[#This Row],[SellingPrice]]</f>
        <v>66000</v>
      </c>
      <c r="I1777">
        <f>Table1[[#This Row],[Qty]]*Table1[[#This Row],[CostPrice]]</f>
        <v>36000</v>
      </c>
      <c r="J1777">
        <v>29790</v>
      </c>
      <c r="K1777">
        <v>209.99999999999997</v>
      </c>
      <c r="L1777" t="s">
        <v>12</v>
      </c>
      <c r="M1777" t="s">
        <v>27</v>
      </c>
      <c r="N1777">
        <f>MONTH(Table1[[#This Row],[SaleDate]])</f>
        <v>7</v>
      </c>
      <c r="O1777" t="str">
        <f>TEXT(Table1[[#This Row],[SaleDate]],"MMM")</f>
        <v>Jul</v>
      </c>
    </row>
    <row r="1778" spans="1:15">
      <c r="A1778" s="1">
        <v>45132</v>
      </c>
      <c r="B1778" t="s">
        <v>24</v>
      </c>
      <c r="C1778" t="s">
        <v>22</v>
      </c>
      <c r="D1778">
        <v>2</v>
      </c>
      <c r="E1778" t="s">
        <v>9</v>
      </c>
      <c r="F1778">
        <v>60000</v>
      </c>
      <c r="G1778">
        <v>31000</v>
      </c>
      <c r="H1778">
        <f>Table1[[#This Row],[Qty]]*Table1[[#This Row],[SellingPrice]]</f>
        <v>120000</v>
      </c>
      <c r="I1778">
        <f>Table1[[#This Row],[Qty]]*Table1[[#This Row],[CostPrice]]</f>
        <v>62000</v>
      </c>
      <c r="J1778">
        <v>57594</v>
      </c>
      <c r="K1778">
        <v>405.99999999999994</v>
      </c>
      <c r="L1778" t="s">
        <v>12</v>
      </c>
      <c r="M1778" t="s">
        <v>30</v>
      </c>
      <c r="N1778">
        <f>MONTH(Table1[[#This Row],[SaleDate]])</f>
        <v>7</v>
      </c>
      <c r="O1778" t="str">
        <f>TEXT(Table1[[#This Row],[SaleDate]],"MMM")</f>
        <v>Jul</v>
      </c>
    </row>
    <row r="1779" spans="1:15">
      <c r="A1779" s="1">
        <v>45132</v>
      </c>
      <c r="B1779" t="s">
        <v>24</v>
      </c>
      <c r="C1779" t="s">
        <v>22</v>
      </c>
      <c r="D1779">
        <v>2</v>
      </c>
      <c r="E1779" t="s">
        <v>10</v>
      </c>
      <c r="F1779">
        <v>89000</v>
      </c>
      <c r="G1779">
        <v>65000</v>
      </c>
      <c r="H1779">
        <f>Table1[[#This Row],[Qty]]*Table1[[#This Row],[SellingPrice]]</f>
        <v>178000</v>
      </c>
      <c r="I1779">
        <f>Table1[[#This Row],[Qty]]*Table1[[#This Row],[CostPrice]]</f>
        <v>130000</v>
      </c>
      <c r="J1779">
        <v>47664</v>
      </c>
      <c r="K1779">
        <v>335.99999999999994</v>
      </c>
      <c r="L1779" t="s">
        <v>12</v>
      </c>
      <c r="M1779" t="s">
        <v>30</v>
      </c>
      <c r="N1779">
        <f>MONTH(Table1[[#This Row],[SaleDate]])</f>
        <v>7</v>
      </c>
      <c r="O1779" t="str">
        <f>TEXT(Table1[[#This Row],[SaleDate]],"MMM")</f>
        <v>Jul</v>
      </c>
    </row>
    <row r="1780" spans="1:15">
      <c r="A1780" s="1">
        <v>45132</v>
      </c>
      <c r="B1780" t="s">
        <v>25</v>
      </c>
      <c r="C1780" t="s">
        <v>21</v>
      </c>
      <c r="D1780">
        <v>2</v>
      </c>
      <c r="E1780" t="s">
        <v>7</v>
      </c>
      <c r="F1780">
        <v>33000</v>
      </c>
      <c r="G1780">
        <v>18000</v>
      </c>
      <c r="H1780">
        <f>Table1[[#This Row],[Qty]]*Table1[[#This Row],[SellingPrice]]</f>
        <v>66000</v>
      </c>
      <c r="I1780">
        <f>Table1[[#This Row],[Qty]]*Table1[[#This Row],[CostPrice]]</f>
        <v>36000</v>
      </c>
      <c r="J1780">
        <v>29790</v>
      </c>
      <c r="K1780">
        <v>209.99999999999997</v>
      </c>
      <c r="L1780" t="s">
        <v>13</v>
      </c>
      <c r="M1780" t="s">
        <v>29</v>
      </c>
      <c r="N1780">
        <f>MONTH(Table1[[#This Row],[SaleDate]])</f>
        <v>7</v>
      </c>
      <c r="O1780" t="str">
        <f>TEXT(Table1[[#This Row],[SaleDate]],"MMM")</f>
        <v>Jul</v>
      </c>
    </row>
    <row r="1781" spans="1:15">
      <c r="A1781" s="1">
        <v>45132</v>
      </c>
      <c r="B1781" t="s">
        <v>25</v>
      </c>
      <c r="C1781" t="s">
        <v>21</v>
      </c>
      <c r="D1781">
        <v>2</v>
      </c>
      <c r="E1781" t="s">
        <v>9</v>
      </c>
      <c r="F1781">
        <v>60000</v>
      </c>
      <c r="G1781">
        <v>31000</v>
      </c>
      <c r="H1781">
        <f>Table1[[#This Row],[Qty]]*Table1[[#This Row],[SellingPrice]]</f>
        <v>120000</v>
      </c>
      <c r="I1781">
        <f>Table1[[#This Row],[Qty]]*Table1[[#This Row],[CostPrice]]</f>
        <v>62000</v>
      </c>
      <c r="J1781">
        <v>57594</v>
      </c>
      <c r="K1781">
        <v>405.99999999999994</v>
      </c>
      <c r="L1781" t="s">
        <v>13</v>
      </c>
      <c r="M1781" t="s">
        <v>30</v>
      </c>
      <c r="N1781">
        <f>MONTH(Table1[[#This Row],[SaleDate]])</f>
        <v>7</v>
      </c>
      <c r="O1781" t="str">
        <f>TEXT(Table1[[#This Row],[SaleDate]],"MMM")</f>
        <v>Jul</v>
      </c>
    </row>
    <row r="1782" spans="1:15">
      <c r="A1782" s="1">
        <v>45132</v>
      </c>
      <c r="B1782" t="s">
        <v>25</v>
      </c>
      <c r="C1782" t="s">
        <v>21</v>
      </c>
      <c r="D1782">
        <v>2</v>
      </c>
      <c r="E1782" t="s">
        <v>10</v>
      </c>
      <c r="F1782">
        <v>89000</v>
      </c>
      <c r="G1782">
        <v>65000</v>
      </c>
      <c r="H1782">
        <f>Table1[[#This Row],[Qty]]*Table1[[#This Row],[SellingPrice]]</f>
        <v>178000</v>
      </c>
      <c r="I1782">
        <f>Table1[[#This Row],[Qty]]*Table1[[#This Row],[CostPrice]]</f>
        <v>130000</v>
      </c>
      <c r="J1782">
        <v>47664</v>
      </c>
      <c r="K1782">
        <v>335.99999999999994</v>
      </c>
      <c r="L1782" t="s">
        <v>13</v>
      </c>
      <c r="M1782" t="s">
        <v>30</v>
      </c>
      <c r="N1782">
        <f>MONTH(Table1[[#This Row],[SaleDate]])</f>
        <v>7</v>
      </c>
      <c r="O1782" t="str">
        <f>TEXT(Table1[[#This Row],[SaleDate]],"MMM")</f>
        <v>Jul</v>
      </c>
    </row>
    <row r="1783" spans="1:15">
      <c r="A1783" s="1">
        <v>45133</v>
      </c>
      <c r="B1783" t="s">
        <v>23</v>
      </c>
      <c r="C1783" t="s">
        <v>19</v>
      </c>
      <c r="D1783">
        <v>1</v>
      </c>
      <c r="E1783" t="s">
        <v>7</v>
      </c>
      <c r="F1783">
        <v>33000</v>
      </c>
      <c r="G1783">
        <v>18000</v>
      </c>
      <c r="H1783">
        <f>Table1[[#This Row],[Qty]]*Table1[[#This Row],[SellingPrice]]</f>
        <v>33000</v>
      </c>
      <c r="I1783">
        <f>Table1[[#This Row],[Qty]]*Table1[[#This Row],[CostPrice]]</f>
        <v>18000</v>
      </c>
      <c r="J1783">
        <v>14895</v>
      </c>
      <c r="K1783">
        <v>104.99999999999999</v>
      </c>
      <c r="L1783" t="s">
        <v>8</v>
      </c>
      <c r="M1783" t="s">
        <v>30</v>
      </c>
      <c r="N1783">
        <f>MONTH(Table1[[#This Row],[SaleDate]])</f>
        <v>7</v>
      </c>
      <c r="O1783" t="str">
        <f>TEXT(Table1[[#This Row],[SaleDate]],"MMM")</f>
        <v>Jul</v>
      </c>
    </row>
    <row r="1784" spans="1:15">
      <c r="A1784" s="1">
        <v>45133</v>
      </c>
      <c r="B1784" t="s">
        <v>23</v>
      </c>
      <c r="C1784" t="s">
        <v>19</v>
      </c>
      <c r="D1784">
        <v>1</v>
      </c>
      <c r="E1784" t="s">
        <v>9</v>
      </c>
      <c r="F1784">
        <v>60000</v>
      </c>
      <c r="G1784">
        <v>31000</v>
      </c>
      <c r="H1784">
        <f>Table1[[#This Row],[Qty]]*Table1[[#This Row],[SellingPrice]]</f>
        <v>60000</v>
      </c>
      <c r="I1784">
        <f>Table1[[#This Row],[Qty]]*Table1[[#This Row],[CostPrice]]</f>
        <v>31000</v>
      </c>
      <c r="J1784">
        <v>28797</v>
      </c>
      <c r="K1784">
        <v>202.99999999999997</v>
      </c>
      <c r="L1784" t="s">
        <v>8</v>
      </c>
      <c r="M1784" t="s">
        <v>29</v>
      </c>
      <c r="N1784">
        <f>MONTH(Table1[[#This Row],[SaleDate]])</f>
        <v>7</v>
      </c>
      <c r="O1784" t="str">
        <f>TEXT(Table1[[#This Row],[SaleDate]],"MMM")</f>
        <v>Jul</v>
      </c>
    </row>
    <row r="1785" spans="1:15">
      <c r="A1785" s="1">
        <v>45133</v>
      </c>
      <c r="B1785" t="s">
        <v>23</v>
      </c>
      <c r="C1785" t="s">
        <v>19</v>
      </c>
      <c r="D1785">
        <v>1</v>
      </c>
      <c r="E1785" t="s">
        <v>10</v>
      </c>
      <c r="F1785">
        <v>89000</v>
      </c>
      <c r="G1785">
        <v>65000</v>
      </c>
      <c r="H1785">
        <f>Table1[[#This Row],[Qty]]*Table1[[#This Row],[SellingPrice]]</f>
        <v>89000</v>
      </c>
      <c r="I1785">
        <f>Table1[[#This Row],[Qty]]*Table1[[#This Row],[CostPrice]]</f>
        <v>65000</v>
      </c>
      <c r="J1785">
        <v>23832</v>
      </c>
      <c r="K1785">
        <v>167.99999999999997</v>
      </c>
      <c r="L1785" t="s">
        <v>8</v>
      </c>
      <c r="M1785" t="s">
        <v>29</v>
      </c>
      <c r="N1785">
        <f>MONTH(Table1[[#This Row],[SaleDate]])</f>
        <v>7</v>
      </c>
      <c r="O1785" t="str">
        <f>TEXT(Table1[[#This Row],[SaleDate]],"MMM")</f>
        <v>Jul</v>
      </c>
    </row>
    <row r="1786" spans="1:15">
      <c r="A1786" s="1">
        <v>45133</v>
      </c>
      <c r="B1786" t="s">
        <v>24</v>
      </c>
      <c r="C1786" t="s">
        <v>22</v>
      </c>
      <c r="D1786">
        <v>1</v>
      </c>
      <c r="E1786" t="s">
        <v>7</v>
      </c>
      <c r="F1786">
        <v>33000</v>
      </c>
      <c r="G1786">
        <v>18000</v>
      </c>
      <c r="H1786">
        <f>Table1[[#This Row],[Qty]]*Table1[[#This Row],[SellingPrice]]</f>
        <v>33000</v>
      </c>
      <c r="I1786">
        <f>Table1[[#This Row],[Qty]]*Table1[[#This Row],[CostPrice]]</f>
        <v>18000</v>
      </c>
      <c r="J1786">
        <v>14895</v>
      </c>
      <c r="K1786">
        <v>104.99999999999999</v>
      </c>
      <c r="L1786" t="s">
        <v>12</v>
      </c>
      <c r="M1786" t="s">
        <v>27</v>
      </c>
      <c r="N1786">
        <f>MONTH(Table1[[#This Row],[SaleDate]])</f>
        <v>7</v>
      </c>
      <c r="O1786" t="str">
        <f>TEXT(Table1[[#This Row],[SaleDate]],"MMM")</f>
        <v>Jul</v>
      </c>
    </row>
    <row r="1787" spans="1:15">
      <c r="A1787" s="1">
        <v>45133</v>
      </c>
      <c r="B1787" t="s">
        <v>24</v>
      </c>
      <c r="C1787" t="s">
        <v>22</v>
      </c>
      <c r="D1787">
        <v>1</v>
      </c>
      <c r="E1787" t="s">
        <v>9</v>
      </c>
      <c r="F1787">
        <v>60000</v>
      </c>
      <c r="G1787">
        <v>31000</v>
      </c>
      <c r="H1787">
        <f>Table1[[#This Row],[Qty]]*Table1[[#This Row],[SellingPrice]]</f>
        <v>60000</v>
      </c>
      <c r="I1787">
        <f>Table1[[#This Row],[Qty]]*Table1[[#This Row],[CostPrice]]</f>
        <v>31000</v>
      </c>
      <c r="J1787">
        <v>28797</v>
      </c>
      <c r="K1787">
        <v>202.99999999999997</v>
      </c>
      <c r="L1787" t="s">
        <v>12</v>
      </c>
      <c r="M1787" t="s">
        <v>29</v>
      </c>
      <c r="N1787">
        <f>MONTH(Table1[[#This Row],[SaleDate]])</f>
        <v>7</v>
      </c>
      <c r="O1787" t="str">
        <f>TEXT(Table1[[#This Row],[SaleDate]],"MMM")</f>
        <v>Jul</v>
      </c>
    </row>
    <row r="1788" spans="1:15">
      <c r="A1788" s="1">
        <v>45133</v>
      </c>
      <c r="B1788" t="s">
        <v>24</v>
      </c>
      <c r="C1788" t="s">
        <v>22</v>
      </c>
      <c r="D1788">
        <v>1</v>
      </c>
      <c r="E1788" t="s">
        <v>10</v>
      </c>
      <c r="F1788">
        <v>89000</v>
      </c>
      <c r="G1788">
        <v>65000</v>
      </c>
      <c r="H1788">
        <f>Table1[[#This Row],[Qty]]*Table1[[#This Row],[SellingPrice]]</f>
        <v>89000</v>
      </c>
      <c r="I1788">
        <f>Table1[[#This Row],[Qty]]*Table1[[#This Row],[CostPrice]]</f>
        <v>65000</v>
      </c>
      <c r="J1788">
        <v>23832</v>
      </c>
      <c r="K1788">
        <v>167.99999999999997</v>
      </c>
      <c r="L1788" t="s">
        <v>12</v>
      </c>
      <c r="M1788" t="s">
        <v>29</v>
      </c>
      <c r="N1788">
        <f>MONTH(Table1[[#This Row],[SaleDate]])</f>
        <v>7</v>
      </c>
      <c r="O1788" t="str">
        <f>TEXT(Table1[[#This Row],[SaleDate]],"MMM")</f>
        <v>Jul</v>
      </c>
    </row>
    <row r="1789" spans="1:15">
      <c r="A1789" s="1">
        <v>45133</v>
      </c>
      <c r="B1789" t="s">
        <v>25</v>
      </c>
      <c r="C1789" t="s">
        <v>21</v>
      </c>
      <c r="D1789">
        <v>1</v>
      </c>
      <c r="E1789" t="s">
        <v>7</v>
      </c>
      <c r="F1789">
        <v>33000</v>
      </c>
      <c r="G1789">
        <v>18000</v>
      </c>
      <c r="H1789">
        <f>Table1[[#This Row],[Qty]]*Table1[[#This Row],[SellingPrice]]</f>
        <v>33000</v>
      </c>
      <c r="I1789">
        <f>Table1[[#This Row],[Qty]]*Table1[[#This Row],[CostPrice]]</f>
        <v>18000</v>
      </c>
      <c r="J1789">
        <v>14895</v>
      </c>
      <c r="K1789">
        <v>104.99999999999999</v>
      </c>
      <c r="L1789" t="s">
        <v>13</v>
      </c>
      <c r="M1789" t="s">
        <v>27</v>
      </c>
      <c r="N1789">
        <f>MONTH(Table1[[#This Row],[SaleDate]])</f>
        <v>7</v>
      </c>
      <c r="O1789" t="str">
        <f>TEXT(Table1[[#This Row],[SaleDate]],"MMM")</f>
        <v>Jul</v>
      </c>
    </row>
    <row r="1790" spans="1:15">
      <c r="A1790" s="1">
        <v>45133</v>
      </c>
      <c r="B1790" t="s">
        <v>25</v>
      </c>
      <c r="C1790" t="s">
        <v>21</v>
      </c>
      <c r="D1790">
        <v>1</v>
      </c>
      <c r="E1790" t="s">
        <v>9</v>
      </c>
      <c r="F1790">
        <v>60000</v>
      </c>
      <c r="G1790">
        <v>31000</v>
      </c>
      <c r="H1790">
        <f>Table1[[#This Row],[Qty]]*Table1[[#This Row],[SellingPrice]]</f>
        <v>60000</v>
      </c>
      <c r="I1790">
        <f>Table1[[#This Row],[Qty]]*Table1[[#This Row],[CostPrice]]</f>
        <v>31000</v>
      </c>
      <c r="J1790">
        <v>28797</v>
      </c>
      <c r="K1790">
        <v>202.99999999999997</v>
      </c>
      <c r="L1790" t="s">
        <v>13</v>
      </c>
      <c r="M1790" t="s">
        <v>28</v>
      </c>
      <c r="N1790">
        <f>MONTH(Table1[[#This Row],[SaleDate]])</f>
        <v>7</v>
      </c>
      <c r="O1790" t="str">
        <f>TEXT(Table1[[#This Row],[SaleDate]],"MMM")</f>
        <v>Jul</v>
      </c>
    </row>
    <row r="1791" spans="1:15">
      <c r="A1791" s="1">
        <v>45133</v>
      </c>
      <c r="B1791" t="s">
        <v>25</v>
      </c>
      <c r="C1791" t="s">
        <v>21</v>
      </c>
      <c r="D1791">
        <v>1</v>
      </c>
      <c r="E1791" t="s">
        <v>10</v>
      </c>
      <c r="F1791">
        <v>89000</v>
      </c>
      <c r="G1791">
        <v>65000</v>
      </c>
      <c r="H1791">
        <f>Table1[[#This Row],[Qty]]*Table1[[#This Row],[SellingPrice]]</f>
        <v>89000</v>
      </c>
      <c r="I1791">
        <f>Table1[[#This Row],[Qty]]*Table1[[#This Row],[CostPrice]]</f>
        <v>65000</v>
      </c>
      <c r="J1791">
        <v>23832</v>
      </c>
      <c r="K1791">
        <v>167.99999999999997</v>
      </c>
      <c r="L1791" t="s">
        <v>13</v>
      </c>
      <c r="M1791" t="s">
        <v>30</v>
      </c>
      <c r="N1791">
        <f>MONTH(Table1[[#This Row],[SaleDate]])</f>
        <v>7</v>
      </c>
      <c r="O1791" t="str">
        <f>TEXT(Table1[[#This Row],[SaleDate]],"MMM")</f>
        <v>Jul</v>
      </c>
    </row>
    <row r="1792" spans="1:15">
      <c r="A1792" s="1">
        <v>45134</v>
      </c>
      <c r="B1792" t="s">
        <v>23</v>
      </c>
      <c r="C1792" t="s">
        <v>19</v>
      </c>
      <c r="D1792">
        <v>1</v>
      </c>
      <c r="E1792" t="s">
        <v>7</v>
      </c>
      <c r="F1792">
        <v>33000</v>
      </c>
      <c r="G1792">
        <v>18000</v>
      </c>
      <c r="H1792">
        <f>Table1[[#This Row],[Qty]]*Table1[[#This Row],[SellingPrice]]</f>
        <v>33000</v>
      </c>
      <c r="I1792">
        <f>Table1[[#This Row],[Qty]]*Table1[[#This Row],[CostPrice]]</f>
        <v>18000</v>
      </c>
      <c r="J1792">
        <v>14895</v>
      </c>
      <c r="K1792">
        <v>104.99999999999999</v>
      </c>
      <c r="L1792" t="s">
        <v>8</v>
      </c>
      <c r="M1792" t="s">
        <v>30</v>
      </c>
      <c r="N1792">
        <f>MONTH(Table1[[#This Row],[SaleDate]])</f>
        <v>7</v>
      </c>
      <c r="O1792" t="str">
        <f>TEXT(Table1[[#This Row],[SaleDate]],"MMM")</f>
        <v>Jul</v>
      </c>
    </row>
    <row r="1793" spans="1:15">
      <c r="A1793" s="1">
        <v>45134</v>
      </c>
      <c r="B1793" t="s">
        <v>23</v>
      </c>
      <c r="C1793" t="s">
        <v>19</v>
      </c>
      <c r="D1793">
        <v>1</v>
      </c>
      <c r="E1793" t="s">
        <v>9</v>
      </c>
      <c r="F1793">
        <v>60000</v>
      </c>
      <c r="G1793">
        <v>31000</v>
      </c>
      <c r="H1793">
        <f>Table1[[#This Row],[Qty]]*Table1[[#This Row],[SellingPrice]]</f>
        <v>60000</v>
      </c>
      <c r="I1793">
        <f>Table1[[#This Row],[Qty]]*Table1[[#This Row],[CostPrice]]</f>
        <v>31000</v>
      </c>
      <c r="J1793">
        <v>28797</v>
      </c>
      <c r="K1793">
        <v>202.99999999999997</v>
      </c>
      <c r="L1793" t="s">
        <v>8</v>
      </c>
      <c r="M1793" t="s">
        <v>29</v>
      </c>
      <c r="N1793">
        <f>MONTH(Table1[[#This Row],[SaleDate]])</f>
        <v>7</v>
      </c>
      <c r="O1793" t="str">
        <f>TEXT(Table1[[#This Row],[SaleDate]],"MMM")</f>
        <v>Jul</v>
      </c>
    </row>
    <row r="1794" spans="1:15">
      <c r="A1794" s="1">
        <v>45134</v>
      </c>
      <c r="B1794" t="s">
        <v>23</v>
      </c>
      <c r="C1794" t="s">
        <v>19</v>
      </c>
      <c r="D1794">
        <v>1</v>
      </c>
      <c r="E1794" t="s">
        <v>10</v>
      </c>
      <c r="F1794">
        <v>89000</v>
      </c>
      <c r="G1794">
        <v>65000</v>
      </c>
      <c r="H1794">
        <f>Table1[[#This Row],[Qty]]*Table1[[#This Row],[SellingPrice]]</f>
        <v>89000</v>
      </c>
      <c r="I1794">
        <f>Table1[[#This Row],[Qty]]*Table1[[#This Row],[CostPrice]]</f>
        <v>65000</v>
      </c>
      <c r="J1794">
        <v>23832</v>
      </c>
      <c r="K1794">
        <v>167.99999999999997</v>
      </c>
      <c r="L1794" t="s">
        <v>8</v>
      </c>
      <c r="M1794" t="s">
        <v>30</v>
      </c>
      <c r="N1794">
        <f>MONTH(Table1[[#This Row],[SaleDate]])</f>
        <v>7</v>
      </c>
      <c r="O1794" t="str">
        <f>TEXT(Table1[[#This Row],[SaleDate]],"MMM")</f>
        <v>Jul</v>
      </c>
    </row>
    <row r="1795" spans="1:15">
      <c r="A1795" s="1">
        <v>45134</v>
      </c>
      <c r="B1795" t="s">
        <v>24</v>
      </c>
      <c r="C1795" t="s">
        <v>22</v>
      </c>
      <c r="D1795">
        <v>1</v>
      </c>
      <c r="E1795" t="s">
        <v>7</v>
      </c>
      <c r="F1795">
        <v>33000</v>
      </c>
      <c r="G1795">
        <v>18000</v>
      </c>
      <c r="H1795">
        <f>Table1[[#This Row],[Qty]]*Table1[[#This Row],[SellingPrice]]</f>
        <v>33000</v>
      </c>
      <c r="I1795">
        <f>Table1[[#This Row],[Qty]]*Table1[[#This Row],[CostPrice]]</f>
        <v>18000</v>
      </c>
      <c r="J1795">
        <v>14895</v>
      </c>
      <c r="K1795">
        <v>104.99999999999999</v>
      </c>
      <c r="L1795" t="s">
        <v>12</v>
      </c>
      <c r="M1795" t="s">
        <v>30</v>
      </c>
      <c r="N1795">
        <f>MONTH(Table1[[#This Row],[SaleDate]])</f>
        <v>7</v>
      </c>
      <c r="O1795" t="str">
        <f>TEXT(Table1[[#This Row],[SaleDate]],"MMM")</f>
        <v>Jul</v>
      </c>
    </row>
    <row r="1796" spans="1:15">
      <c r="A1796" s="1">
        <v>45134</v>
      </c>
      <c r="B1796" t="s">
        <v>24</v>
      </c>
      <c r="C1796" t="s">
        <v>22</v>
      </c>
      <c r="D1796">
        <v>1</v>
      </c>
      <c r="E1796" t="s">
        <v>9</v>
      </c>
      <c r="F1796">
        <v>60000</v>
      </c>
      <c r="G1796">
        <v>31000</v>
      </c>
      <c r="H1796">
        <f>Table1[[#This Row],[Qty]]*Table1[[#This Row],[SellingPrice]]</f>
        <v>60000</v>
      </c>
      <c r="I1796">
        <f>Table1[[#This Row],[Qty]]*Table1[[#This Row],[CostPrice]]</f>
        <v>31000</v>
      </c>
      <c r="J1796">
        <v>28797</v>
      </c>
      <c r="K1796">
        <v>202.99999999999997</v>
      </c>
      <c r="L1796" t="s">
        <v>12</v>
      </c>
      <c r="M1796" t="s">
        <v>27</v>
      </c>
      <c r="N1796">
        <f>MONTH(Table1[[#This Row],[SaleDate]])</f>
        <v>7</v>
      </c>
      <c r="O1796" t="str">
        <f>TEXT(Table1[[#This Row],[SaleDate]],"MMM")</f>
        <v>Jul</v>
      </c>
    </row>
    <row r="1797" spans="1:15">
      <c r="A1797" s="1">
        <v>45134</v>
      </c>
      <c r="B1797" t="s">
        <v>24</v>
      </c>
      <c r="C1797" t="s">
        <v>22</v>
      </c>
      <c r="D1797">
        <v>1</v>
      </c>
      <c r="E1797" t="s">
        <v>10</v>
      </c>
      <c r="F1797">
        <v>89000</v>
      </c>
      <c r="G1797">
        <v>65000</v>
      </c>
      <c r="H1797">
        <f>Table1[[#This Row],[Qty]]*Table1[[#This Row],[SellingPrice]]</f>
        <v>89000</v>
      </c>
      <c r="I1797">
        <f>Table1[[#This Row],[Qty]]*Table1[[#This Row],[CostPrice]]</f>
        <v>65000</v>
      </c>
      <c r="J1797">
        <v>23832</v>
      </c>
      <c r="K1797">
        <v>167.99999999999997</v>
      </c>
      <c r="L1797" t="s">
        <v>12</v>
      </c>
      <c r="M1797" t="s">
        <v>29</v>
      </c>
      <c r="N1797">
        <f>MONTH(Table1[[#This Row],[SaleDate]])</f>
        <v>7</v>
      </c>
      <c r="O1797" t="str">
        <f>TEXT(Table1[[#This Row],[SaleDate]],"MMM")</f>
        <v>Jul</v>
      </c>
    </row>
    <row r="1798" spans="1:15">
      <c r="A1798" s="1">
        <v>45134</v>
      </c>
      <c r="B1798" t="s">
        <v>25</v>
      </c>
      <c r="C1798" t="s">
        <v>21</v>
      </c>
      <c r="D1798">
        <v>1</v>
      </c>
      <c r="E1798" t="s">
        <v>7</v>
      </c>
      <c r="F1798">
        <v>33000</v>
      </c>
      <c r="G1798">
        <v>18000</v>
      </c>
      <c r="H1798">
        <f>Table1[[#This Row],[Qty]]*Table1[[#This Row],[SellingPrice]]</f>
        <v>33000</v>
      </c>
      <c r="I1798">
        <f>Table1[[#This Row],[Qty]]*Table1[[#This Row],[CostPrice]]</f>
        <v>18000</v>
      </c>
      <c r="J1798">
        <v>14895</v>
      </c>
      <c r="K1798">
        <v>104.99999999999999</v>
      </c>
      <c r="L1798" t="s">
        <v>13</v>
      </c>
      <c r="M1798" t="s">
        <v>27</v>
      </c>
      <c r="N1798">
        <f>MONTH(Table1[[#This Row],[SaleDate]])</f>
        <v>7</v>
      </c>
      <c r="O1798" t="str">
        <f>TEXT(Table1[[#This Row],[SaleDate]],"MMM")</f>
        <v>Jul</v>
      </c>
    </row>
    <row r="1799" spans="1:15">
      <c r="A1799" s="1">
        <v>45134</v>
      </c>
      <c r="B1799" t="s">
        <v>25</v>
      </c>
      <c r="C1799" t="s">
        <v>21</v>
      </c>
      <c r="D1799">
        <v>1</v>
      </c>
      <c r="E1799" t="s">
        <v>9</v>
      </c>
      <c r="F1799">
        <v>60000</v>
      </c>
      <c r="G1799">
        <v>31000</v>
      </c>
      <c r="H1799">
        <f>Table1[[#This Row],[Qty]]*Table1[[#This Row],[SellingPrice]]</f>
        <v>60000</v>
      </c>
      <c r="I1799">
        <f>Table1[[#This Row],[Qty]]*Table1[[#This Row],[CostPrice]]</f>
        <v>31000</v>
      </c>
      <c r="J1799">
        <v>28797</v>
      </c>
      <c r="K1799">
        <v>202.99999999999997</v>
      </c>
      <c r="L1799" t="s">
        <v>13</v>
      </c>
      <c r="M1799" t="s">
        <v>30</v>
      </c>
      <c r="N1799">
        <f>MONTH(Table1[[#This Row],[SaleDate]])</f>
        <v>7</v>
      </c>
      <c r="O1799" t="str">
        <f>TEXT(Table1[[#This Row],[SaleDate]],"MMM")</f>
        <v>Jul</v>
      </c>
    </row>
    <row r="1800" spans="1:15">
      <c r="A1800" s="1">
        <v>45134</v>
      </c>
      <c r="B1800" t="s">
        <v>25</v>
      </c>
      <c r="C1800" t="s">
        <v>21</v>
      </c>
      <c r="D1800">
        <v>1</v>
      </c>
      <c r="E1800" t="s">
        <v>10</v>
      </c>
      <c r="F1800">
        <v>89000</v>
      </c>
      <c r="G1800">
        <v>65000</v>
      </c>
      <c r="H1800">
        <f>Table1[[#This Row],[Qty]]*Table1[[#This Row],[SellingPrice]]</f>
        <v>89000</v>
      </c>
      <c r="I1800">
        <f>Table1[[#This Row],[Qty]]*Table1[[#This Row],[CostPrice]]</f>
        <v>65000</v>
      </c>
      <c r="J1800">
        <v>23832</v>
      </c>
      <c r="K1800">
        <v>167.99999999999997</v>
      </c>
      <c r="L1800" t="s">
        <v>13</v>
      </c>
      <c r="M1800" t="s">
        <v>30</v>
      </c>
      <c r="N1800">
        <f>MONTH(Table1[[#This Row],[SaleDate]])</f>
        <v>7</v>
      </c>
      <c r="O1800" t="str">
        <f>TEXT(Table1[[#This Row],[SaleDate]],"MMM")</f>
        <v>Jul</v>
      </c>
    </row>
    <row r="1801" spans="1:15">
      <c r="A1801" s="1">
        <v>45135</v>
      </c>
      <c r="B1801" t="s">
        <v>23</v>
      </c>
      <c r="C1801" t="s">
        <v>19</v>
      </c>
      <c r="D1801">
        <v>2</v>
      </c>
      <c r="E1801" t="s">
        <v>7</v>
      </c>
      <c r="F1801">
        <v>33000</v>
      </c>
      <c r="G1801">
        <v>18000</v>
      </c>
      <c r="H1801">
        <f>Table1[[#This Row],[Qty]]*Table1[[#This Row],[SellingPrice]]</f>
        <v>66000</v>
      </c>
      <c r="I1801">
        <f>Table1[[#This Row],[Qty]]*Table1[[#This Row],[CostPrice]]</f>
        <v>36000</v>
      </c>
      <c r="J1801">
        <v>29790</v>
      </c>
      <c r="K1801">
        <v>209.99999999999997</v>
      </c>
      <c r="L1801" t="s">
        <v>8</v>
      </c>
      <c r="M1801" t="s">
        <v>30</v>
      </c>
      <c r="N1801">
        <f>MONTH(Table1[[#This Row],[SaleDate]])</f>
        <v>7</v>
      </c>
      <c r="O1801" t="str">
        <f>TEXT(Table1[[#This Row],[SaleDate]],"MMM")</f>
        <v>Jul</v>
      </c>
    </row>
    <row r="1802" spans="1:15">
      <c r="A1802" s="1">
        <v>45135</v>
      </c>
      <c r="B1802" t="s">
        <v>23</v>
      </c>
      <c r="C1802" t="s">
        <v>19</v>
      </c>
      <c r="D1802">
        <v>2</v>
      </c>
      <c r="E1802" t="s">
        <v>9</v>
      </c>
      <c r="F1802">
        <v>60000</v>
      </c>
      <c r="G1802">
        <v>31000</v>
      </c>
      <c r="H1802">
        <f>Table1[[#This Row],[Qty]]*Table1[[#This Row],[SellingPrice]]</f>
        <v>120000</v>
      </c>
      <c r="I1802">
        <f>Table1[[#This Row],[Qty]]*Table1[[#This Row],[CostPrice]]</f>
        <v>62000</v>
      </c>
      <c r="J1802">
        <v>57594</v>
      </c>
      <c r="K1802">
        <v>405.99999999999994</v>
      </c>
      <c r="L1802" t="s">
        <v>8</v>
      </c>
      <c r="M1802" t="s">
        <v>27</v>
      </c>
      <c r="N1802">
        <f>MONTH(Table1[[#This Row],[SaleDate]])</f>
        <v>7</v>
      </c>
      <c r="O1802" t="str">
        <f>TEXT(Table1[[#This Row],[SaleDate]],"MMM")</f>
        <v>Jul</v>
      </c>
    </row>
    <row r="1803" spans="1:15">
      <c r="A1803" s="1">
        <v>45135</v>
      </c>
      <c r="B1803" t="s">
        <v>23</v>
      </c>
      <c r="C1803" t="s">
        <v>19</v>
      </c>
      <c r="D1803">
        <v>2</v>
      </c>
      <c r="E1803" t="s">
        <v>10</v>
      </c>
      <c r="F1803">
        <v>89000</v>
      </c>
      <c r="G1803">
        <v>65000</v>
      </c>
      <c r="H1803">
        <f>Table1[[#This Row],[Qty]]*Table1[[#This Row],[SellingPrice]]</f>
        <v>178000</v>
      </c>
      <c r="I1803">
        <f>Table1[[#This Row],[Qty]]*Table1[[#This Row],[CostPrice]]</f>
        <v>130000</v>
      </c>
      <c r="J1803">
        <v>47664</v>
      </c>
      <c r="K1803">
        <v>335.99999999999994</v>
      </c>
      <c r="L1803" t="s">
        <v>8</v>
      </c>
      <c r="M1803" t="s">
        <v>28</v>
      </c>
      <c r="N1803">
        <f>MONTH(Table1[[#This Row],[SaleDate]])</f>
        <v>7</v>
      </c>
      <c r="O1803" t="str">
        <f>TEXT(Table1[[#This Row],[SaleDate]],"MMM")</f>
        <v>Jul</v>
      </c>
    </row>
    <row r="1804" spans="1:15">
      <c r="A1804" s="1">
        <v>45135</v>
      </c>
      <c r="B1804" t="s">
        <v>24</v>
      </c>
      <c r="C1804" t="s">
        <v>22</v>
      </c>
      <c r="D1804">
        <v>2</v>
      </c>
      <c r="E1804" t="s">
        <v>7</v>
      </c>
      <c r="F1804">
        <v>33000</v>
      </c>
      <c r="G1804">
        <v>18000</v>
      </c>
      <c r="H1804">
        <f>Table1[[#This Row],[Qty]]*Table1[[#This Row],[SellingPrice]]</f>
        <v>66000</v>
      </c>
      <c r="I1804">
        <f>Table1[[#This Row],[Qty]]*Table1[[#This Row],[CostPrice]]</f>
        <v>36000</v>
      </c>
      <c r="J1804">
        <v>29790</v>
      </c>
      <c r="K1804">
        <v>209.99999999999997</v>
      </c>
      <c r="L1804" t="s">
        <v>12</v>
      </c>
      <c r="M1804" t="s">
        <v>28</v>
      </c>
      <c r="N1804">
        <f>MONTH(Table1[[#This Row],[SaleDate]])</f>
        <v>7</v>
      </c>
      <c r="O1804" t="str">
        <f>TEXT(Table1[[#This Row],[SaleDate]],"MMM")</f>
        <v>Jul</v>
      </c>
    </row>
    <row r="1805" spans="1:15">
      <c r="A1805" s="1">
        <v>45135</v>
      </c>
      <c r="B1805" t="s">
        <v>24</v>
      </c>
      <c r="C1805" t="s">
        <v>22</v>
      </c>
      <c r="D1805">
        <v>2</v>
      </c>
      <c r="E1805" t="s">
        <v>9</v>
      </c>
      <c r="F1805">
        <v>60000</v>
      </c>
      <c r="G1805">
        <v>31000</v>
      </c>
      <c r="H1805">
        <f>Table1[[#This Row],[Qty]]*Table1[[#This Row],[SellingPrice]]</f>
        <v>120000</v>
      </c>
      <c r="I1805">
        <f>Table1[[#This Row],[Qty]]*Table1[[#This Row],[CostPrice]]</f>
        <v>62000</v>
      </c>
      <c r="J1805">
        <v>57594</v>
      </c>
      <c r="K1805">
        <v>405.99999999999994</v>
      </c>
      <c r="L1805" t="s">
        <v>12</v>
      </c>
      <c r="M1805" t="s">
        <v>28</v>
      </c>
      <c r="N1805">
        <f>MONTH(Table1[[#This Row],[SaleDate]])</f>
        <v>7</v>
      </c>
      <c r="O1805" t="str">
        <f>TEXT(Table1[[#This Row],[SaleDate]],"MMM")</f>
        <v>Jul</v>
      </c>
    </row>
    <row r="1806" spans="1:15">
      <c r="A1806" s="1">
        <v>45135</v>
      </c>
      <c r="B1806" t="s">
        <v>24</v>
      </c>
      <c r="C1806" t="s">
        <v>22</v>
      </c>
      <c r="D1806">
        <v>2</v>
      </c>
      <c r="E1806" t="s">
        <v>10</v>
      </c>
      <c r="F1806">
        <v>89000</v>
      </c>
      <c r="G1806">
        <v>65000</v>
      </c>
      <c r="H1806">
        <f>Table1[[#This Row],[Qty]]*Table1[[#This Row],[SellingPrice]]</f>
        <v>178000</v>
      </c>
      <c r="I1806">
        <f>Table1[[#This Row],[Qty]]*Table1[[#This Row],[CostPrice]]</f>
        <v>130000</v>
      </c>
      <c r="J1806">
        <v>47664</v>
      </c>
      <c r="K1806">
        <v>335.99999999999994</v>
      </c>
      <c r="L1806" t="s">
        <v>12</v>
      </c>
      <c r="M1806" t="s">
        <v>29</v>
      </c>
      <c r="N1806">
        <f>MONTH(Table1[[#This Row],[SaleDate]])</f>
        <v>7</v>
      </c>
      <c r="O1806" t="str">
        <f>TEXT(Table1[[#This Row],[SaleDate]],"MMM")</f>
        <v>Jul</v>
      </c>
    </row>
    <row r="1807" spans="1:15">
      <c r="A1807" s="1">
        <v>45135</v>
      </c>
      <c r="B1807" t="s">
        <v>25</v>
      </c>
      <c r="C1807" t="s">
        <v>21</v>
      </c>
      <c r="D1807">
        <v>2</v>
      </c>
      <c r="E1807" t="s">
        <v>7</v>
      </c>
      <c r="F1807">
        <v>33000</v>
      </c>
      <c r="G1807">
        <v>18000</v>
      </c>
      <c r="H1807">
        <f>Table1[[#This Row],[Qty]]*Table1[[#This Row],[SellingPrice]]</f>
        <v>66000</v>
      </c>
      <c r="I1807">
        <f>Table1[[#This Row],[Qty]]*Table1[[#This Row],[CostPrice]]</f>
        <v>36000</v>
      </c>
      <c r="J1807">
        <v>29790</v>
      </c>
      <c r="K1807">
        <v>209.99999999999997</v>
      </c>
      <c r="L1807" t="s">
        <v>13</v>
      </c>
      <c r="M1807" t="s">
        <v>30</v>
      </c>
      <c r="N1807">
        <f>MONTH(Table1[[#This Row],[SaleDate]])</f>
        <v>7</v>
      </c>
      <c r="O1807" t="str">
        <f>TEXT(Table1[[#This Row],[SaleDate]],"MMM")</f>
        <v>Jul</v>
      </c>
    </row>
    <row r="1808" spans="1:15">
      <c r="A1808" s="1">
        <v>45135</v>
      </c>
      <c r="B1808" t="s">
        <v>25</v>
      </c>
      <c r="C1808" t="s">
        <v>21</v>
      </c>
      <c r="D1808">
        <v>2</v>
      </c>
      <c r="E1808" t="s">
        <v>9</v>
      </c>
      <c r="F1808">
        <v>60000</v>
      </c>
      <c r="G1808">
        <v>31000</v>
      </c>
      <c r="H1808">
        <f>Table1[[#This Row],[Qty]]*Table1[[#This Row],[SellingPrice]]</f>
        <v>120000</v>
      </c>
      <c r="I1808">
        <f>Table1[[#This Row],[Qty]]*Table1[[#This Row],[CostPrice]]</f>
        <v>62000</v>
      </c>
      <c r="J1808">
        <v>57594</v>
      </c>
      <c r="K1808">
        <v>405.99999999999994</v>
      </c>
      <c r="L1808" t="s">
        <v>13</v>
      </c>
      <c r="M1808" t="s">
        <v>30</v>
      </c>
      <c r="N1808">
        <f>MONTH(Table1[[#This Row],[SaleDate]])</f>
        <v>7</v>
      </c>
      <c r="O1808" t="str">
        <f>TEXT(Table1[[#This Row],[SaleDate]],"MMM")</f>
        <v>Jul</v>
      </c>
    </row>
    <row r="1809" spans="1:15">
      <c r="A1809" s="1">
        <v>45135</v>
      </c>
      <c r="B1809" t="s">
        <v>25</v>
      </c>
      <c r="C1809" t="s">
        <v>21</v>
      </c>
      <c r="D1809">
        <v>2</v>
      </c>
      <c r="E1809" t="s">
        <v>10</v>
      </c>
      <c r="F1809">
        <v>89000</v>
      </c>
      <c r="G1809">
        <v>65000</v>
      </c>
      <c r="H1809">
        <f>Table1[[#This Row],[Qty]]*Table1[[#This Row],[SellingPrice]]</f>
        <v>178000</v>
      </c>
      <c r="I1809">
        <f>Table1[[#This Row],[Qty]]*Table1[[#This Row],[CostPrice]]</f>
        <v>130000</v>
      </c>
      <c r="J1809">
        <v>47664</v>
      </c>
      <c r="K1809">
        <v>335.99999999999994</v>
      </c>
      <c r="L1809" t="s">
        <v>13</v>
      </c>
      <c r="M1809" t="s">
        <v>29</v>
      </c>
      <c r="N1809">
        <f>MONTH(Table1[[#This Row],[SaleDate]])</f>
        <v>7</v>
      </c>
      <c r="O1809" t="str">
        <f>TEXT(Table1[[#This Row],[SaleDate]],"MMM")</f>
        <v>Jul</v>
      </c>
    </row>
    <row r="1810" spans="1:15">
      <c r="A1810" s="1">
        <v>45136</v>
      </c>
      <c r="B1810" t="s">
        <v>23</v>
      </c>
      <c r="C1810" t="s">
        <v>19</v>
      </c>
      <c r="D1810">
        <v>1</v>
      </c>
      <c r="E1810" t="s">
        <v>7</v>
      </c>
      <c r="F1810">
        <v>33000</v>
      </c>
      <c r="G1810">
        <v>18000</v>
      </c>
      <c r="H1810">
        <f>Table1[[#This Row],[Qty]]*Table1[[#This Row],[SellingPrice]]</f>
        <v>33000</v>
      </c>
      <c r="I1810">
        <f>Table1[[#This Row],[Qty]]*Table1[[#This Row],[CostPrice]]</f>
        <v>18000</v>
      </c>
      <c r="J1810">
        <v>14895</v>
      </c>
      <c r="K1810">
        <v>104.99999999999999</v>
      </c>
      <c r="L1810" t="s">
        <v>8</v>
      </c>
      <c r="M1810" t="s">
        <v>28</v>
      </c>
      <c r="N1810">
        <f>MONTH(Table1[[#This Row],[SaleDate]])</f>
        <v>7</v>
      </c>
      <c r="O1810" t="str">
        <f>TEXT(Table1[[#This Row],[SaleDate]],"MMM")</f>
        <v>Jul</v>
      </c>
    </row>
    <row r="1811" spans="1:15">
      <c r="A1811" s="1">
        <v>45136</v>
      </c>
      <c r="B1811" t="s">
        <v>23</v>
      </c>
      <c r="C1811" t="s">
        <v>19</v>
      </c>
      <c r="D1811">
        <v>1</v>
      </c>
      <c r="E1811" t="s">
        <v>9</v>
      </c>
      <c r="F1811">
        <v>60000</v>
      </c>
      <c r="G1811">
        <v>31000</v>
      </c>
      <c r="H1811">
        <f>Table1[[#This Row],[Qty]]*Table1[[#This Row],[SellingPrice]]</f>
        <v>60000</v>
      </c>
      <c r="I1811">
        <f>Table1[[#This Row],[Qty]]*Table1[[#This Row],[CostPrice]]</f>
        <v>31000</v>
      </c>
      <c r="J1811">
        <v>28797</v>
      </c>
      <c r="K1811">
        <v>202.99999999999997</v>
      </c>
      <c r="L1811" t="s">
        <v>8</v>
      </c>
      <c r="M1811" t="s">
        <v>27</v>
      </c>
      <c r="N1811">
        <f>MONTH(Table1[[#This Row],[SaleDate]])</f>
        <v>7</v>
      </c>
      <c r="O1811" t="str">
        <f>TEXT(Table1[[#This Row],[SaleDate]],"MMM")</f>
        <v>Jul</v>
      </c>
    </row>
    <row r="1812" spans="1:15">
      <c r="A1812" s="1">
        <v>45136</v>
      </c>
      <c r="B1812" t="s">
        <v>23</v>
      </c>
      <c r="C1812" t="s">
        <v>19</v>
      </c>
      <c r="D1812">
        <v>1</v>
      </c>
      <c r="E1812" t="s">
        <v>10</v>
      </c>
      <c r="F1812">
        <v>89000</v>
      </c>
      <c r="G1812">
        <v>65000</v>
      </c>
      <c r="H1812">
        <f>Table1[[#This Row],[Qty]]*Table1[[#This Row],[SellingPrice]]</f>
        <v>89000</v>
      </c>
      <c r="I1812">
        <f>Table1[[#This Row],[Qty]]*Table1[[#This Row],[CostPrice]]</f>
        <v>65000</v>
      </c>
      <c r="J1812">
        <v>23832</v>
      </c>
      <c r="K1812">
        <v>167.99999999999997</v>
      </c>
      <c r="L1812" t="s">
        <v>8</v>
      </c>
      <c r="M1812" t="s">
        <v>27</v>
      </c>
      <c r="N1812">
        <f>MONTH(Table1[[#This Row],[SaleDate]])</f>
        <v>7</v>
      </c>
      <c r="O1812" t="str">
        <f>TEXT(Table1[[#This Row],[SaleDate]],"MMM")</f>
        <v>Jul</v>
      </c>
    </row>
    <row r="1813" spans="1:15">
      <c r="A1813" s="1">
        <v>45136</v>
      </c>
      <c r="B1813" t="s">
        <v>24</v>
      </c>
      <c r="C1813" t="s">
        <v>22</v>
      </c>
      <c r="D1813">
        <v>1</v>
      </c>
      <c r="E1813" t="s">
        <v>7</v>
      </c>
      <c r="F1813">
        <v>33000</v>
      </c>
      <c r="G1813">
        <v>18000</v>
      </c>
      <c r="H1813">
        <f>Table1[[#This Row],[Qty]]*Table1[[#This Row],[SellingPrice]]</f>
        <v>33000</v>
      </c>
      <c r="I1813">
        <f>Table1[[#This Row],[Qty]]*Table1[[#This Row],[CostPrice]]</f>
        <v>18000</v>
      </c>
      <c r="J1813">
        <v>14895</v>
      </c>
      <c r="K1813">
        <v>104.99999999999999</v>
      </c>
      <c r="L1813" t="s">
        <v>12</v>
      </c>
      <c r="M1813" t="s">
        <v>28</v>
      </c>
      <c r="N1813">
        <f>MONTH(Table1[[#This Row],[SaleDate]])</f>
        <v>7</v>
      </c>
      <c r="O1813" t="str">
        <f>TEXT(Table1[[#This Row],[SaleDate]],"MMM")</f>
        <v>Jul</v>
      </c>
    </row>
    <row r="1814" spans="1:15">
      <c r="A1814" s="1">
        <v>45136</v>
      </c>
      <c r="B1814" t="s">
        <v>24</v>
      </c>
      <c r="C1814" t="s">
        <v>22</v>
      </c>
      <c r="D1814">
        <v>1</v>
      </c>
      <c r="E1814" t="s">
        <v>9</v>
      </c>
      <c r="F1814">
        <v>60000</v>
      </c>
      <c r="G1814">
        <v>31000</v>
      </c>
      <c r="H1814">
        <f>Table1[[#This Row],[Qty]]*Table1[[#This Row],[SellingPrice]]</f>
        <v>60000</v>
      </c>
      <c r="I1814">
        <f>Table1[[#This Row],[Qty]]*Table1[[#This Row],[CostPrice]]</f>
        <v>31000</v>
      </c>
      <c r="J1814">
        <v>28797</v>
      </c>
      <c r="K1814">
        <v>202.99999999999997</v>
      </c>
      <c r="L1814" t="s">
        <v>12</v>
      </c>
      <c r="M1814" t="s">
        <v>27</v>
      </c>
      <c r="N1814">
        <f>MONTH(Table1[[#This Row],[SaleDate]])</f>
        <v>7</v>
      </c>
      <c r="O1814" t="str">
        <f>TEXT(Table1[[#This Row],[SaleDate]],"MMM")</f>
        <v>Jul</v>
      </c>
    </row>
    <row r="1815" spans="1:15">
      <c r="A1815" s="1">
        <v>45136</v>
      </c>
      <c r="B1815" t="s">
        <v>24</v>
      </c>
      <c r="C1815" t="s">
        <v>22</v>
      </c>
      <c r="D1815">
        <v>1</v>
      </c>
      <c r="E1815" t="s">
        <v>10</v>
      </c>
      <c r="F1815">
        <v>89000</v>
      </c>
      <c r="G1815">
        <v>65000</v>
      </c>
      <c r="H1815">
        <f>Table1[[#This Row],[Qty]]*Table1[[#This Row],[SellingPrice]]</f>
        <v>89000</v>
      </c>
      <c r="I1815">
        <f>Table1[[#This Row],[Qty]]*Table1[[#This Row],[CostPrice]]</f>
        <v>65000</v>
      </c>
      <c r="J1815">
        <v>23832</v>
      </c>
      <c r="K1815">
        <v>167.99999999999997</v>
      </c>
      <c r="L1815" t="s">
        <v>12</v>
      </c>
      <c r="M1815" t="s">
        <v>27</v>
      </c>
      <c r="N1815">
        <f>MONTH(Table1[[#This Row],[SaleDate]])</f>
        <v>7</v>
      </c>
      <c r="O1815" t="str">
        <f>TEXT(Table1[[#This Row],[SaleDate]],"MMM")</f>
        <v>Jul</v>
      </c>
    </row>
    <row r="1816" spans="1:15">
      <c r="A1816" s="1">
        <v>45136</v>
      </c>
      <c r="B1816" t="s">
        <v>25</v>
      </c>
      <c r="C1816" t="s">
        <v>21</v>
      </c>
      <c r="D1816">
        <v>1</v>
      </c>
      <c r="E1816" t="s">
        <v>7</v>
      </c>
      <c r="F1816">
        <v>33000</v>
      </c>
      <c r="G1816">
        <v>18000</v>
      </c>
      <c r="H1816">
        <f>Table1[[#This Row],[Qty]]*Table1[[#This Row],[SellingPrice]]</f>
        <v>33000</v>
      </c>
      <c r="I1816">
        <f>Table1[[#This Row],[Qty]]*Table1[[#This Row],[CostPrice]]</f>
        <v>18000</v>
      </c>
      <c r="J1816">
        <v>14895</v>
      </c>
      <c r="K1816">
        <v>104.99999999999999</v>
      </c>
      <c r="L1816" t="s">
        <v>13</v>
      </c>
      <c r="M1816" t="s">
        <v>29</v>
      </c>
      <c r="N1816">
        <f>MONTH(Table1[[#This Row],[SaleDate]])</f>
        <v>7</v>
      </c>
      <c r="O1816" t="str">
        <f>TEXT(Table1[[#This Row],[SaleDate]],"MMM")</f>
        <v>Jul</v>
      </c>
    </row>
    <row r="1817" spans="1:15">
      <c r="A1817" s="1">
        <v>45136</v>
      </c>
      <c r="B1817" t="s">
        <v>25</v>
      </c>
      <c r="C1817" t="s">
        <v>21</v>
      </c>
      <c r="D1817">
        <v>1</v>
      </c>
      <c r="E1817" t="s">
        <v>9</v>
      </c>
      <c r="F1817">
        <v>60000</v>
      </c>
      <c r="G1817">
        <v>31000</v>
      </c>
      <c r="H1817">
        <f>Table1[[#This Row],[Qty]]*Table1[[#This Row],[SellingPrice]]</f>
        <v>60000</v>
      </c>
      <c r="I1817">
        <f>Table1[[#This Row],[Qty]]*Table1[[#This Row],[CostPrice]]</f>
        <v>31000</v>
      </c>
      <c r="J1817">
        <v>28797</v>
      </c>
      <c r="K1817">
        <v>202.99999999999997</v>
      </c>
      <c r="L1817" t="s">
        <v>13</v>
      </c>
      <c r="M1817" t="s">
        <v>28</v>
      </c>
      <c r="N1817">
        <f>MONTH(Table1[[#This Row],[SaleDate]])</f>
        <v>7</v>
      </c>
      <c r="O1817" t="str">
        <f>TEXT(Table1[[#This Row],[SaleDate]],"MMM")</f>
        <v>Jul</v>
      </c>
    </row>
    <row r="1818" spans="1:15">
      <c r="A1818" s="1">
        <v>45136</v>
      </c>
      <c r="B1818" t="s">
        <v>25</v>
      </c>
      <c r="C1818" t="s">
        <v>21</v>
      </c>
      <c r="D1818">
        <v>1</v>
      </c>
      <c r="E1818" t="s">
        <v>10</v>
      </c>
      <c r="F1818">
        <v>89000</v>
      </c>
      <c r="G1818">
        <v>65000</v>
      </c>
      <c r="H1818">
        <f>Table1[[#This Row],[Qty]]*Table1[[#This Row],[SellingPrice]]</f>
        <v>89000</v>
      </c>
      <c r="I1818">
        <f>Table1[[#This Row],[Qty]]*Table1[[#This Row],[CostPrice]]</f>
        <v>65000</v>
      </c>
      <c r="J1818">
        <v>23832</v>
      </c>
      <c r="K1818">
        <v>167.99999999999997</v>
      </c>
      <c r="L1818" t="s">
        <v>13</v>
      </c>
      <c r="M1818" t="s">
        <v>30</v>
      </c>
      <c r="N1818">
        <f>MONTH(Table1[[#This Row],[SaleDate]])</f>
        <v>7</v>
      </c>
      <c r="O1818" t="str">
        <f>TEXT(Table1[[#This Row],[SaleDate]],"MMM")</f>
        <v>Jul</v>
      </c>
    </row>
    <row r="1819" spans="1:15">
      <c r="A1819" s="1">
        <v>45137</v>
      </c>
      <c r="B1819" t="s">
        <v>23</v>
      </c>
      <c r="C1819" t="s">
        <v>19</v>
      </c>
      <c r="D1819">
        <v>1</v>
      </c>
      <c r="E1819" t="s">
        <v>7</v>
      </c>
      <c r="F1819">
        <v>33000</v>
      </c>
      <c r="G1819">
        <v>18000</v>
      </c>
      <c r="H1819">
        <f>Table1[[#This Row],[Qty]]*Table1[[#This Row],[SellingPrice]]</f>
        <v>33000</v>
      </c>
      <c r="I1819">
        <f>Table1[[#This Row],[Qty]]*Table1[[#This Row],[CostPrice]]</f>
        <v>18000</v>
      </c>
      <c r="J1819">
        <v>14895</v>
      </c>
      <c r="K1819">
        <v>104.99999999999999</v>
      </c>
      <c r="L1819" t="s">
        <v>8</v>
      </c>
      <c r="M1819" t="s">
        <v>29</v>
      </c>
      <c r="N1819">
        <f>MONTH(Table1[[#This Row],[SaleDate]])</f>
        <v>7</v>
      </c>
      <c r="O1819" t="str">
        <f>TEXT(Table1[[#This Row],[SaleDate]],"MMM")</f>
        <v>Jul</v>
      </c>
    </row>
    <row r="1820" spans="1:15">
      <c r="A1820" s="1">
        <v>45137</v>
      </c>
      <c r="B1820" t="s">
        <v>23</v>
      </c>
      <c r="C1820" t="s">
        <v>19</v>
      </c>
      <c r="D1820">
        <v>1</v>
      </c>
      <c r="E1820" t="s">
        <v>9</v>
      </c>
      <c r="F1820">
        <v>60000</v>
      </c>
      <c r="G1820">
        <v>31000</v>
      </c>
      <c r="H1820">
        <f>Table1[[#This Row],[Qty]]*Table1[[#This Row],[SellingPrice]]</f>
        <v>60000</v>
      </c>
      <c r="I1820">
        <f>Table1[[#This Row],[Qty]]*Table1[[#This Row],[CostPrice]]</f>
        <v>31000</v>
      </c>
      <c r="J1820">
        <v>28797</v>
      </c>
      <c r="K1820">
        <v>202.99999999999997</v>
      </c>
      <c r="L1820" t="s">
        <v>8</v>
      </c>
      <c r="M1820" t="s">
        <v>29</v>
      </c>
      <c r="N1820">
        <f>MONTH(Table1[[#This Row],[SaleDate]])</f>
        <v>7</v>
      </c>
      <c r="O1820" t="str">
        <f>TEXT(Table1[[#This Row],[SaleDate]],"MMM")</f>
        <v>Jul</v>
      </c>
    </row>
    <row r="1821" spans="1:15">
      <c r="A1821" s="1">
        <v>45137</v>
      </c>
      <c r="B1821" t="s">
        <v>23</v>
      </c>
      <c r="C1821" t="s">
        <v>19</v>
      </c>
      <c r="D1821">
        <v>1</v>
      </c>
      <c r="E1821" t="s">
        <v>10</v>
      </c>
      <c r="F1821">
        <v>89000</v>
      </c>
      <c r="G1821">
        <v>65000</v>
      </c>
      <c r="H1821">
        <f>Table1[[#This Row],[Qty]]*Table1[[#This Row],[SellingPrice]]</f>
        <v>89000</v>
      </c>
      <c r="I1821">
        <f>Table1[[#This Row],[Qty]]*Table1[[#This Row],[CostPrice]]</f>
        <v>65000</v>
      </c>
      <c r="J1821">
        <v>23832</v>
      </c>
      <c r="K1821">
        <v>167.99999999999997</v>
      </c>
      <c r="L1821" t="s">
        <v>8</v>
      </c>
      <c r="M1821" t="s">
        <v>30</v>
      </c>
      <c r="N1821">
        <f>MONTH(Table1[[#This Row],[SaleDate]])</f>
        <v>7</v>
      </c>
      <c r="O1821" t="str">
        <f>TEXT(Table1[[#This Row],[SaleDate]],"MMM")</f>
        <v>Jul</v>
      </c>
    </row>
    <row r="1822" spans="1:15">
      <c r="A1822" s="1">
        <v>45137</v>
      </c>
      <c r="B1822" t="s">
        <v>24</v>
      </c>
      <c r="C1822" t="s">
        <v>22</v>
      </c>
      <c r="D1822">
        <v>1</v>
      </c>
      <c r="E1822" t="s">
        <v>7</v>
      </c>
      <c r="F1822">
        <v>33000</v>
      </c>
      <c r="G1822">
        <v>18000</v>
      </c>
      <c r="H1822">
        <f>Table1[[#This Row],[Qty]]*Table1[[#This Row],[SellingPrice]]</f>
        <v>33000</v>
      </c>
      <c r="I1822">
        <f>Table1[[#This Row],[Qty]]*Table1[[#This Row],[CostPrice]]</f>
        <v>18000</v>
      </c>
      <c r="J1822">
        <v>14895</v>
      </c>
      <c r="K1822">
        <v>104.99999999999999</v>
      </c>
      <c r="L1822" t="s">
        <v>12</v>
      </c>
      <c r="M1822" t="s">
        <v>30</v>
      </c>
      <c r="N1822">
        <f>MONTH(Table1[[#This Row],[SaleDate]])</f>
        <v>7</v>
      </c>
      <c r="O1822" t="str">
        <f>TEXT(Table1[[#This Row],[SaleDate]],"MMM")</f>
        <v>Jul</v>
      </c>
    </row>
    <row r="1823" spans="1:15">
      <c r="A1823" s="1">
        <v>45137</v>
      </c>
      <c r="B1823" t="s">
        <v>24</v>
      </c>
      <c r="C1823" t="s">
        <v>22</v>
      </c>
      <c r="D1823">
        <v>1</v>
      </c>
      <c r="E1823" t="s">
        <v>9</v>
      </c>
      <c r="F1823">
        <v>60000</v>
      </c>
      <c r="G1823">
        <v>31000</v>
      </c>
      <c r="H1823">
        <f>Table1[[#This Row],[Qty]]*Table1[[#This Row],[SellingPrice]]</f>
        <v>60000</v>
      </c>
      <c r="I1823">
        <f>Table1[[#This Row],[Qty]]*Table1[[#This Row],[CostPrice]]</f>
        <v>31000</v>
      </c>
      <c r="J1823">
        <v>28797</v>
      </c>
      <c r="K1823">
        <v>202.99999999999997</v>
      </c>
      <c r="L1823" t="s">
        <v>12</v>
      </c>
      <c r="M1823" t="s">
        <v>27</v>
      </c>
      <c r="N1823">
        <f>MONTH(Table1[[#This Row],[SaleDate]])</f>
        <v>7</v>
      </c>
      <c r="O1823" t="str">
        <f>TEXT(Table1[[#This Row],[SaleDate]],"MMM")</f>
        <v>Jul</v>
      </c>
    </row>
    <row r="1824" spans="1:15">
      <c r="A1824" s="1">
        <v>45137</v>
      </c>
      <c r="B1824" t="s">
        <v>24</v>
      </c>
      <c r="C1824" t="s">
        <v>22</v>
      </c>
      <c r="D1824">
        <v>1</v>
      </c>
      <c r="E1824" t="s">
        <v>10</v>
      </c>
      <c r="F1824">
        <v>89000</v>
      </c>
      <c r="G1824">
        <v>65000</v>
      </c>
      <c r="H1824">
        <f>Table1[[#This Row],[Qty]]*Table1[[#This Row],[SellingPrice]]</f>
        <v>89000</v>
      </c>
      <c r="I1824">
        <f>Table1[[#This Row],[Qty]]*Table1[[#This Row],[CostPrice]]</f>
        <v>65000</v>
      </c>
      <c r="J1824">
        <v>23832</v>
      </c>
      <c r="K1824">
        <v>167.99999999999997</v>
      </c>
      <c r="L1824" t="s">
        <v>12</v>
      </c>
      <c r="M1824" t="s">
        <v>30</v>
      </c>
      <c r="N1824">
        <f>MONTH(Table1[[#This Row],[SaleDate]])</f>
        <v>7</v>
      </c>
      <c r="O1824" t="str">
        <f>TEXT(Table1[[#This Row],[SaleDate]],"MMM")</f>
        <v>Jul</v>
      </c>
    </row>
    <row r="1825" spans="1:15">
      <c r="A1825" s="1">
        <v>45137</v>
      </c>
      <c r="B1825" t="s">
        <v>25</v>
      </c>
      <c r="C1825" t="s">
        <v>21</v>
      </c>
      <c r="D1825">
        <v>1</v>
      </c>
      <c r="E1825" t="s">
        <v>7</v>
      </c>
      <c r="F1825">
        <v>33000</v>
      </c>
      <c r="G1825">
        <v>18000</v>
      </c>
      <c r="H1825">
        <f>Table1[[#This Row],[Qty]]*Table1[[#This Row],[SellingPrice]]</f>
        <v>33000</v>
      </c>
      <c r="I1825">
        <f>Table1[[#This Row],[Qty]]*Table1[[#This Row],[CostPrice]]</f>
        <v>18000</v>
      </c>
      <c r="J1825">
        <v>14895</v>
      </c>
      <c r="K1825">
        <v>104.99999999999999</v>
      </c>
      <c r="L1825" t="s">
        <v>13</v>
      </c>
      <c r="M1825" t="s">
        <v>28</v>
      </c>
      <c r="N1825">
        <f>MONTH(Table1[[#This Row],[SaleDate]])</f>
        <v>7</v>
      </c>
      <c r="O1825" t="str">
        <f>TEXT(Table1[[#This Row],[SaleDate]],"MMM")</f>
        <v>Jul</v>
      </c>
    </row>
    <row r="1826" spans="1:15">
      <c r="A1826" s="1">
        <v>45137</v>
      </c>
      <c r="B1826" t="s">
        <v>25</v>
      </c>
      <c r="C1826" t="s">
        <v>21</v>
      </c>
      <c r="D1826">
        <v>1</v>
      </c>
      <c r="E1826" t="s">
        <v>9</v>
      </c>
      <c r="F1826">
        <v>60000</v>
      </c>
      <c r="G1826">
        <v>31000</v>
      </c>
      <c r="H1826">
        <f>Table1[[#This Row],[Qty]]*Table1[[#This Row],[SellingPrice]]</f>
        <v>60000</v>
      </c>
      <c r="I1826">
        <f>Table1[[#This Row],[Qty]]*Table1[[#This Row],[CostPrice]]</f>
        <v>31000</v>
      </c>
      <c r="J1826">
        <v>28797</v>
      </c>
      <c r="K1826">
        <v>202.99999999999997</v>
      </c>
      <c r="L1826" t="s">
        <v>13</v>
      </c>
      <c r="M1826" t="s">
        <v>27</v>
      </c>
      <c r="N1826">
        <f>MONTH(Table1[[#This Row],[SaleDate]])</f>
        <v>7</v>
      </c>
      <c r="O1826" t="str">
        <f>TEXT(Table1[[#This Row],[SaleDate]],"MMM")</f>
        <v>Jul</v>
      </c>
    </row>
    <row r="1827" spans="1:15">
      <c r="A1827" s="1">
        <v>45137</v>
      </c>
      <c r="B1827" t="s">
        <v>25</v>
      </c>
      <c r="C1827" t="s">
        <v>21</v>
      </c>
      <c r="D1827">
        <v>1</v>
      </c>
      <c r="E1827" t="s">
        <v>10</v>
      </c>
      <c r="F1827">
        <v>89000</v>
      </c>
      <c r="G1827">
        <v>65000</v>
      </c>
      <c r="H1827">
        <f>Table1[[#This Row],[Qty]]*Table1[[#This Row],[SellingPrice]]</f>
        <v>89000</v>
      </c>
      <c r="I1827">
        <f>Table1[[#This Row],[Qty]]*Table1[[#This Row],[CostPrice]]</f>
        <v>65000</v>
      </c>
      <c r="J1827">
        <v>23832</v>
      </c>
      <c r="K1827">
        <v>167.99999999999997</v>
      </c>
      <c r="L1827" t="s">
        <v>13</v>
      </c>
      <c r="M1827" t="s">
        <v>29</v>
      </c>
      <c r="N1827">
        <f>MONTH(Table1[[#This Row],[SaleDate]])</f>
        <v>7</v>
      </c>
      <c r="O1827" t="str">
        <f>TEXT(Table1[[#This Row],[SaleDate]],"MMM")</f>
        <v>Jul</v>
      </c>
    </row>
    <row r="1828" spans="1:15">
      <c r="A1828" s="1">
        <v>45138</v>
      </c>
      <c r="B1828" t="s">
        <v>23</v>
      </c>
      <c r="C1828" t="s">
        <v>19</v>
      </c>
      <c r="D1828">
        <v>1</v>
      </c>
      <c r="E1828" t="s">
        <v>7</v>
      </c>
      <c r="F1828">
        <v>33000</v>
      </c>
      <c r="G1828">
        <v>18000</v>
      </c>
      <c r="H1828">
        <f>Table1[[#This Row],[Qty]]*Table1[[#This Row],[SellingPrice]]</f>
        <v>33000</v>
      </c>
      <c r="I1828">
        <f>Table1[[#This Row],[Qty]]*Table1[[#This Row],[CostPrice]]</f>
        <v>18000</v>
      </c>
      <c r="J1828">
        <v>14895</v>
      </c>
      <c r="K1828">
        <v>104.99999999999999</v>
      </c>
      <c r="L1828" t="s">
        <v>8</v>
      </c>
      <c r="M1828" t="s">
        <v>27</v>
      </c>
      <c r="N1828">
        <f>MONTH(Table1[[#This Row],[SaleDate]])</f>
        <v>7</v>
      </c>
      <c r="O1828" t="str">
        <f>TEXT(Table1[[#This Row],[SaleDate]],"MMM")</f>
        <v>Jul</v>
      </c>
    </row>
    <row r="1829" spans="1:15">
      <c r="A1829" s="1">
        <v>45138</v>
      </c>
      <c r="B1829" t="s">
        <v>23</v>
      </c>
      <c r="C1829" t="s">
        <v>19</v>
      </c>
      <c r="D1829">
        <v>1</v>
      </c>
      <c r="E1829" t="s">
        <v>9</v>
      </c>
      <c r="F1829">
        <v>60000</v>
      </c>
      <c r="G1829">
        <v>31000</v>
      </c>
      <c r="H1829">
        <f>Table1[[#This Row],[Qty]]*Table1[[#This Row],[SellingPrice]]</f>
        <v>60000</v>
      </c>
      <c r="I1829">
        <f>Table1[[#This Row],[Qty]]*Table1[[#This Row],[CostPrice]]</f>
        <v>31000</v>
      </c>
      <c r="J1829">
        <v>28797</v>
      </c>
      <c r="K1829">
        <v>202.99999999999997</v>
      </c>
      <c r="L1829" t="s">
        <v>8</v>
      </c>
      <c r="M1829" t="s">
        <v>28</v>
      </c>
      <c r="N1829">
        <f>MONTH(Table1[[#This Row],[SaleDate]])</f>
        <v>7</v>
      </c>
      <c r="O1829" t="str">
        <f>TEXT(Table1[[#This Row],[SaleDate]],"MMM")</f>
        <v>Jul</v>
      </c>
    </row>
    <row r="1830" spans="1:15">
      <c r="A1830" s="1">
        <v>45138</v>
      </c>
      <c r="B1830" t="s">
        <v>23</v>
      </c>
      <c r="C1830" t="s">
        <v>19</v>
      </c>
      <c r="D1830">
        <v>1</v>
      </c>
      <c r="E1830" t="s">
        <v>10</v>
      </c>
      <c r="F1830">
        <v>89000</v>
      </c>
      <c r="G1830">
        <v>65000</v>
      </c>
      <c r="H1830">
        <f>Table1[[#This Row],[Qty]]*Table1[[#This Row],[SellingPrice]]</f>
        <v>89000</v>
      </c>
      <c r="I1830">
        <f>Table1[[#This Row],[Qty]]*Table1[[#This Row],[CostPrice]]</f>
        <v>65000</v>
      </c>
      <c r="J1830">
        <v>23832</v>
      </c>
      <c r="K1830">
        <v>167.99999999999997</v>
      </c>
      <c r="L1830" t="s">
        <v>8</v>
      </c>
      <c r="M1830" t="s">
        <v>30</v>
      </c>
      <c r="N1830">
        <f>MONTH(Table1[[#This Row],[SaleDate]])</f>
        <v>7</v>
      </c>
      <c r="O1830" t="str">
        <f>TEXT(Table1[[#This Row],[SaleDate]],"MMM")</f>
        <v>Jul</v>
      </c>
    </row>
    <row r="1831" spans="1:15">
      <c r="A1831" s="1">
        <v>45138</v>
      </c>
      <c r="B1831" t="s">
        <v>24</v>
      </c>
      <c r="C1831" t="s">
        <v>22</v>
      </c>
      <c r="D1831">
        <v>1</v>
      </c>
      <c r="E1831" t="s">
        <v>7</v>
      </c>
      <c r="F1831">
        <v>33000</v>
      </c>
      <c r="G1831">
        <v>18000</v>
      </c>
      <c r="H1831">
        <f>Table1[[#This Row],[Qty]]*Table1[[#This Row],[SellingPrice]]</f>
        <v>33000</v>
      </c>
      <c r="I1831">
        <f>Table1[[#This Row],[Qty]]*Table1[[#This Row],[CostPrice]]</f>
        <v>18000</v>
      </c>
      <c r="J1831">
        <v>14895</v>
      </c>
      <c r="K1831">
        <v>104.99999999999999</v>
      </c>
      <c r="L1831" t="s">
        <v>12</v>
      </c>
      <c r="M1831" t="s">
        <v>27</v>
      </c>
      <c r="N1831">
        <f>MONTH(Table1[[#This Row],[SaleDate]])</f>
        <v>7</v>
      </c>
      <c r="O1831" t="str">
        <f>TEXT(Table1[[#This Row],[SaleDate]],"MMM")</f>
        <v>Jul</v>
      </c>
    </row>
    <row r="1832" spans="1:15">
      <c r="A1832" s="1">
        <v>45138</v>
      </c>
      <c r="B1832" t="s">
        <v>24</v>
      </c>
      <c r="C1832" t="s">
        <v>22</v>
      </c>
      <c r="D1832">
        <v>1</v>
      </c>
      <c r="E1832" t="s">
        <v>9</v>
      </c>
      <c r="F1832">
        <v>60000</v>
      </c>
      <c r="G1832">
        <v>31000</v>
      </c>
      <c r="H1832">
        <f>Table1[[#This Row],[Qty]]*Table1[[#This Row],[SellingPrice]]</f>
        <v>60000</v>
      </c>
      <c r="I1832">
        <f>Table1[[#This Row],[Qty]]*Table1[[#This Row],[CostPrice]]</f>
        <v>31000</v>
      </c>
      <c r="J1832">
        <v>28797</v>
      </c>
      <c r="K1832">
        <v>202.99999999999997</v>
      </c>
      <c r="L1832" t="s">
        <v>12</v>
      </c>
      <c r="M1832" t="s">
        <v>27</v>
      </c>
      <c r="N1832">
        <f>MONTH(Table1[[#This Row],[SaleDate]])</f>
        <v>7</v>
      </c>
      <c r="O1832" t="str">
        <f>TEXT(Table1[[#This Row],[SaleDate]],"MMM")</f>
        <v>Jul</v>
      </c>
    </row>
    <row r="1833" spans="1:15">
      <c r="A1833" s="1">
        <v>45138</v>
      </c>
      <c r="B1833" t="s">
        <v>24</v>
      </c>
      <c r="C1833" t="s">
        <v>22</v>
      </c>
      <c r="D1833">
        <v>1</v>
      </c>
      <c r="E1833" t="s">
        <v>10</v>
      </c>
      <c r="F1833">
        <v>89000</v>
      </c>
      <c r="G1833">
        <v>65000</v>
      </c>
      <c r="H1833">
        <f>Table1[[#This Row],[Qty]]*Table1[[#This Row],[SellingPrice]]</f>
        <v>89000</v>
      </c>
      <c r="I1833">
        <f>Table1[[#This Row],[Qty]]*Table1[[#This Row],[CostPrice]]</f>
        <v>65000</v>
      </c>
      <c r="J1833">
        <v>23832</v>
      </c>
      <c r="K1833">
        <v>167.99999999999997</v>
      </c>
      <c r="L1833" t="s">
        <v>12</v>
      </c>
      <c r="M1833" t="s">
        <v>29</v>
      </c>
      <c r="N1833">
        <f>MONTH(Table1[[#This Row],[SaleDate]])</f>
        <v>7</v>
      </c>
      <c r="O1833" t="str">
        <f>TEXT(Table1[[#This Row],[SaleDate]],"MMM")</f>
        <v>Jul</v>
      </c>
    </row>
    <row r="1834" spans="1:15">
      <c r="A1834" s="1">
        <v>45138</v>
      </c>
      <c r="B1834" t="s">
        <v>25</v>
      </c>
      <c r="C1834" t="s">
        <v>21</v>
      </c>
      <c r="D1834">
        <v>1</v>
      </c>
      <c r="E1834" t="s">
        <v>7</v>
      </c>
      <c r="F1834">
        <v>33000</v>
      </c>
      <c r="G1834">
        <v>18000</v>
      </c>
      <c r="H1834">
        <f>Table1[[#This Row],[Qty]]*Table1[[#This Row],[SellingPrice]]</f>
        <v>33000</v>
      </c>
      <c r="I1834">
        <f>Table1[[#This Row],[Qty]]*Table1[[#This Row],[CostPrice]]</f>
        <v>18000</v>
      </c>
      <c r="J1834">
        <v>14895</v>
      </c>
      <c r="K1834">
        <v>104.99999999999999</v>
      </c>
      <c r="L1834" t="s">
        <v>13</v>
      </c>
      <c r="M1834" t="s">
        <v>30</v>
      </c>
      <c r="N1834">
        <f>MONTH(Table1[[#This Row],[SaleDate]])</f>
        <v>7</v>
      </c>
      <c r="O1834" t="str">
        <f>TEXT(Table1[[#This Row],[SaleDate]],"MMM")</f>
        <v>Jul</v>
      </c>
    </row>
    <row r="1835" spans="1:15">
      <c r="A1835" s="1">
        <v>45138</v>
      </c>
      <c r="B1835" t="s">
        <v>25</v>
      </c>
      <c r="C1835" t="s">
        <v>21</v>
      </c>
      <c r="D1835">
        <v>1</v>
      </c>
      <c r="E1835" t="s">
        <v>9</v>
      </c>
      <c r="F1835">
        <v>60000</v>
      </c>
      <c r="G1835">
        <v>31000</v>
      </c>
      <c r="H1835">
        <f>Table1[[#This Row],[Qty]]*Table1[[#This Row],[SellingPrice]]</f>
        <v>60000</v>
      </c>
      <c r="I1835">
        <f>Table1[[#This Row],[Qty]]*Table1[[#This Row],[CostPrice]]</f>
        <v>31000</v>
      </c>
      <c r="J1835">
        <v>28797</v>
      </c>
      <c r="K1835">
        <v>202.99999999999997</v>
      </c>
      <c r="L1835" t="s">
        <v>13</v>
      </c>
      <c r="M1835" t="s">
        <v>30</v>
      </c>
      <c r="N1835">
        <f>MONTH(Table1[[#This Row],[SaleDate]])</f>
        <v>7</v>
      </c>
      <c r="O1835" t="str">
        <f>TEXT(Table1[[#This Row],[SaleDate]],"MMM")</f>
        <v>Jul</v>
      </c>
    </row>
    <row r="1836" spans="1:15">
      <c r="A1836" s="1">
        <v>45138</v>
      </c>
      <c r="B1836" t="s">
        <v>25</v>
      </c>
      <c r="C1836" t="s">
        <v>21</v>
      </c>
      <c r="D1836">
        <v>1</v>
      </c>
      <c r="E1836" t="s">
        <v>10</v>
      </c>
      <c r="F1836">
        <v>89000</v>
      </c>
      <c r="G1836">
        <v>65000</v>
      </c>
      <c r="H1836">
        <f>Table1[[#This Row],[Qty]]*Table1[[#This Row],[SellingPrice]]</f>
        <v>89000</v>
      </c>
      <c r="I1836">
        <f>Table1[[#This Row],[Qty]]*Table1[[#This Row],[CostPrice]]</f>
        <v>65000</v>
      </c>
      <c r="J1836">
        <v>23832</v>
      </c>
      <c r="K1836">
        <v>167.99999999999997</v>
      </c>
      <c r="L1836" t="s">
        <v>13</v>
      </c>
      <c r="M1836" t="s">
        <v>28</v>
      </c>
      <c r="N1836">
        <f>MONTH(Table1[[#This Row],[SaleDate]])</f>
        <v>7</v>
      </c>
      <c r="O1836" t="str">
        <f>TEXT(Table1[[#This Row],[SaleDate]],"MMM")</f>
        <v>Jul</v>
      </c>
    </row>
    <row r="1837" spans="1:15">
      <c r="A1837" s="1">
        <v>45139</v>
      </c>
      <c r="B1837" t="s">
        <v>23</v>
      </c>
      <c r="C1837" t="s">
        <v>19</v>
      </c>
      <c r="D1837">
        <v>1</v>
      </c>
      <c r="E1837" t="s">
        <v>7</v>
      </c>
      <c r="F1837">
        <v>33000</v>
      </c>
      <c r="G1837">
        <v>18000</v>
      </c>
      <c r="H1837">
        <f>Table1[[#This Row],[Qty]]*Table1[[#This Row],[SellingPrice]]</f>
        <v>33000</v>
      </c>
      <c r="I1837">
        <f>Table1[[#This Row],[Qty]]*Table1[[#This Row],[CostPrice]]</f>
        <v>18000</v>
      </c>
      <c r="J1837">
        <v>14895</v>
      </c>
      <c r="K1837">
        <v>104.99999999999999</v>
      </c>
      <c r="L1837" t="s">
        <v>8</v>
      </c>
      <c r="M1837" t="s">
        <v>29</v>
      </c>
      <c r="N1837">
        <f>MONTH(Table1[[#This Row],[SaleDate]])</f>
        <v>8</v>
      </c>
      <c r="O1837" t="str">
        <f>TEXT(Table1[[#This Row],[SaleDate]],"MMM")</f>
        <v>Aug</v>
      </c>
    </row>
    <row r="1838" spans="1:15">
      <c r="A1838" s="1">
        <v>45139</v>
      </c>
      <c r="B1838" t="s">
        <v>23</v>
      </c>
      <c r="C1838" t="s">
        <v>19</v>
      </c>
      <c r="D1838">
        <v>1</v>
      </c>
      <c r="E1838" t="s">
        <v>9</v>
      </c>
      <c r="F1838">
        <v>60000</v>
      </c>
      <c r="G1838">
        <v>31000</v>
      </c>
      <c r="H1838">
        <f>Table1[[#This Row],[Qty]]*Table1[[#This Row],[SellingPrice]]</f>
        <v>60000</v>
      </c>
      <c r="I1838">
        <f>Table1[[#This Row],[Qty]]*Table1[[#This Row],[CostPrice]]</f>
        <v>31000</v>
      </c>
      <c r="J1838">
        <v>28797</v>
      </c>
      <c r="K1838">
        <v>202.99999999999997</v>
      </c>
      <c r="L1838" t="s">
        <v>8</v>
      </c>
      <c r="M1838" t="s">
        <v>27</v>
      </c>
      <c r="N1838">
        <f>MONTH(Table1[[#This Row],[SaleDate]])</f>
        <v>8</v>
      </c>
      <c r="O1838" t="str">
        <f>TEXT(Table1[[#This Row],[SaleDate]],"MMM")</f>
        <v>Aug</v>
      </c>
    </row>
    <row r="1839" spans="1:15">
      <c r="A1839" s="1">
        <v>45139</v>
      </c>
      <c r="B1839" t="s">
        <v>23</v>
      </c>
      <c r="C1839" t="s">
        <v>19</v>
      </c>
      <c r="D1839">
        <v>1</v>
      </c>
      <c r="E1839" t="s">
        <v>10</v>
      </c>
      <c r="F1839">
        <v>89000</v>
      </c>
      <c r="G1839">
        <v>65000</v>
      </c>
      <c r="H1839">
        <f>Table1[[#This Row],[Qty]]*Table1[[#This Row],[SellingPrice]]</f>
        <v>89000</v>
      </c>
      <c r="I1839">
        <f>Table1[[#This Row],[Qty]]*Table1[[#This Row],[CostPrice]]</f>
        <v>65000</v>
      </c>
      <c r="J1839">
        <v>23832</v>
      </c>
      <c r="K1839">
        <v>167.99999999999997</v>
      </c>
      <c r="L1839" t="s">
        <v>8</v>
      </c>
      <c r="M1839" t="s">
        <v>27</v>
      </c>
      <c r="N1839">
        <f>MONTH(Table1[[#This Row],[SaleDate]])</f>
        <v>8</v>
      </c>
      <c r="O1839" t="str">
        <f>TEXT(Table1[[#This Row],[SaleDate]],"MMM")</f>
        <v>Aug</v>
      </c>
    </row>
    <row r="1840" spans="1:15">
      <c r="A1840" s="1">
        <v>45139</v>
      </c>
      <c r="B1840" t="s">
        <v>24</v>
      </c>
      <c r="C1840" t="s">
        <v>22</v>
      </c>
      <c r="D1840">
        <v>1</v>
      </c>
      <c r="E1840" t="s">
        <v>7</v>
      </c>
      <c r="F1840">
        <v>33000</v>
      </c>
      <c r="G1840">
        <v>18000</v>
      </c>
      <c r="H1840">
        <f>Table1[[#This Row],[Qty]]*Table1[[#This Row],[SellingPrice]]</f>
        <v>33000</v>
      </c>
      <c r="I1840">
        <f>Table1[[#This Row],[Qty]]*Table1[[#This Row],[CostPrice]]</f>
        <v>18000</v>
      </c>
      <c r="J1840">
        <v>14895</v>
      </c>
      <c r="K1840">
        <v>104.99999999999999</v>
      </c>
      <c r="L1840" t="s">
        <v>12</v>
      </c>
      <c r="M1840" t="s">
        <v>29</v>
      </c>
      <c r="N1840">
        <f>MONTH(Table1[[#This Row],[SaleDate]])</f>
        <v>8</v>
      </c>
      <c r="O1840" t="str">
        <f>TEXT(Table1[[#This Row],[SaleDate]],"MMM")</f>
        <v>Aug</v>
      </c>
    </row>
    <row r="1841" spans="1:15">
      <c r="A1841" s="1">
        <v>45139</v>
      </c>
      <c r="B1841" t="s">
        <v>24</v>
      </c>
      <c r="C1841" t="s">
        <v>22</v>
      </c>
      <c r="D1841">
        <v>1</v>
      </c>
      <c r="E1841" t="s">
        <v>9</v>
      </c>
      <c r="F1841">
        <v>60000</v>
      </c>
      <c r="G1841">
        <v>31000</v>
      </c>
      <c r="H1841">
        <f>Table1[[#This Row],[Qty]]*Table1[[#This Row],[SellingPrice]]</f>
        <v>60000</v>
      </c>
      <c r="I1841">
        <f>Table1[[#This Row],[Qty]]*Table1[[#This Row],[CostPrice]]</f>
        <v>31000</v>
      </c>
      <c r="J1841">
        <v>28797</v>
      </c>
      <c r="K1841">
        <v>202.99999999999997</v>
      </c>
      <c r="L1841" t="s">
        <v>12</v>
      </c>
      <c r="M1841" t="s">
        <v>30</v>
      </c>
      <c r="N1841">
        <f>MONTH(Table1[[#This Row],[SaleDate]])</f>
        <v>8</v>
      </c>
      <c r="O1841" t="str">
        <f>TEXT(Table1[[#This Row],[SaleDate]],"MMM")</f>
        <v>Aug</v>
      </c>
    </row>
    <row r="1842" spans="1:15">
      <c r="A1842" s="1">
        <v>45139</v>
      </c>
      <c r="B1842" t="s">
        <v>24</v>
      </c>
      <c r="C1842" t="s">
        <v>22</v>
      </c>
      <c r="D1842">
        <v>1</v>
      </c>
      <c r="E1842" t="s">
        <v>10</v>
      </c>
      <c r="F1842">
        <v>89000</v>
      </c>
      <c r="G1842">
        <v>65000</v>
      </c>
      <c r="H1842">
        <f>Table1[[#This Row],[Qty]]*Table1[[#This Row],[SellingPrice]]</f>
        <v>89000</v>
      </c>
      <c r="I1842">
        <f>Table1[[#This Row],[Qty]]*Table1[[#This Row],[CostPrice]]</f>
        <v>65000</v>
      </c>
      <c r="J1842">
        <v>23832</v>
      </c>
      <c r="K1842">
        <v>167.99999999999997</v>
      </c>
      <c r="L1842" t="s">
        <v>12</v>
      </c>
      <c r="M1842" t="s">
        <v>27</v>
      </c>
      <c r="N1842">
        <f>MONTH(Table1[[#This Row],[SaleDate]])</f>
        <v>8</v>
      </c>
      <c r="O1842" t="str">
        <f>TEXT(Table1[[#This Row],[SaleDate]],"MMM")</f>
        <v>Aug</v>
      </c>
    </row>
    <row r="1843" spans="1:15">
      <c r="A1843" s="1">
        <v>45139</v>
      </c>
      <c r="B1843" t="s">
        <v>25</v>
      </c>
      <c r="C1843" t="s">
        <v>21</v>
      </c>
      <c r="D1843">
        <v>1</v>
      </c>
      <c r="E1843" t="s">
        <v>7</v>
      </c>
      <c r="F1843">
        <v>33000</v>
      </c>
      <c r="G1843">
        <v>18000</v>
      </c>
      <c r="H1843">
        <f>Table1[[#This Row],[Qty]]*Table1[[#This Row],[SellingPrice]]</f>
        <v>33000</v>
      </c>
      <c r="I1843">
        <f>Table1[[#This Row],[Qty]]*Table1[[#This Row],[CostPrice]]</f>
        <v>18000</v>
      </c>
      <c r="J1843">
        <v>14895</v>
      </c>
      <c r="K1843">
        <v>104.99999999999999</v>
      </c>
      <c r="L1843" t="s">
        <v>13</v>
      </c>
      <c r="M1843" t="s">
        <v>29</v>
      </c>
      <c r="N1843">
        <f>MONTH(Table1[[#This Row],[SaleDate]])</f>
        <v>8</v>
      </c>
      <c r="O1843" t="str">
        <f>TEXT(Table1[[#This Row],[SaleDate]],"MMM")</f>
        <v>Aug</v>
      </c>
    </row>
    <row r="1844" spans="1:15">
      <c r="A1844" s="1">
        <v>45139</v>
      </c>
      <c r="B1844" t="s">
        <v>25</v>
      </c>
      <c r="C1844" t="s">
        <v>21</v>
      </c>
      <c r="D1844">
        <v>1</v>
      </c>
      <c r="E1844" t="s">
        <v>9</v>
      </c>
      <c r="F1844">
        <v>60000</v>
      </c>
      <c r="G1844">
        <v>31000</v>
      </c>
      <c r="H1844">
        <f>Table1[[#This Row],[Qty]]*Table1[[#This Row],[SellingPrice]]</f>
        <v>60000</v>
      </c>
      <c r="I1844">
        <f>Table1[[#This Row],[Qty]]*Table1[[#This Row],[CostPrice]]</f>
        <v>31000</v>
      </c>
      <c r="J1844">
        <v>28797</v>
      </c>
      <c r="K1844">
        <v>202.99999999999997</v>
      </c>
      <c r="L1844" t="s">
        <v>13</v>
      </c>
      <c r="M1844" t="s">
        <v>30</v>
      </c>
      <c r="N1844">
        <f>MONTH(Table1[[#This Row],[SaleDate]])</f>
        <v>8</v>
      </c>
      <c r="O1844" t="str">
        <f>TEXT(Table1[[#This Row],[SaleDate]],"MMM")</f>
        <v>Aug</v>
      </c>
    </row>
    <row r="1845" spans="1:15">
      <c r="A1845" s="1">
        <v>45139</v>
      </c>
      <c r="B1845" t="s">
        <v>25</v>
      </c>
      <c r="C1845" t="s">
        <v>21</v>
      </c>
      <c r="D1845">
        <v>1</v>
      </c>
      <c r="E1845" t="s">
        <v>10</v>
      </c>
      <c r="F1845">
        <v>89000</v>
      </c>
      <c r="G1845">
        <v>65000</v>
      </c>
      <c r="H1845">
        <f>Table1[[#This Row],[Qty]]*Table1[[#This Row],[SellingPrice]]</f>
        <v>89000</v>
      </c>
      <c r="I1845">
        <f>Table1[[#This Row],[Qty]]*Table1[[#This Row],[CostPrice]]</f>
        <v>65000</v>
      </c>
      <c r="J1845">
        <v>23832</v>
      </c>
      <c r="K1845">
        <v>167.99999999999997</v>
      </c>
      <c r="L1845" t="s">
        <v>13</v>
      </c>
      <c r="M1845" t="s">
        <v>30</v>
      </c>
      <c r="N1845">
        <f>MONTH(Table1[[#This Row],[SaleDate]])</f>
        <v>8</v>
      </c>
      <c r="O1845" t="str">
        <f>TEXT(Table1[[#This Row],[SaleDate]],"MMM")</f>
        <v>Aug</v>
      </c>
    </row>
    <row r="1846" spans="1:15">
      <c r="A1846" s="1">
        <v>45140</v>
      </c>
      <c r="B1846" t="s">
        <v>23</v>
      </c>
      <c r="C1846" t="s">
        <v>19</v>
      </c>
      <c r="D1846">
        <v>1</v>
      </c>
      <c r="E1846" t="s">
        <v>7</v>
      </c>
      <c r="F1846">
        <v>33000</v>
      </c>
      <c r="G1846">
        <v>18000</v>
      </c>
      <c r="H1846">
        <f>Table1[[#This Row],[Qty]]*Table1[[#This Row],[SellingPrice]]</f>
        <v>33000</v>
      </c>
      <c r="I1846">
        <f>Table1[[#This Row],[Qty]]*Table1[[#This Row],[CostPrice]]</f>
        <v>18000</v>
      </c>
      <c r="J1846">
        <v>14895</v>
      </c>
      <c r="K1846">
        <v>104.99999999999999</v>
      </c>
      <c r="L1846" t="s">
        <v>8</v>
      </c>
      <c r="M1846" t="s">
        <v>30</v>
      </c>
      <c r="N1846">
        <f>MONTH(Table1[[#This Row],[SaleDate]])</f>
        <v>8</v>
      </c>
      <c r="O1846" t="str">
        <f>TEXT(Table1[[#This Row],[SaleDate]],"MMM")</f>
        <v>Aug</v>
      </c>
    </row>
    <row r="1847" spans="1:15">
      <c r="A1847" s="1">
        <v>45140</v>
      </c>
      <c r="B1847" t="s">
        <v>23</v>
      </c>
      <c r="C1847" t="s">
        <v>19</v>
      </c>
      <c r="D1847">
        <v>1</v>
      </c>
      <c r="E1847" t="s">
        <v>9</v>
      </c>
      <c r="F1847">
        <v>60000</v>
      </c>
      <c r="G1847">
        <v>31000</v>
      </c>
      <c r="H1847">
        <f>Table1[[#This Row],[Qty]]*Table1[[#This Row],[SellingPrice]]</f>
        <v>60000</v>
      </c>
      <c r="I1847">
        <f>Table1[[#This Row],[Qty]]*Table1[[#This Row],[CostPrice]]</f>
        <v>31000</v>
      </c>
      <c r="J1847">
        <v>28797</v>
      </c>
      <c r="K1847">
        <v>202.99999999999997</v>
      </c>
      <c r="L1847" t="s">
        <v>8</v>
      </c>
      <c r="M1847" t="s">
        <v>30</v>
      </c>
      <c r="N1847">
        <f>MONTH(Table1[[#This Row],[SaleDate]])</f>
        <v>8</v>
      </c>
      <c r="O1847" t="str">
        <f>TEXT(Table1[[#This Row],[SaleDate]],"MMM")</f>
        <v>Aug</v>
      </c>
    </row>
    <row r="1848" spans="1:15">
      <c r="A1848" s="1">
        <v>45140</v>
      </c>
      <c r="B1848" t="s">
        <v>23</v>
      </c>
      <c r="C1848" t="s">
        <v>19</v>
      </c>
      <c r="D1848">
        <v>1</v>
      </c>
      <c r="E1848" t="s">
        <v>10</v>
      </c>
      <c r="F1848">
        <v>89000</v>
      </c>
      <c r="G1848">
        <v>65000</v>
      </c>
      <c r="H1848">
        <f>Table1[[#This Row],[Qty]]*Table1[[#This Row],[SellingPrice]]</f>
        <v>89000</v>
      </c>
      <c r="I1848">
        <f>Table1[[#This Row],[Qty]]*Table1[[#This Row],[CostPrice]]</f>
        <v>65000</v>
      </c>
      <c r="J1848">
        <v>23832</v>
      </c>
      <c r="K1848">
        <v>167.99999999999997</v>
      </c>
      <c r="L1848" t="s">
        <v>8</v>
      </c>
      <c r="M1848" t="s">
        <v>30</v>
      </c>
      <c r="N1848">
        <f>MONTH(Table1[[#This Row],[SaleDate]])</f>
        <v>8</v>
      </c>
      <c r="O1848" t="str">
        <f>TEXT(Table1[[#This Row],[SaleDate]],"MMM")</f>
        <v>Aug</v>
      </c>
    </row>
    <row r="1849" spans="1:15">
      <c r="A1849" s="1">
        <v>45140</v>
      </c>
      <c r="B1849" t="s">
        <v>24</v>
      </c>
      <c r="C1849" t="s">
        <v>22</v>
      </c>
      <c r="D1849">
        <v>1</v>
      </c>
      <c r="E1849" t="s">
        <v>7</v>
      </c>
      <c r="F1849">
        <v>33000</v>
      </c>
      <c r="G1849">
        <v>18000</v>
      </c>
      <c r="H1849">
        <f>Table1[[#This Row],[Qty]]*Table1[[#This Row],[SellingPrice]]</f>
        <v>33000</v>
      </c>
      <c r="I1849">
        <f>Table1[[#This Row],[Qty]]*Table1[[#This Row],[CostPrice]]</f>
        <v>18000</v>
      </c>
      <c r="J1849">
        <v>14895</v>
      </c>
      <c r="K1849">
        <v>104.99999999999999</v>
      </c>
      <c r="L1849" t="s">
        <v>12</v>
      </c>
      <c r="M1849" t="s">
        <v>28</v>
      </c>
      <c r="N1849">
        <f>MONTH(Table1[[#This Row],[SaleDate]])</f>
        <v>8</v>
      </c>
      <c r="O1849" t="str">
        <f>TEXT(Table1[[#This Row],[SaleDate]],"MMM")</f>
        <v>Aug</v>
      </c>
    </row>
    <row r="1850" spans="1:15">
      <c r="A1850" s="1">
        <v>45140</v>
      </c>
      <c r="B1850" t="s">
        <v>24</v>
      </c>
      <c r="C1850" t="s">
        <v>22</v>
      </c>
      <c r="D1850">
        <v>1</v>
      </c>
      <c r="E1850" t="s">
        <v>9</v>
      </c>
      <c r="F1850">
        <v>60000</v>
      </c>
      <c r="G1850">
        <v>31000</v>
      </c>
      <c r="H1850">
        <f>Table1[[#This Row],[Qty]]*Table1[[#This Row],[SellingPrice]]</f>
        <v>60000</v>
      </c>
      <c r="I1850">
        <f>Table1[[#This Row],[Qty]]*Table1[[#This Row],[CostPrice]]</f>
        <v>31000</v>
      </c>
      <c r="J1850">
        <v>28797</v>
      </c>
      <c r="K1850">
        <v>202.99999999999997</v>
      </c>
      <c r="L1850" t="s">
        <v>12</v>
      </c>
      <c r="M1850" t="s">
        <v>28</v>
      </c>
      <c r="N1850">
        <f>MONTH(Table1[[#This Row],[SaleDate]])</f>
        <v>8</v>
      </c>
      <c r="O1850" t="str">
        <f>TEXT(Table1[[#This Row],[SaleDate]],"MMM")</f>
        <v>Aug</v>
      </c>
    </row>
    <row r="1851" spans="1:15">
      <c r="A1851" s="1">
        <v>45140</v>
      </c>
      <c r="B1851" t="s">
        <v>24</v>
      </c>
      <c r="C1851" t="s">
        <v>22</v>
      </c>
      <c r="D1851">
        <v>1</v>
      </c>
      <c r="E1851" t="s">
        <v>10</v>
      </c>
      <c r="F1851">
        <v>89000</v>
      </c>
      <c r="G1851">
        <v>65000</v>
      </c>
      <c r="H1851">
        <f>Table1[[#This Row],[Qty]]*Table1[[#This Row],[SellingPrice]]</f>
        <v>89000</v>
      </c>
      <c r="I1851">
        <f>Table1[[#This Row],[Qty]]*Table1[[#This Row],[CostPrice]]</f>
        <v>65000</v>
      </c>
      <c r="J1851">
        <v>23832</v>
      </c>
      <c r="K1851">
        <v>167.99999999999997</v>
      </c>
      <c r="L1851" t="s">
        <v>12</v>
      </c>
      <c r="M1851" t="s">
        <v>29</v>
      </c>
      <c r="N1851">
        <f>MONTH(Table1[[#This Row],[SaleDate]])</f>
        <v>8</v>
      </c>
      <c r="O1851" t="str">
        <f>TEXT(Table1[[#This Row],[SaleDate]],"MMM")</f>
        <v>Aug</v>
      </c>
    </row>
    <row r="1852" spans="1:15">
      <c r="A1852" s="1">
        <v>45140</v>
      </c>
      <c r="B1852" t="s">
        <v>25</v>
      </c>
      <c r="C1852" t="s">
        <v>21</v>
      </c>
      <c r="D1852">
        <v>1</v>
      </c>
      <c r="E1852" t="s">
        <v>7</v>
      </c>
      <c r="F1852">
        <v>33000</v>
      </c>
      <c r="G1852">
        <v>18000</v>
      </c>
      <c r="H1852">
        <f>Table1[[#This Row],[Qty]]*Table1[[#This Row],[SellingPrice]]</f>
        <v>33000</v>
      </c>
      <c r="I1852">
        <f>Table1[[#This Row],[Qty]]*Table1[[#This Row],[CostPrice]]</f>
        <v>18000</v>
      </c>
      <c r="J1852">
        <v>14895</v>
      </c>
      <c r="K1852">
        <v>104.99999999999999</v>
      </c>
      <c r="L1852" t="s">
        <v>13</v>
      </c>
      <c r="M1852" t="s">
        <v>29</v>
      </c>
      <c r="N1852">
        <f>MONTH(Table1[[#This Row],[SaleDate]])</f>
        <v>8</v>
      </c>
      <c r="O1852" t="str">
        <f>TEXT(Table1[[#This Row],[SaleDate]],"MMM")</f>
        <v>Aug</v>
      </c>
    </row>
    <row r="1853" spans="1:15">
      <c r="A1853" s="1">
        <v>45140</v>
      </c>
      <c r="B1853" t="s">
        <v>25</v>
      </c>
      <c r="C1853" t="s">
        <v>21</v>
      </c>
      <c r="D1853">
        <v>1</v>
      </c>
      <c r="E1853" t="s">
        <v>9</v>
      </c>
      <c r="F1853">
        <v>60000</v>
      </c>
      <c r="G1853">
        <v>31000</v>
      </c>
      <c r="H1853">
        <f>Table1[[#This Row],[Qty]]*Table1[[#This Row],[SellingPrice]]</f>
        <v>60000</v>
      </c>
      <c r="I1853">
        <f>Table1[[#This Row],[Qty]]*Table1[[#This Row],[CostPrice]]</f>
        <v>31000</v>
      </c>
      <c r="J1853">
        <v>28797</v>
      </c>
      <c r="K1853">
        <v>202.99999999999997</v>
      </c>
      <c r="L1853" t="s">
        <v>13</v>
      </c>
      <c r="M1853" t="s">
        <v>29</v>
      </c>
      <c r="N1853">
        <f>MONTH(Table1[[#This Row],[SaleDate]])</f>
        <v>8</v>
      </c>
      <c r="O1853" t="str">
        <f>TEXT(Table1[[#This Row],[SaleDate]],"MMM")</f>
        <v>Aug</v>
      </c>
    </row>
    <row r="1854" spans="1:15">
      <c r="A1854" s="1">
        <v>45140</v>
      </c>
      <c r="B1854" t="s">
        <v>25</v>
      </c>
      <c r="C1854" t="s">
        <v>21</v>
      </c>
      <c r="D1854">
        <v>1</v>
      </c>
      <c r="E1854" t="s">
        <v>10</v>
      </c>
      <c r="F1854">
        <v>89000</v>
      </c>
      <c r="G1854">
        <v>65000</v>
      </c>
      <c r="H1854">
        <f>Table1[[#This Row],[Qty]]*Table1[[#This Row],[SellingPrice]]</f>
        <v>89000</v>
      </c>
      <c r="I1854">
        <f>Table1[[#This Row],[Qty]]*Table1[[#This Row],[CostPrice]]</f>
        <v>65000</v>
      </c>
      <c r="J1854">
        <v>23832</v>
      </c>
      <c r="K1854">
        <v>167.99999999999997</v>
      </c>
      <c r="L1854" t="s">
        <v>13</v>
      </c>
      <c r="M1854" t="s">
        <v>27</v>
      </c>
      <c r="N1854">
        <f>MONTH(Table1[[#This Row],[SaleDate]])</f>
        <v>8</v>
      </c>
      <c r="O1854" t="str">
        <f>TEXT(Table1[[#This Row],[SaleDate]],"MMM")</f>
        <v>Aug</v>
      </c>
    </row>
    <row r="1855" spans="1:15">
      <c r="A1855" s="1">
        <v>45141</v>
      </c>
      <c r="B1855" t="s">
        <v>23</v>
      </c>
      <c r="C1855" t="s">
        <v>19</v>
      </c>
      <c r="D1855">
        <v>1</v>
      </c>
      <c r="E1855" t="s">
        <v>7</v>
      </c>
      <c r="F1855">
        <v>33000</v>
      </c>
      <c r="G1855">
        <v>18000</v>
      </c>
      <c r="H1855">
        <f>Table1[[#This Row],[Qty]]*Table1[[#This Row],[SellingPrice]]</f>
        <v>33000</v>
      </c>
      <c r="I1855">
        <f>Table1[[#This Row],[Qty]]*Table1[[#This Row],[CostPrice]]</f>
        <v>18000</v>
      </c>
      <c r="J1855">
        <v>14895</v>
      </c>
      <c r="K1855">
        <v>104.99999999999999</v>
      </c>
      <c r="L1855" t="s">
        <v>8</v>
      </c>
      <c r="M1855" t="s">
        <v>27</v>
      </c>
      <c r="N1855">
        <f>MONTH(Table1[[#This Row],[SaleDate]])</f>
        <v>8</v>
      </c>
      <c r="O1855" t="str">
        <f>TEXT(Table1[[#This Row],[SaleDate]],"MMM")</f>
        <v>Aug</v>
      </c>
    </row>
    <row r="1856" spans="1:15">
      <c r="A1856" s="1">
        <v>45141</v>
      </c>
      <c r="B1856" t="s">
        <v>23</v>
      </c>
      <c r="C1856" t="s">
        <v>19</v>
      </c>
      <c r="D1856">
        <v>1</v>
      </c>
      <c r="E1856" t="s">
        <v>9</v>
      </c>
      <c r="F1856">
        <v>60000</v>
      </c>
      <c r="G1856">
        <v>31000</v>
      </c>
      <c r="H1856">
        <f>Table1[[#This Row],[Qty]]*Table1[[#This Row],[SellingPrice]]</f>
        <v>60000</v>
      </c>
      <c r="I1856">
        <f>Table1[[#This Row],[Qty]]*Table1[[#This Row],[CostPrice]]</f>
        <v>31000</v>
      </c>
      <c r="J1856">
        <v>28797</v>
      </c>
      <c r="K1856">
        <v>202.99999999999997</v>
      </c>
      <c r="L1856" t="s">
        <v>8</v>
      </c>
      <c r="M1856" t="s">
        <v>30</v>
      </c>
      <c r="N1856">
        <f>MONTH(Table1[[#This Row],[SaleDate]])</f>
        <v>8</v>
      </c>
      <c r="O1856" t="str">
        <f>TEXT(Table1[[#This Row],[SaleDate]],"MMM")</f>
        <v>Aug</v>
      </c>
    </row>
    <row r="1857" spans="1:15">
      <c r="A1857" s="1">
        <v>45141</v>
      </c>
      <c r="B1857" t="s">
        <v>23</v>
      </c>
      <c r="C1857" t="s">
        <v>19</v>
      </c>
      <c r="D1857">
        <v>1</v>
      </c>
      <c r="E1857" t="s">
        <v>10</v>
      </c>
      <c r="F1857">
        <v>89000</v>
      </c>
      <c r="G1857">
        <v>65000</v>
      </c>
      <c r="H1857">
        <f>Table1[[#This Row],[Qty]]*Table1[[#This Row],[SellingPrice]]</f>
        <v>89000</v>
      </c>
      <c r="I1857">
        <f>Table1[[#This Row],[Qty]]*Table1[[#This Row],[CostPrice]]</f>
        <v>65000</v>
      </c>
      <c r="J1857">
        <v>23832</v>
      </c>
      <c r="K1857">
        <v>167.99999999999997</v>
      </c>
      <c r="L1857" t="s">
        <v>8</v>
      </c>
      <c r="M1857" t="s">
        <v>30</v>
      </c>
      <c r="N1857">
        <f>MONTH(Table1[[#This Row],[SaleDate]])</f>
        <v>8</v>
      </c>
      <c r="O1857" t="str">
        <f>TEXT(Table1[[#This Row],[SaleDate]],"MMM")</f>
        <v>Aug</v>
      </c>
    </row>
    <row r="1858" spans="1:15">
      <c r="A1858" s="1">
        <v>45141</v>
      </c>
      <c r="B1858" t="s">
        <v>24</v>
      </c>
      <c r="C1858" t="s">
        <v>22</v>
      </c>
      <c r="D1858">
        <v>1</v>
      </c>
      <c r="E1858" t="s">
        <v>7</v>
      </c>
      <c r="F1858">
        <v>33000</v>
      </c>
      <c r="G1858">
        <v>18000</v>
      </c>
      <c r="H1858">
        <f>Table1[[#This Row],[Qty]]*Table1[[#This Row],[SellingPrice]]</f>
        <v>33000</v>
      </c>
      <c r="I1858">
        <f>Table1[[#This Row],[Qty]]*Table1[[#This Row],[CostPrice]]</f>
        <v>18000</v>
      </c>
      <c r="J1858">
        <v>14895</v>
      </c>
      <c r="K1858">
        <v>104.99999999999999</v>
      </c>
      <c r="L1858" t="s">
        <v>12</v>
      </c>
      <c r="M1858" t="s">
        <v>30</v>
      </c>
      <c r="N1858">
        <f>MONTH(Table1[[#This Row],[SaleDate]])</f>
        <v>8</v>
      </c>
      <c r="O1858" t="str">
        <f>TEXT(Table1[[#This Row],[SaleDate]],"MMM")</f>
        <v>Aug</v>
      </c>
    </row>
    <row r="1859" spans="1:15">
      <c r="A1859" s="1">
        <v>45141</v>
      </c>
      <c r="B1859" t="s">
        <v>24</v>
      </c>
      <c r="C1859" t="s">
        <v>22</v>
      </c>
      <c r="D1859">
        <v>1</v>
      </c>
      <c r="E1859" t="s">
        <v>9</v>
      </c>
      <c r="F1859">
        <v>60000</v>
      </c>
      <c r="G1859">
        <v>31000</v>
      </c>
      <c r="H1859">
        <f>Table1[[#This Row],[Qty]]*Table1[[#This Row],[SellingPrice]]</f>
        <v>60000</v>
      </c>
      <c r="I1859">
        <f>Table1[[#This Row],[Qty]]*Table1[[#This Row],[CostPrice]]</f>
        <v>31000</v>
      </c>
      <c r="J1859">
        <v>28797</v>
      </c>
      <c r="K1859">
        <v>202.99999999999997</v>
      </c>
      <c r="L1859" t="s">
        <v>12</v>
      </c>
      <c r="M1859" t="s">
        <v>27</v>
      </c>
      <c r="N1859">
        <f>MONTH(Table1[[#This Row],[SaleDate]])</f>
        <v>8</v>
      </c>
      <c r="O1859" t="str">
        <f>TEXT(Table1[[#This Row],[SaleDate]],"MMM")</f>
        <v>Aug</v>
      </c>
    </row>
    <row r="1860" spans="1:15">
      <c r="A1860" s="1">
        <v>45141</v>
      </c>
      <c r="B1860" t="s">
        <v>24</v>
      </c>
      <c r="C1860" t="s">
        <v>22</v>
      </c>
      <c r="D1860">
        <v>1</v>
      </c>
      <c r="E1860" t="s">
        <v>10</v>
      </c>
      <c r="F1860">
        <v>89000</v>
      </c>
      <c r="G1860">
        <v>65000</v>
      </c>
      <c r="H1860">
        <f>Table1[[#This Row],[Qty]]*Table1[[#This Row],[SellingPrice]]</f>
        <v>89000</v>
      </c>
      <c r="I1860">
        <f>Table1[[#This Row],[Qty]]*Table1[[#This Row],[CostPrice]]</f>
        <v>65000</v>
      </c>
      <c r="J1860">
        <v>23832</v>
      </c>
      <c r="K1860">
        <v>167.99999999999997</v>
      </c>
      <c r="L1860" t="s">
        <v>12</v>
      </c>
      <c r="M1860" t="s">
        <v>29</v>
      </c>
      <c r="N1860">
        <f>MONTH(Table1[[#This Row],[SaleDate]])</f>
        <v>8</v>
      </c>
      <c r="O1860" t="str">
        <f>TEXT(Table1[[#This Row],[SaleDate]],"MMM")</f>
        <v>Aug</v>
      </c>
    </row>
    <row r="1861" spans="1:15">
      <c r="A1861" s="1">
        <v>45141</v>
      </c>
      <c r="B1861" t="s">
        <v>25</v>
      </c>
      <c r="C1861" t="s">
        <v>21</v>
      </c>
      <c r="D1861">
        <v>1</v>
      </c>
      <c r="E1861" t="s">
        <v>7</v>
      </c>
      <c r="F1861">
        <v>33000</v>
      </c>
      <c r="G1861">
        <v>18000</v>
      </c>
      <c r="H1861">
        <f>Table1[[#This Row],[Qty]]*Table1[[#This Row],[SellingPrice]]</f>
        <v>33000</v>
      </c>
      <c r="I1861">
        <f>Table1[[#This Row],[Qty]]*Table1[[#This Row],[CostPrice]]</f>
        <v>18000</v>
      </c>
      <c r="J1861">
        <v>14895</v>
      </c>
      <c r="K1861">
        <v>104.99999999999999</v>
      </c>
      <c r="L1861" t="s">
        <v>13</v>
      </c>
      <c r="M1861" t="s">
        <v>30</v>
      </c>
      <c r="N1861">
        <f>MONTH(Table1[[#This Row],[SaleDate]])</f>
        <v>8</v>
      </c>
      <c r="O1861" t="str">
        <f>TEXT(Table1[[#This Row],[SaleDate]],"MMM")</f>
        <v>Aug</v>
      </c>
    </row>
    <row r="1862" spans="1:15">
      <c r="A1862" s="1">
        <v>45141</v>
      </c>
      <c r="B1862" t="s">
        <v>25</v>
      </c>
      <c r="C1862" t="s">
        <v>21</v>
      </c>
      <c r="D1862">
        <v>1</v>
      </c>
      <c r="E1862" t="s">
        <v>9</v>
      </c>
      <c r="F1862">
        <v>60000</v>
      </c>
      <c r="G1862">
        <v>31000</v>
      </c>
      <c r="H1862">
        <f>Table1[[#This Row],[Qty]]*Table1[[#This Row],[SellingPrice]]</f>
        <v>60000</v>
      </c>
      <c r="I1862">
        <f>Table1[[#This Row],[Qty]]*Table1[[#This Row],[CostPrice]]</f>
        <v>31000</v>
      </c>
      <c r="J1862">
        <v>28797</v>
      </c>
      <c r="K1862">
        <v>202.99999999999997</v>
      </c>
      <c r="L1862" t="s">
        <v>13</v>
      </c>
      <c r="M1862" t="s">
        <v>29</v>
      </c>
      <c r="N1862">
        <f>MONTH(Table1[[#This Row],[SaleDate]])</f>
        <v>8</v>
      </c>
      <c r="O1862" t="str">
        <f>TEXT(Table1[[#This Row],[SaleDate]],"MMM")</f>
        <v>Aug</v>
      </c>
    </row>
    <row r="1863" spans="1:15">
      <c r="A1863" s="1">
        <v>45141</v>
      </c>
      <c r="B1863" t="s">
        <v>25</v>
      </c>
      <c r="C1863" t="s">
        <v>21</v>
      </c>
      <c r="D1863">
        <v>1</v>
      </c>
      <c r="E1863" t="s">
        <v>10</v>
      </c>
      <c r="F1863">
        <v>89000</v>
      </c>
      <c r="G1863">
        <v>65000</v>
      </c>
      <c r="H1863">
        <f>Table1[[#This Row],[Qty]]*Table1[[#This Row],[SellingPrice]]</f>
        <v>89000</v>
      </c>
      <c r="I1863">
        <f>Table1[[#This Row],[Qty]]*Table1[[#This Row],[CostPrice]]</f>
        <v>65000</v>
      </c>
      <c r="J1863">
        <v>23832</v>
      </c>
      <c r="K1863">
        <v>167.99999999999997</v>
      </c>
      <c r="L1863" t="s">
        <v>13</v>
      </c>
      <c r="M1863" t="s">
        <v>29</v>
      </c>
      <c r="N1863">
        <f>MONTH(Table1[[#This Row],[SaleDate]])</f>
        <v>8</v>
      </c>
      <c r="O1863" t="str">
        <f>TEXT(Table1[[#This Row],[SaleDate]],"MMM")</f>
        <v>Aug</v>
      </c>
    </row>
    <row r="1864" spans="1:15">
      <c r="A1864" s="1">
        <v>45142</v>
      </c>
      <c r="B1864" t="s">
        <v>23</v>
      </c>
      <c r="C1864" t="s">
        <v>19</v>
      </c>
      <c r="D1864">
        <v>2</v>
      </c>
      <c r="E1864" t="s">
        <v>7</v>
      </c>
      <c r="F1864">
        <v>33000</v>
      </c>
      <c r="G1864">
        <v>18000</v>
      </c>
      <c r="H1864">
        <f>Table1[[#This Row],[Qty]]*Table1[[#This Row],[SellingPrice]]</f>
        <v>66000</v>
      </c>
      <c r="I1864">
        <f>Table1[[#This Row],[Qty]]*Table1[[#This Row],[CostPrice]]</f>
        <v>36000</v>
      </c>
      <c r="J1864">
        <v>29790</v>
      </c>
      <c r="K1864">
        <v>209.99999999999997</v>
      </c>
      <c r="L1864" t="s">
        <v>8</v>
      </c>
      <c r="M1864" t="s">
        <v>30</v>
      </c>
      <c r="N1864">
        <f>MONTH(Table1[[#This Row],[SaleDate]])</f>
        <v>8</v>
      </c>
      <c r="O1864" t="str">
        <f>TEXT(Table1[[#This Row],[SaleDate]],"MMM")</f>
        <v>Aug</v>
      </c>
    </row>
    <row r="1865" spans="1:15">
      <c r="A1865" s="1">
        <v>45142</v>
      </c>
      <c r="B1865" t="s">
        <v>23</v>
      </c>
      <c r="C1865" t="s">
        <v>19</v>
      </c>
      <c r="D1865">
        <v>2</v>
      </c>
      <c r="E1865" t="s">
        <v>9</v>
      </c>
      <c r="F1865">
        <v>60000</v>
      </c>
      <c r="G1865">
        <v>31000</v>
      </c>
      <c r="H1865">
        <f>Table1[[#This Row],[Qty]]*Table1[[#This Row],[SellingPrice]]</f>
        <v>120000</v>
      </c>
      <c r="I1865">
        <f>Table1[[#This Row],[Qty]]*Table1[[#This Row],[CostPrice]]</f>
        <v>62000</v>
      </c>
      <c r="J1865">
        <v>57594</v>
      </c>
      <c r="K1865">
        <v>405.99999999999994</v>
      </c>
      <c r="L1865" t="s">
        <v>8</v>
      </c>
      <c r="M1865" t="s">
        <v>30</v>
      </c>
      <c r="N1865">
        <f>MONTH(Table1[[#This Row],[SaleDate]])</f>
        <v>8</v>
      </c>
      <c r="O1865" t="str">
        <f>TEXT(Table1[[#This Row],[SaleDate]],"MMM")</f>
        <v>Aug</v>
      </c>
    </row>
    <row r="1866" spans="1:15">
      <c r="A1866" s="1">
        <v>45142</v>
      </c>
      <c r="B1866" t="s">
        <v>23</v>
      </c>
      <c r="C1866" t="s">
        <v>19</v>
      </c>
      <c r="D1866">
        <v>2</v>
      </c>
      <c r="E1866" t="s">
        <v>10</v>
      </c>
      <c r="F1866">
        <v>89000</v>
      </c>
      <c r="G1866">
        <v>65000</v>
      </c>
      <c r="H1866">
        <f>Table1[[#This Row],[Qty]]*Table1[[#This Row],[SellingPrice]]</f>
        <v>178000</v>
      </c>
      <c r="I1866">
        <f>Table1[[#This Row],[Qty]]*Table1[[#This Row],[CostPrice]]</f>
        <v>130000</v>
      </c>
      <c r="J1866">
        <v>47664</v>
      </c>
      <c r="K1866">
        <v>335.99999999999994</v>
      </c>
      <c r="L1866" t="s">
        <v>8</v>
      </c>
      <c r="M1866" t="s">
        <v>27</v>
      </c>
      <c r="N1866">
        <f>MONTH(Table1[[#This Row],[SaleDate]])</f>
        <v>8</v>
      </c>
      <c r="O1866" t="str">
        <f>TEXT(Table1[[#This Row],[SaleDate]],"MMM")</f>
        <v>Aug</v>
      </c>
    </row>
    <row r="1867" spans="1:15">
      <c r="A1867" s="1">
        <v>45142</v>
      </c>
      <c r="B1867" t="s">
        <v>24</v>
      </c>
      <c r="C1867" t="s">
        <v>22</v>
      </c>
      <c r="D1867">
        <v>2</v>
      </c>
      <c r="E1867" t="s">
        <v>7</v>
      </c>
      <c r="F1867">
        <v>33000</v>
      </c>
      <c r="G1867">
        <v>18000</v>
      </c>
      <c r="H1867">
        <f>Table1[[#This Row],[Qty]]*Table1[[#This Row],[SellingPrice]]</f>
        <v>66000</v>
      </c>
      <c r="I1867">
        <f>Table1[[#This Row],[Qty]]*Table1[[#This Row],[CostPrice]]</f>
        <v>36000</v>
      </c>
      <c r="J1867">
        <v>29790</v>
      </c>
      <c r="K1867">
        <v>209.99999999999997</v>
      </c>
      <c r="L1867" t="s">
        <v>12</v>
      </c>
      <c r="M1867" t="s">
        <v>29</v>
      </c>
      <c r="N1867">
        <f>MONTH(Table1[[#This Row],[SaleDate]])</f>
        <v>8</v>
      </c>
      <c r="O1867" t="str">
        <f>TEXT(Table1[[#This Row],[SaleDate]],"MMM")</f>
        <v>Aug</v>
      </c>
    </row>
    <row r="1868" spans="1:15">
      <c r="A1868" s="1">
        <v>45142</v>
      </c>
      <c r="B1868" t="s">
        <v>24</v>
      </c>
      <c r="C1868" t="s">
        <v>22</v>
      </c>
      <c r="D1868">
        <v>2</v>
      </c>
      <c r="E1868" t="s">
        <v>9</v>
      </c>
      <c r="F1868">
        <v>60000</v>
      </c>
      <c r="G1868">
        <v>31000</v>
      </c>
      <c r="H1868">
        <f>Table1[[#This Row],[Qty]]*Table1[[#This Row],[SellingPrice]]</f>
        <v>120000</v>
      </c>
      <c r="I1868">
        <f>Table1[[#This Row],[Qty]]*Table1[[#This Row],[CostPrice]]</f>
        <v>62000</v>
      </c>
      <c r="J1868">
        <v>57594</v>
      </c>
      <c r="K1868">
        <v>405.99999999999994</v>
      </c>
      <c r="L1868" t="s">
        <v>12</v>
      </c>
      <c r="M1868" t="s">
        <v>30</v>
      </c>
      <c r="N1868">
        <f>MONTH(Table1[[#This Row],[SaleDate]])</f>
        <v>8</v>
      </c>
      <c r="O1868" t="str">
        <f>TEXT(Table1[[#This Row],[SaleDate]],"MMM")</f>
        <v>Aug</v>
      </c>
    </row>
    <row r="1869" spans="1:15">
      <c r="A1869" s="1">
        <v>45142</v>
      </c>
      <c r="B1869" t="s">
        <v>24</v>
      </c>
      <c r="C1869" t="s">
        <v>22</v>
      </c>
      <c r="D1869">
        <v>2</v>
      </c>
      <c r="E1869" t="s">
        <v>10</v>
      </c>
      <c r="F1869">
        <v>89000</v>
      </c>
      <c r="G1869">
        <v>65000</v>
      </c>
      <c r="H1869">
        <f>Table1[[#This Row],[Qty]]*Table1[[#This Row],[SellingPrice]]</f>
        <v>178000</v>
      </c>
      <c r="I1869">
        <f>Table1[[#This Row],[Qty]]*Table1[[#This Row],[CostPrice]]</f>
        <v>130000</v>
      </c>
      <c r="J1869">
        <v>47664</v>
      </c>
      <c r="K1869">
        <v>335.99999999999994</v>
      </c>
      <c r="L1869" t="s">
        <v>12</v>
      </c>
      <c r="M1869" t="s">
        <v>29</v>
      </c>
      <c r="N1869">
        <f>MONTH(Table1[[#This Row],[SaleDate]])</f>
        <v>8</v>
      </c>
      <c r="O1869" t="str">
        <f>TEXT(Table1[[#This Row],[SaleDate]],"MMM")</f>
        <v>Aug</v>
      </c>
    </row>
    <row r="1870" spans="1:15">
      <c r="A1870" s="1">
        <v>45142</v>
      </c>
      <c r="B1870" t="s">
        <v>25</v>
      </c>
      <c r="C1870" t="s">
        <v>21</v>
      </c>
      <c r="D1870">
        <v>2</v>
      </c>
      <c r="E1870" t="s">
        <v>7</v>
      </c>
      <c r="F1870">
        <v>33000</v>
      </c>
      <c r="G1870">
        <v>18000</v>
      </c>
      <c r="H1870">
        <f>Table1[[#This Row],[Qty]]*Table1[[#This Row],[SellingPrice]]</f>
        <v>66000</v>
      </c>
      <c r="I1870">
        <f>Table1[[#This Row],[Qty]]*Table1[[#This Row],[CostPrice]]</f>
        <v>36000</v>
      </c>
      <c r="J1870">
        <v>29790</v>
      </c>
      <c r="K1870">
        <v>209.99999999999997</v>
      </c>
      <c r="L1870" t="s">
        <v>13</v>
      </c>
      <c r="M1870" t="s">
        <v>30</v>
      </c>
      <c r="N1870">
        <f>MONTH(Table1[[#This Row],[SaleDate]])</f>
        <v>8</v>
      </c>
      <c r="O1870" t="str">
        <f>TEXT(Table1[[#This Row],[SaleDate]],"MMM")</f>
        <v>Aug</v>
      </c>
    </row>
    <row r="1871" spans="1:15">
      <c r="A1871" s="1">
        <v>45142</v>
      </c>
      <c r="B1871" t="s">
        <v>25</v>
      </c>
      <c r="C1871" t="s">
        <v>21</v>
      </c>
      <c r="D1871">
        <v>2</v>
      </c>
      <c r="E1871" t="s">
        <v>9</v>
      </c>
      <c r="F1871">
        <v>60000</v>
      </c>
      <c r="G1871">
        <v>31000</v>
      </c>
      <c r="H1871">
        <f>Table1[[#This Row],[Qty]]*Table1[[#This Row],[SellingPrice]]</f>
        <v>120000</v>
      </c>
      <c r="I1871">
        <f>Table1[[#This Row],[Qty]]*Table1[[#This Row],[CostPrice]]</f>
        <v>62000</v>
      </c>
      <c r="J1871">
        <v>57594</v>
      </c>
      <c r="K1871">
        <v>405.99999999999994</v>
      </c>
      <c r="L1871" t="s">
        <v>13</v>
      </c>
      <c r="M1871" t="s">
        <v>30</v>
      </c>
      <c r="N1871">
        <f>MONTH(Table1[[#This Row],[SaleDate]])</f>
        <v>8</v>
      </c>
      <c r="O1871" t="str">
        <f>TEXT(Table1[[#This Row],[SaleDate]],"MMM")</f>
        <v>Aug</v>
      </c>
    </row>
    <row r="1872" spans="1:15">
      <c r="A1872" s="1">
        <v>45142</v>
      </c>
      <c r="B1872" t="s">
        <v>25</v>
      </c>
      <c r="C1872" t="s">
        <v>21</v>
      </c>
      <c r="D1872">
        <v>2</v>
      </c>
      <c r="E1872" t="s">
        <v>10</v>
      </c>
      <c r="F1872">
        <v>89000</v>
      </c>
      <c r="G1872">
        <v>65000</v>
      </c>
      <c r="H1872">
        <f>Table1[[#This Row],[Qty]]*Table1[[#This Row],[SellingPrice]]</f>
        <v>178000</v>
      </c>
      <c r="I1872">
        <f>Table1[[#This Row],[Qty]]*Table1[[#This Row],[CostPrice]]</f>
        <v>130000</v>
      </c>
      <c r="J1872">
        <v>47664</v>
      </c>
      <c r="K1872">
        <v>335.99999999999994</v>
      </c>
      <c r="L1872" t="s">
        <v>13</v>
      </c>
      <c r="M1872" t="s">
        <v>28</v>
      </c>
      <c r="N1872">
        <f>MONTH(Table1[[#This Row],[SaleDate]])</f>
        <v>8</v>
      </c>
      <c r="O1872" t="str">
        <f>TEXT(Table1[[#This Row],[SaleDate]],"MMM")</f>
        <v>Aug</v>
      </c>
    </row>
    <row r="1873" spans="1:15">
      <c r="A1873" s="1">
        <v>45143</v>
      </c>
      <c r="B1873" t="s">
        <v>23</v>
      </c>
      <c r="C1873" t="s">
        <v>19</v>
      </c>
      <c r="D1873">
        <v>1</v>
      </c>
      <c r="E1873" t="s">
        <v>7</v>
      </c>
      <c r="F1873">
        <v>33000</v>
      </c>
      <c r="G1873">
        <v>18000</v>
      </c>
      <c r="H1873">
        <f>Table1[[#This Row],[Qty]]*Table1[[#This Row],[SellingPrice]]</f>
        <v>33000</v>
      </c>
      <c r="I1873">
        <f>Table1[[#This Row],[Qty]]*Table1[[#This Row],[CostPrice]]</f>
        <v>18000</v>
      </c>
      <c r="J1873">
        <v>14895</v>
      </c>
      <c r="K1873">
        <v>104.99999999999999</v>
      </c>
      <c r="L1873" t="s">
        <v>8</v>
      </c>
      <c r="M1873" t="s">
        <v>29</v>
      </c>
      <c r="N1873">
        <f>MONTH(Table1[[#This Row],[SaleDate]])</f>
        <v>8</v>
      </c>
      <c r="O1873" t="str">
        <f>TEXT(Table1[[#This Row],[SaleDate]],"MMM")</f>
        <v>Aug</v>
      </c>
    </row>
    <row r="1874" spans="1:15">
      <c r="A1874" s="1">
        <v>45143</v>
      </c>
      <c r="B1874" t="s">
        <v>23</v>
      </c>
      <c r="C1874" t="s">
        <v>19</v>
      </c>
      <c r="D1874">
        <v>1</v>
      </c>
      <c r="E1874" t="s">
        <v>9</v>
      </c>
      <c r="F1874">
        <v>60000</v>
      </c>
      <c r="G1874">
        <v>31000</v>
      </c>
      <c r="H1874">
        <f>Table1[[#This Row],[Qty]]*Table1[[#This Row],[SellingPrice]]</f>
        <v>60000</v>
      </c>
      <c r="I1874">
        <f>Table1[[#This Row],[Qty]]*Table1[[#This Row],[CostPrice]]</f>
        <v>31000</v>
      </c>
      <c r="J1874">
        <v>28797</v>
      </c>
      <c r="K1874">
        <v>202.99999999999997</v>
      </c>
      <c r="L1874" t="s">
        <v>8</v>
      </c>
      <c r="M1874" t="s">
        <v>30</v>
      </c>
      <c r="N1874">
        <f>MONTH(Table1[[#This Row],[SaleDate]])</f>
        <v>8</v>
      </c>
      <c r="O1874" t="str">
        <f>TEXT(Table1[[#This Row],[SaleDate]],"MMM")</f>
        <v>Aug</v>
      </c>
    </row>
    <row r="1875" spans="1:15">
      <c r="A1875" s="1">
        <v>45143</v>
      </c>
      <c r="B1875" t="s">
        <v>23</v>
      </c>
      <c r="C1875" t="s">
        <v>19</v>
      </c>
      <c r="D1875">
        <v>1</v>
      </c>
      <c r="E1875" t="s">
        <v>10</v>
      </c>
      <c r="F1875">
        <v>89000</v>
      </c>
      <c r="G1875">
        <v>65000</v>
      </c>
      <c r="H1875">
        <f>Table1[[#This Row],[Qty]]*Table1[[#This Row],[SellingPrice]]</f>
        <v>89000</v>
      </c>
      <c r="I1875">
        <f>Table1[[#This Row],[Qty]]*Table1[[#This Row],[CostPrice]]</f>
        <v>65000</v>
      </c>
      <c r="J1875">
        <v>23832</v>
      </c>
      <c r="K1875">
        <v>167.99999999999997</v>
      </c>
      <c r="L1875" t="s">
        <v>8</v>
      </c>
      <c r="M1875" t="s">
        <v>29</v>
      </c>
      <c r="N1875">
        <f>MONTH(Table1[[#This Row],[SaleDate]])</f>
        <v>8</v>
      </c>
      <c r="O1875" t="str">
        <f>TEXT(Table1[[#This Row],[SaleDate]],"MMM")</f>
        <v>Aug</v>
      </c>
    </row>
    <row r="1876" spans="1:15">
      <c r="A1876" s="1">
        <v>45143</v>
      </c>
      <c r="B1876" t="s">
        <v>24</v>
      </c>
      <c r="C1876" t="s">
        <v>22</v>
      </c>
      <c r="D1876">
        <v>1</v>
      </c>
      <c r="E1876" t="s">
        <v>7</v>
      </c>
      <c r="F1876">
        <v>33000</v>
      </c>
      <c r="G1876">
        <v>18000</v>
      </c>
      <c r="H1876">
        <f>Table1[[#This Row],[Qty]]*Table1[[#This Row],[SellingPrice]]</f>
        <v>33000</v>
      </c>
      <c r="I1876">
        <f>Table1[[#This Row],[Qty]]*Table1[[#This Row],[CostPrice]]</f>
        <v>18000</v>
      </c>
      <c r="J1876">
        <v>14895</v>
      </c>
      <c r="K1876">
        <v>104.99999999999999</v>
      </c>
      <c r="L1876" t="s">
        <v>12</v>
      </c>
      <c r="M1876" t="s">
        <v>27</v>
      </c>
      <c r="N1876">
        <f>MONTH(Table1[[#This Row],[SaleDate]])</f>
        <v>8</v>
      </c>
      <c r="O1876" t="str">
        <f>TEXT(Table1[[#This Row],[SaleDate]],"MMM")</f>
        <v>Aug</v>
      </c>
    </row>
    <row r="1877" spans="1:15">
      <c r="A1877" s="1">
        <v>45143</v>
      </c>
      <c r="B1877" t="s">
        <v>24</v>
      </c>
      <c r="C1877" t="s">
        <v>22</v>
      </c>
      <c r="D1877">
        <v>1</v>
      </c>
      <c r="E1877" t="s">
        <v>9</v>
      </c>
      <c r="F1877">
        <v>60000</v>
      </c>
      <c r="G1877">
        <v>31000</v>
      </c>
      <c r="H1877">
        <f>Table1[[#This Row],[Qty]]*Table1[[#This Row],[SellingPrice]]</f>
        <v>60000</v>
      </c>
      <c r="I1877">
        <f>Table1[[#This Row],[Qty]]*Table1[[#This Row],[CostPrice]]</f>
        <v>31000</v>
      </c>
      <c r="J1877">
        <v>28797</v>
      </c>
      <c r="K1877">
        <v>202.99999999999997</v>
      </c>
      <c r="L1877" t="s">
        <v>12</v>
      </c>
      <c r="M1877" t="s">
        <v>30</v>
      </c>
      <c r="N1877">
        <f>MONTH(Table1[[#This Row],[SaleDate]])</f>
        <v>8</v>
      </c>
      <c r="O1877" t="str">
        <f>TEXT(Table1[[#This Row],[SaleDate]],"MMM")</f>
        <v>Aug</v>
      </c>
    </row>
    <row r="1878" spans="1:15">
      <c r="A1878" s="1">
        <v>45143</v>
      </c>
      <c r="B1878" t="s">
        <v>24</v>
      </c>
      <c r="C1878" t="s">
        <v>22</v>
      </c>
      <c r="D1878">
        <v>1</v>
      </c>
      <c r="E1878" t="s">
        <v>10</v>
      </c>
      <c r="F1878">
        <v>89000</v>
      </c>
      <c r="G1878">
        <v>65000</v>
      </c>
      <c r="H1878">
        <f>Table1[[#This Row],[Qty]]*Table1[[#This Row],[SellingPrice]]</f>
        <v>89000</v>
      </c>
      <c r="I1878">
        <f>Table1[[#This Row],[Qty]]*Table1[[#This Row],[CostPrice]]</f>
        <v>65000</v>
      </c>
      <c r="J1878">
        <v>23832</v>
      </c>
      <c r="K1878">
        <v>167.99999999999997</v>
      </c>
      <c r="L1878" t="s">
        <v>12</v>
      </c>
      <c r="M1878" t="s">
        <v>29</v>
      </c>
      <c r="N1878">
        <f>MONTH(Table1[[#This Row],[SaleDate]])</f>
        <v>8</v>
      </c>
      <c r="O1878" t="str">
        <f>TEXT(Table1[[#This Row],[SaleDate]],"MMM")</f>
        <v>Aug</v>
      </c>
    </row>
    <row r="1879" spans="1:15">
      <c r="A1879" s="1">
        <v>45143</v>
      </c>
      <c r="B1879" t="s">
        <v>25</v>
      </c>
      <c r="C1879" t="s">
        <v>21</v>
      </c>
      <c r="D1879">
        <v>1</v>
      </c>
      <c r="E1879" t="s">
        <v>7</v>
      </c>
      <c r="F1879">
        <v>33000</v>
      </c>
      <c r="G1879">
        <v>18000</v>
      </c>
      <c r="H1879">
        <f>Table1[[#This Row],[Qty]]*Table1[[#This Row],[SellingPrice]]</f>
        <v>33000</v>
      </c>
      <c r="I1879">
        <f>Table1[[#This Row],[Qty]]*Table1[[#This Row],[CostPrice]]</f>
        <v>18000</v>
      </c>
      <c r="J1879">
        <v>14895</v>
      </c>
      <c r="K1879">
        <v>104.99999999999999</v>
      </c>
      <c r="L1879" t="s">
        <v>13</v>
      </c>
      <c r="M1879" t="s">
        <v>29</v>
      </c>
      <c r="N1879">
        <f>MONTH(Table1[[#This Row],[SaleDate]])</f>
        <v>8</v>
      </c>
      <c r="O1879" t="str">
        <f>TEXT(Table1[[#This Row],[SaleDate]],"MMM")</f>
        <v>Aug</v>
      </c>
    </row>
    <row r="1880" spans="1:15">
      <c r="A1880" s="1">
        <v>45143</v>
      </c>
      <c r="B1880" t="s">
        <v>25</v>
      </c>
      <c r="C1880" t="s">
        <v>21</v>
      </c>
      <c r="D1880">
        <v>1</v>
      </c>
      <c r="E1880" t="s">
        <v>9</v>
      </c>
      <c r="F1880">
        <v>60000</v>
      </c>
      <c r="G1880">
        <v>31000</v>
      </c>
      <c r="H1880">
        <f>Table1[[#This Row],[Qty]]*Table1[[#This Row],[SellingPrice]]</f>
        <v>60000</v>
      </c>
      <c r="I1880">
        <f>Table1[[#This Row],[Qty]]*Table1[[#This Row],[CostPrice]]</f>
        <v>31000</v>
      </c>
      <c r="J1880">
        <v>28797</v>
      </c>
      <c r="K1880">
        <v>202.99999999999997</v>
      </c>
      <c r="L1880" t="s">
        <v>13</v>
      </c>
      <c r="M1880" t="s">
        <v>30</v>
      </c>
      <c r="N1880">
        <f>MONTH(Table1[[#This Row],[SaleDate]])</f>
        <v>8</v>
      </c>
      <c r="O1880" t="str">
        <f>TEXT(Table1[[#This Row],[SaleDate]],"MMM")</f>
        <v>Aug</v>
      </c>
    </row>
    <row r="1881" spans="1:15">
      <c r="A1881" s="1">
        <v>45143</v>
      </c>
      <c r="B1881" t="s">
        <v>25</v>
      </c>
      <c r="C1881" t="s">
        <v>21</v>
      </c>
      <c r="D1881">
        <v>1</v>
      </c>
      <c r="E1881" t="s">
        <v>10</v>
      </c>
      <c r="F1881">
        <v>89000</v>
      </c>
      <c r="G1881">
        <v>65000</v>
      </c>
      <c r="H1881">
        <f>Table1[[#This Row],[Qty]]*Table1[[#This Row],[SellingPrice]]</f>
        <v>89000</v>
      </c>
      <c r="I1881">
        <f>Table1[[#This Row],[Qty]]*Table1[[#This Row],[CostPrice]]</f>
        <v>65000</v>
      </c>
      <c r="J1881">
        <v>23832</v>
      </c>
      <c r="K1881">
        <v>167.99999999999997</v>
      </c>
      <c r="L1881" t="s">
        <v>13</v>
      </c>
      <c r="M1881" t="s">
        <v>29</v>
      </c>
      <c r="N1881">
        <f>MONTH(Table1[[#This Row],[SaleDate]])</f>
        <v>8</v>
      </c>
      <c r="O1881" t="str">
        <f>TEXT(Table1[[#This Row],[SaleDate]],"MMM")</f>
        <v>Aug</v>
      </c>
    </row>
    <row r="1882" spans="1:15">
      <c r="A1882" s="1">
        <v>45144</v>
      </c>
      <c r="B1882" t="s">
        <v>23</v>
      </c>
      <c r="C1882" t="s">
        <v>19</v>
      </c>
      <c r="D1882">
        <v>2</v>
      </c>
      <c r="E1882" t="s">
        <v>7</v>
      </c>
      <c r="F1882">
        <v>33000</v>
      </c>
      <c r="G1882">
        <v>18000</v>
      </c>
      <c r="H1882">
        <f>Table1[[#This Row],[Qty]]*Table1[[#This Row],[SellingPrice]]</f>
        <v>66000</v>
      </c>
      <c r="I1882">
        <f>Table1[[#This Row],[Qty]]*Table1[[#This Row],[CostPrice]]</f>
        <v>36000</v>
      </c>
      <c r="J1882">
        <v>29790</v>
      </c>
      <c r="K1882">
        <v>209.99999999999997</v>
      </c>
      <c r="L1882" t="s">
        <v>8</v>
      </c>
      <c r="M1882" t="s">
        <v>29</v>
      </c>
      <c r="N1882">
        <f>MONTH(Table1[[#This Row],[SaleDate]])</f>
        <v>8</v>
      </c>
      <c r="O1882" t="str">
        <f>TEXT(Table1[[#This Row],[SaleDate]],"MMM")</f>
        <v>Aug</v>
      </c>
    </row>
    <row r="1883" spans="1:15">
      <c r="A1883" s="1">
        <v>45144</v>
      </c>
      <c r="B1883" t="s">
        <v>23</v>
      </c>
      <c r="C1883" t="s">
        <v>19</v>
      </c>
      <c r="D1883">
        <v>2</v>
      </c>
      <c r="E1883" t="s">
        <v>9</v>
      </c>
      <c r="F1883">
        <v>60000</v>
      </c>
      <c r="G1883">
        <v>31000</v>
      </c>
      <c r="H1883">
        <f>Table1[[#This Row],[Qty]]*Table1[[#This Row],[SellingPrice]]</f>
        <v>120000</v>
      </c>
      <c r="I1883">
        <f>Table1[[#This Row],[Qty]]*Table1[[#This Row],[CostPrice]]</f>
        <v>62000</v>
      </c>
      <c r="J1883">
        <v>57594</v>
      </c>
      <c r="K1883">
        <v>405.99999999999994</v>
      </c>
      <c r="L1883" t="s">
        <v>8</v>
      </c>
      <c r="M1883" t="s">
        <v>30</v>
      </c>
      <c r="N1883">
        <f>MONTH(Table1[[#This Row],[SaleDate]])</f>
        <v>8</v>
      </c>
      <c r="O1883" t="str">
        <f>TEXT(Table1[[#This Row],[SaleDate]],"MMM")</f>
        <v>Aug</v>
      </c>
    </row>
    <row r="1884" spans="1:15">
      <c r="A1884" s="1">
        <v>45144</v>
      </c>
      <c r="B1884" t="s">
        <v>23</v>
      </c>
      <c r="C1884" t="s">
        <v>19</v>
      </c>
      <c r="D1884">
        <v>2</v>
      </c>
      <c r="E1884" t="s">
        <v>10</v>
      </c>
      <c r="F1884">
        <v>89000</v>
      </c>
      <c r="G1884">
        <v>65000</v>
      </c>
      <c r="H1884">
        <f>Table1[[#This Row],[Qty]]*Table1[[#This Row],[SellingPrice]]</f>
        <v>178000</v>
      </c>
      <c r="I1884">
        <f>Table1[[#This Row],[Qty]]*Table1[[#This Row],[CostPrice]]</f>
        <v>130000</v>
      </c>
      <c r="J1884">
        <v>47664</v>
      </c>
      <c r="K1884">
        <v>335.99999999999994</v>
      </c>
      <c r="L1884" t="s">
        <v>8</v>
      </c>
      <c r="M1884" t="s">
        <v>27</v>
      </c>
      <c r="N1884">
        <f>MONTH(Table1[[#This Row],[SaleDate]])</f>
        <v>8</v>
      </c>
      <c r="O1884" t="str">
        <f>TEXT(Table1[[#This Row],[SaleDate]],"MMM")</f>
        <v>Aug</v>
      </c>
    </row>
    <row r="1885" spans="1:15">
      <c r="A1885" s="1">
        <v>45144</v>
      </c>
      <c r="B1885" t="s">
        <v>24</v>
      </c>
      <c r="C1885" t="s">
        <v>22</v>
      </c>
      <c r="D1885">
        <v>2</v>
      </c>
      <c r="E1885" t="s">
        <v>7</v>
      </c>
      <c r="F1885">
        <v>33000</v>
      </c>
      <c r="G1885">
        <v>18000</v>
      </c>
      <c r="H1885">
        <f>Table1[[#This Row],[Qty]]*Table1[[#This Row],[SellingPrice]]</f>
        <v>66000</v>
      </c>
      <c r="I1885">
        <f>Table1[[#This Row],[Qty]]*Table1[[#This Row],[CostPrice]]</f>
        <v>36000</v>
      </c>
      <c r="J1885">
        <v>29790</v>
      </c>
      <c r="K1885">
        <v>209.99999999999997</v>
      </c>
      <c r="L1885" t="s">
        <v>12</v>
      </c>
      <c r="M1885" t="s">
        <v>27</v>
      </c>
      <c r="N1885">
        <f>MONTH(Table1[[#This Row],[SaleDate]])</f>
        <v>8</v>
      </c>
      <c r="O1885" t="str">
        <f>TEXT(Table1[[#This Row],[SaleDate]],"MMM")</f>
        <v>Aug</v>
      </c>
    </row>
    <row r="1886" spans="1:15">
      <c r="A1886" s="1">
        <v>45144</v>
      </c>
      <c r="B1886" t="s">
        <v>24</v>
      </c>
      <c r="C1886" t="s">
        <v>22</v>
      </c>
      <c r="D1886">
        <v>2</v>
      </c>
      <c r="E1886" t="s">
        <v>9</v>
      </c>
      <c r="F1886">
        <v>60000</v>
      </c>
      <c r="G1886">
        <v>31000</v>
      </c>
      <c r="H1886">
        <f>Table1[[#This Row],[Qty]]*Table1[[#This Row],[SellingPrice]]</f>
        <v>120000</v>
      </c>
      <c r="I1886">
        <f>Table1[[#This Row],[Qty]]*Table1[[#This Row],[CostPrice]]</f>
        <v>62000</v>
      </c>
      <c r="J1886">
        <v>57594</v>
      </c>
      <c r="K1886">
        <v>405.99999999999994</v>
      </c>
      <c r="L1886" t="s">
        <v>12</v>
      </c>
      <c r="M1886" t="s">
        <v>30</v>
      </c>
      <c r="N1886">
        <f>MONTH(Table1[[#This Row],[SaleDate]])</f>
        <v>8</v>
      </c>
      <c r="O1886" t="str">
        <f>TEXT(Table1[[#This Row],[SaleDate]],"MMM")</f>
        <v>Aug</v>
      </c>
    </row>
    <row r="1887" spans="1:15">
      <c r="A1887" s="1">
        <v>45144</v>
      </c>
      <c r="B1887" t="s">
        <v>24</v>
      </c>
      <c r="C1887" t="s">
        <v>22</v>
      </c>
      <c r="D1887">
        <v>2</v>
      </c>
      <c r="E1887" t="s">
        <v>10</v>
      </c>
      <c r="F1887">
        <v>89000</v>
      </c>
      <c r="G1887">
        <v>65000</v>
      </c>
      <c r="H1887">
        <f>Table1[[#This Row],[Qty]]*Table1[[#This Row],[SellingPrice]]</f>
        <v>178000</v>
      </c>
      <c r="I1887">
        <f>Table1[[#This Row],[Qty]]*Table1[[#This Row],[CostPrice]]</f>
        <v>130000</v>
      </c>
      <c r="J1887">
        <v>47664</v>
      </c>
      <c r="K1887">
        <v>335.99999999999994</v>
      </c>
      <c r="L1887" t="s">
        <v>12</v>
      </c>
      <c r="M1887" t="s">
        <v>29</v>
      </c>
      <c r="N1887">
        <f>MONTH(Table1[[#This Row],[SaleDate]])</f>
        <v>8</v>
      </c>
      <c r="O1887" t="str">
        <f>TEXT(Table1[[#This Row],[SaleDate]],"MMM")</f>
        <v>Aug</v>
      </c>
    </row>
    <row r="1888" spans="1:15">
      <c r="A1888" s="1">
        <v>45144</v>
      </c>
      <c r="B1888" t="s">
        <v>25</v>
      </c>
      <c r="C1888" t="s">
        <v>21</v>
      </c>
      <c r="D1888">
        <v>2</v>
      </c>
      <c r="E1888" t="s">
        <v>7</v>
      </c>
      <c r="F1888">
        <v>33000</v>
      </c>
      <c r="G1888">
        <v>18000</v>
      </c>
      <c r="H1888">
        <f>Table1[[#This Row],[Qty]]*Table1[[#This Row],[SellingPrice]]</f>
        <v>66000</v>
      </c>
      <c r="I1888">
        <f>Table1[[#This Row],[Qty]]*Table1[[#This Row],[CostPrice]]</f>
        <v>36000</v>
      </c>
      <c r="J1888">
        <v>29790</v>
      </c>
      <c r="K1888">
        <v>209.99999999999997</v>
      </c>
      <c r="L1888" t="s">
        <v>13</v>
      </c>
      <c r="M1888" t="s">
        <v>30</v>
      </c>
      <c r="N1888">
        <f>MONTH(Table1[[#This Row],[SaleDate]])</f>
        <v>8</v>
      </c>
      <c r="O1888" t="str">
        <f>TEXT(Table1[[#This Row],[SaleDate]],"MMM")</f>
        <v>Aug</v>
      </c>
    </row>
    <row r="1889" spans="1:15">
      <c r="A1889" s="1">
        <v>45144</v>
      </c>
      <c r="B1889" t="s">
        <v>25</v>
      </c>
      <c r="C1889" t="s">
        <v>21</v>
      </c>
      <c r="D1889">
        <v>2</v>
      </c>
      <c r="E1889" t="s">
        <v>9</v>
      </c>
      <c r="F1889">
        <v>60000</v>
      </c>
      <c r="G1889">
        <v>31000</v>
      </c>
      <c r="H1889">
        <f>Table1[[#This Row],[Qty]]*Table1[[#This Row],[SellingPrice]]</f>
        <v>120000</v>
      </c>
      <c r="I1889">
        <f>Table1[[#This Row],[Qty]]*Table1[[#This Row],[CostPrice]]</f>
        <v>62000</v>
      </c>
      <c r="J1889">
        <v>57594</v>
      </c>
      <c r="K1889">
        <v>405.99999999999994</v>
      </c>
      <c r="L1889" t="s">
        <v>13</v>
      </c>
      <c r="M1889" t="s">
        <v>29</v>
      </c>
      <c r="N1889">
        <f>MONTH(Table1[[#This Row],[SaleDate]])</f>
        <v>8</v>
      </c>
      <c r="O1889" t="str">
        <f>TEXT(Table1[[#This Row],[SaleDate]],"MMM")</f>
        <v>Aug</v>
      </c>
    </row>
    <row r="1890" spans="1:15">
      <c r="A1890" s="1">
        <v>45144</v>
      </c>
      <c r="B1890" t="s">
        <v>25</v>
      </c>
      <c r="C1890" t="s">
        <v>21</v>
      </c>
      <c r="D1890">
        <v>2</v>
      </c>
      <c r="E1890" t="s">
        <v>10</v>
      </c>
      <c r="F1890">
        <v>89000</v>
      </c>
      <c r="G1890">
        <v>65000</v>
      </c>
      <c r="H1890">
        <f>Table1[[#This Row],[Qty]]*Table1[[#This Row],[SellingPrice]]</f>
        <v>178000</v>
      </c>
      <c r="I1890">
        <f>Table1[[#This Row],[Qty]]*Table1[[#This Row],[CostPrice]]</f>
        <v>130000</v>
      </c>
      <c r="J1890">
        <v>47664</v>
      </c>
      <c r="K1890">
        <v>335.99999999999994</v>
      </c>
      <c r="L1890" t="s">
        <v>13</v>
      </c>
      <c r="M1890" t="s">
        <v>29</v>
      </c>
      <c r="N1890">
        <f>MONTH(Table1[[#This Row],[SaleDate]])</f>
        <v>8</v>
      </c>
      <c r="O1890" t="str">
        <f>TEXT(Table1[[#This Row],[SaleDate]],"MMM")</f>
        <v>Aug</v>
      </c>
    </row>
    <row r="1891" spans="1:15">
      <c r="A1891" s="1">
        <v>45145</v>
      </c>
      <c r="B1891" t="s">
        <v>23</v>
      </c>
      <c r="C1891" t="s">
        <v>19</v>
      </c>
      <c r="D1891">
        <v>1</v>
      </c>
      <c r="E1891" t="s">
        <v>7</v>
      </c>
      <c r="F1891">
        <v>33000</v>
      </c>
      <c r="G1891">
        <v>18000</v>
      </c>
      <c r="H1891">
        <f>Table1[[#This Row],[Qty]]*Table1[[#This Row],[SellingPrice]]</f>
        <v>33000</v>
      </c>
      <c r="I1891">
        <f>Table1[[#This Row],[Qty]]*Table1[[#This Row],[CostPrice]]</f>
        <v>18000</v>
      </c>
      <c r="J1891">
        <v>14895</v>
      </c>
      <c r="K1891">
        <v>104.99999999999999</v>
      </c>
      <c r="L1891" t="s">
        <v>8</v>
      </c>
      <c r="M1891" t="s">
        <v>30</v>
      </c>
      <c r="N1891">
        <f>MONTH(Table1[[#This Row],[SaleDate]])</f>
        <v>8</v>
      </c>
      <c r="O1891" t="str">
        <f>TEXT(Table1[[#This Row],[SaleDate]],"MMM")</f>
        <v>Aug</v>
      </c>
    </row>
    <row r="1892" spans="1:15">
      <c r="A1892" s="1">
        <v>45145</v>
      </c>
      <c r="B1892" t="s">
        <v>23</v>
      </c>
      <c r="C1892" t="s">
        <v>19</v>
      </c>
      <c r="D1892">
        <v>1</v>
      </c>
      <c r="E1892" t="s">
        <v>9</v>
      </c>
      <c r="F1892">
        <v>60000</v>
      </c>
      <c r="G1892">
        <v>31000</v>
      </c>
      <c r="H1892">
        <f>Table1[[#This Row],[Qty]]*Table1[[#This Row],[SellingPrice]]</f>
        <v>60000</v>
      </c>
      <c r="I1892">
        <f>Table1[[#This Row],[Qty]]*Table1[[#This Row],[CostPrice]]</f>
        <v>31000</v>
      </c>
      <c r="J1892">
        <v>28797</v>
      </c>
      <c r="K1892">
        <v>202.99999999999997</v>
      </c>
      <c r="L1892" t="s">
        <v>8</v>
      </c>
      <c r="M1892" t="s">
        <v>28</v>
      </c>
      <c r="N1892">
        <f>MONTH(Table1[[#This Row],[SaleDate]])</f>
        <v>8</v>
      </c>
      <c r="O1892" t="str">
        <f>TEXT(Table1[[#This Row],[SaleDate]],"MMM")</f>
        <v>Aug</v>
      </c>
    </row>
    <row r="1893" spans="1:15">
      <c r="A1893" s="1">
        <v>45145</v>
      </c>
      <c r="B1893" t="s">
        <v>23</v>
      </c>
      <c r="C1893" t="s">
        <v>19</v>
      </c>
      <c r="D1893">
        <v>1</v>
      </c>
      <c r="E1893" t="s">
        <v>10</v>
      </c>
      <c r="F1893">
        <v>89000</v>
      </c>
      <c r="G1893">
        <v>65000</v>
      </c>
      <c r="H1893">
        <f>Table1[[#This Row],[Qty]]*Table1[[#This Row],[SellingPrice]]</f>
        <v>89000</v>
      </c>
      <c r="I1893">
        <f>Table1[[#This Row],[Qty]]*Table1[[#This Row],[CostPrice]]</f>
        <v>65000</v>
      </c>
      <c r="J1893">
        <v>23832</v>
      </c>
      <c r="K1893">
        <v>167.99999999999997</v>
      </c>
      <c r="L1893" t="s">
        <v>8</v>
      </c>
      <c r="M1893" t="s">
        <v>27</v>
      </c>
      <c r="N1893">
        <f>MONTH(Table1[[#This Row],[SaleDate]])</f>
        <v>8</v>
      </c>
      <c r="O1893" t="str">
        <f>TEXT(Table1[[#This Row],[SaleDate]],"MMM")</f>
        <v>Aug</v>
      </c>
    </row>
    <row r="1894" spans="1:15">
      <c r="A1894" s="1">
        <v>45145</v>
      </c>
      <c r="B1894" t="s">
        <v>26</v>
      </c>
      <c r="C1894" t="s">
        <v>20</v>
      </c>
      <c r="D1894">
        <v>1</v>
      </c>
      <c r="E1894" t="s">
        <v>9</v>
      </c>
      <c r="F1894">
        <v>60000</v>
      </c>
      <c r="G1894">
        <v>31000</v>
      </c>
      <c r="H1894">
        <f>Table1[[#This Row],[Qty]]*Table1[[#This Row],[SellingPrice]]</f>
        <v>60000</v>
      </c>
      <c r="I1894">
        <f>Table1[[#This Row],[Qty]]*Table1[[#This Row],[CostPrice]]</f>
        <v>31000</v>
      </c>
      <c r="J1894">
        <v>28797</v>
      </c>
      <c r="K1894">
        <v>202.99999999999997</v>
      </c>
      <c r="L1894" t="s">
        <v>11</v>
      </c>
      <c r="M1894" t="s">
        <v>30</v>
      </c>
      <c r="N1894">
        <f>MONTH(Table1[[#This Row],[SaleDate]])</f>
        <v>8</v>
      </c>
      <c r="O1894" t="str">
        <f>TEXT(Table1[[#This Row],[SaleDate]],"MMM")</f>
        <v>Aug</v>
      </c>
    </row>
    <row r="1895" spans="1:15">
      <c r="A1895" s="1">
        <v>45145</v>
      </c>
      <c r="B1895" t="s">
        <v>24</v>
      </c>
      <c r="C1895" t="s">
        <v>22</v>
      </c>
      <c r="D1895">
        <v>1</v>
      </c>
      <c r="E1895" t="s">
        <v>7</v>
      </c>
      <c r="F1895">
        <v>33000</v>
      </c>
      <c r="G1895">
        <v>18000</v>
      </c>
      <c r="H1895">
        <f>Table1[[#This Row],[Qty]]*Table1[[#This Row],[SellingPrice]]</f>
        <v>33000</v>
      </c>
      <c r="I1895">
        <f>Table1[[#This Row],[Qty]]*Table1[[#This Row],[CostPrice]]</f>
        <v>18000</v>
      </c>
      <c r="J1895">
        <v>14895</v>
      </c>
      <c r="K1895">
        <v>104.99999999999999</v>
      </c>
      <c r="L1895" t="s">
        <v>12</v>
      </c>
      <c r="M1895" t="s">
        <v>30</v>
      </c>
      <c r="N1895">
        <f>MONTH(Table1[[#This Row],[SaleDate]])</f>
        <v>8</v>
      </c>
      <c r="O1895" t="str">
        <f>TEXT(Table1[[#This Row],[SaleDate]],"MMM")</f>
        <v>Aug</v>
      </c>
    </row>
    <row r="1896" spans="1:15">
      <c r="A1896" s="1">
        <v>45145</v>
      </c>
      <c r="B1896" t="s">
        <v>24</v>
      </c>
      <c r="C1896" t="s">
        <v>22</v>
      </c>
      <c r="D1896">
        <v>1</v>
      </c>
      <c r="E1896" t="s">
        <v>9</v>
      </c>
      <c r="F1896">
        <v>60000</v>
      </c>
      <c r="G1896">
        <v>31000</v>
      </c>
      <c r="H1896">
        <f>Table1[[#This Row],[Qty]]*Table1[[#This Row],[SellingPrice]]</f>
        <v>60000</v>
      </c>
      <c r="I1896">
        <f>Table1[[#This Row],[Qty]]*Table1[[#This Row],[CostPrice]]</f>
        <v>31000</v>
      </c>
      <c r="J1896">
        <v>28797</v>
      </c>
      <c r="K1896">
        <v>202.99999999999997</v>
      </c>
      <c r="L1896" t="s">
        <v>12</v>
      </c>
      <c r="M1896" t="s">
        <v>29</v>
      </c>
      <c r="N1896">
        <f>MONTH(Table1[[#This Row],[SaleDate]])</f>
        <v>8</v>
      </c>
      <c r="O1896" t="str">
        <f>TEXT(Table1[[#This Row],[SaleDate]],"MMM")</f>
        <v>Aug</v>
      </c>
    </row>
    <row r="1897" spans="1:15">
      <c r="A1897" s="1">
        <v>45145</v>
      </c>
      <c r="B1897" t="s">
        <v>24</v>
      </c>
      <c r="C1897" t="s">
        <v>22</v>
      </c>
      <c r="D1897">
        <v>1</v>
      </c>
      <c r="E1897" t="s">
        <v>10</v>
      </c>
      <c r="F1897">
        <v>89000</v>
      </c>
      <c r="G1897">
        <v>65000</v>
      </c>
      <c r="H1897">
        <f>Table1[[#This Row],[Qty]]*Table1[[#This Row],[SellingPrice]]</f>
        <v>89000</v>
      </c>
      <c r="I1897">
        <f>Table1[[#This Row],[Qty]]*Table1[[#This Row],[CostPrice]]</f>
        <v>65000</v>
      </c>
      <c r="J1897">
        <v>23832</v>
      </c>
      <c r="K1897">
        <v>167.99999999999997</v>
      </c>
      <c r="L1897" t="s">
        <v>12</v>
      </c>
      <c r="M1897" t="s">
        <v>30</v>
      </c>
      <c r="N1897">
        <f>MONTH(Table1[[#This Row],[SaleDate]])</f>
        <v>8</v>
      </c>
      <c r="O1897" t="str">
        <f>TEXT(Table1[[#This Row],[SaleDate]],"MMM")</f>
        <v>Aug</v>
      </c>
    </row>
    <row r="1898" spans="1:15">
      <c r="A1898" s="1">
        <v>45145</v>
      </c>
      <c r="B1898" t="s">
        <v>25</v>
      </c>
      <c r="C1898" t="s">
        <v>21</v>
      </c>
      <c r="D1898">
        <v>1</v>
      </c>
      <c r="E1898" t="s">
        <v>7</v>
      </c>
      <c r="F1898">
        <v>33000</v>
      </c>
      <c r="G1898">
        <v>18000</v>
      </c>
      <c r="H1898">
        <f>Table1[[#This Row],[Qty]]*Table1[[#This Row],[SellingPrice]]</f>
        <v>33000</v>
      </c>
      <c r="I1898">
        <f>Table1[[#This Row],[Qty]]*Table1[[#This Row],[CostPrice]]</f>
        <v>18000</v>
      </c>
      <c r="J1898">
        <v>14895</v>
      </c>
      <c r="K1898">
        <v>104.99999999999999</v>
      </c>
      <c r="L1898" t="s">
        <v>13</v>
      </c>
      <c r="M1898" t="s">
        <v>29</v>
      </c>
      <c r="N1898">
        <f>MONTH(Table1[[#This Row],[SaleDate]])</f>
        <v>8</v>
      </c>
      <c r="O1898" t="str">
        <f>TEXT(Table1[[#This Row],[SaleDate]],"MMM")</f>
        <v>Aug</v>
      </c>
    </row>
    <row r="1899" spans="1:15">
      <c r="A1899" s="1">
        <v>45145</v>
      </c>
      <c r="B1899" t="s">
        <v>25</v>
      </c>
      <c r="C1899" t="s">
        <v>21</v>
      </c>
      <c r="D1899">
        <v>1</v>
      </c>
      <c r="E1899" t="s">
        <v>9</v>
      </c>
      <c r="F1899">
        <v>60000</v>
      </c>
      <c r="G1899">
        <v>31000</v>
      </c>
      <c r="H1899">
        <f>Table1[[#This Row],[Qty]]*Table1[[#This Row],[SellingPrice]]</f>
        <v>60000</v>
      </c>
      <c r="I1899">
        <f>Table1[[#This Row],[Qty]]*Table1[[#This Row],[CostPrice]]</f>
        <v>31000</v>
      </c>
      <c r="J1899">
        <v>28797</v>
      </c>
      <c r="K1899">
        <v>202.99999999999997</v>
      </c>
      <c r="L1899" t="s">
        <v>13</v>
      </c>
      <c r="M1899" t="s">
        <v>30</v>
      </c>
      <c r="N1899">
        <f>MONTH(Table1[[#This Row],[SaleDate]])</f>
        <v>8</v>
      </c>
      <c r="O1899" t="str">
        <f>TEXT(Table1[[#This Row],[SaleDate]],"MMM")</f>
        <v>Aug</v>
      </c>
    </row>
    <row r="1900" spans="1:15">
      <c r="A1900" s="1">
        <v>45145</v>
      </c>
      <c r="B1900" t="s">
        <v>25</v>
      </c>
      <c r="C1900" t="s">
        <v>21</v>
      </c>
      <c r="D1900">
        <v>1</v>
      </c>
      <c r="E1900" t="s">
        <v>10</v>
      </c>
      <c r="F1900">
        <v>89000</v>
      </c>
      <c r="G1900">
        <v>65000</v>
      </c>
      <c r="H1900">
        <f>Table1[[#This Row],[Qty]]*Table1[[#This Row],[SellingPrice]]</f>
        <v>89000</v>
      </c>
      <c r="I1900">
        <f>Table1[[#This Row],[Qty]]*Table1[[#This Row],[CostPrice]]</f>
        <v>65000</v>
      </c>
      <c r="J1900">
        <v>23832</v>
      </c>
      <c r="K1900">
        <v>167.99999999999997</v>
      </c>
      <c r="L1900" t="s">
        <v>13</v>
      </c>
      <c r="M1900" t="s">
        <v>30</v>
      </c>
      <c r="N1900">
        <f>MONTH(Table1[[#This Row],[SaleDate]])</f>
        <v>8</v>
      </c>
      <c r="O1900" t="str">
        <f>TEXT(Table1[[#This Row],[SaleDate]],"MMM")</f>
        <v>Aug</v>
      </c>
    </row>
    <row r="1901" spans="1:15">
      <c r="A1901" s="1">
        <v>45146</v>
      </c>
      <c r="B1901" t="s">
        <v>23</v>
      </c>
      <c r="C1901" t="s">
        <v>19</v>
      </c>
      <c r="D1901">
        <v>1</v>
      </c>
      <c r="E1901" t="s">
        <v>7</v>
      </c>
      <c r="F1901">
        <v>33000</v>
      </c>
      <c r="G1901">
        <v>18000</v>
      </c>
      <c r="H1901">
        <f>Table1[[#This Row],[Qty]]*Table1[[#This Row],[SellingPrice]]</f>
        <v>33000</v>
      </c>
      <c r="I1901">
        <f>Table1[[#This Row],[Qty]]*Table1[[#This Row],[CostPrice]]</f>
        <v>18000</v>
      </c>
      <c r="J1901">
        <v>14895</v>
      </c>
      <c r="K1901">
        <v>104.99999999999999</v>
      </c>
      <c r="L1901" t="s">
        <v>8</v>
      </c>
      <c r="M1901" t="s">
        <v>29</v>
      </c>
      <c r="N1901">
        <f>MONTH(Table1[[#This Row],[SaleDate]])</f>
        <v>8</v>
      </c>
      <c r="O1901" t="str">
        <f>TEXT(Table1[[#This Row],[SaleDate]],"MMM")</f>
        <v>Aug</v>
      </c>
    </row>
    <row r="1902" spans="1:15">
      <c r="A1902" s="1">
        <v>45146</v>
      </c>
      <c r="B1902" t="s">
        <v>23</v>
      </c>
      <c r="C1902" t="s">
        <v>19</v>
      </c>
      <c r="D1902">
        <v>1</v>
      </c>
      <c r="E1902" t="s">
        <v>9</v>
      </c>
      <c r="F1902">
        <v>60000</v>
      </c>
      <c r="G1902">
        <v>31000</v>
      </c>
      <c r="H1902">
        <f>Table1[[#This Row],[Qty]]*Table1[[#This Row],[SellingPrice]]</f>
        <v>60000</v>
      </c>
      <c r="I1902">
        <f>Table1[[#This Row],[Qty]]*Table1[[#This Row],[CostPrice]]</f>
        <v>31000</v>
      </c>
      <c r="J1902">
        <v>28797</v>
      </c>
      <c r="K1902">
        <v>202.99999999999997</v>
      </c>
      <c r="L1902" t="s">
        <v>8</v>
      </c>
      <c r="M1902" t="s">
        <v>29</v>
      </c>
      <c r="N1902">
        <f>MONTH(Table1[[#This Row],[SaleDate]])</f>
        <v>8</v>
      </c>
      <c r="O1902" t="str">
        <f>TEXT(Table1[[#This Row],[SaleDate]],"MMM")</f>
        <v>Aug</v>
      </c>
    </row>
    <row r="1903" spans="1:15">
      <c r="A1903" s="1">
        <v>45146</v>
      </c>
      <c r="B1903" t="s">
        <v>23</v>
      </c>
      <c r="C1903" t="s">
        <v>19</v>
      </c>
      <c r="D1903">
        <v>1</v>
      </c>
      <c r="E1903" t="s">
        <v>10</v>
      </c>
      <c r="F1903">
        <v>89000</v>
      </c>
      <c r="G1903">
        <v>65000</v>
      </c>
      <c r="H1903">
        <f>Table1[[#This Row],[Qty]]*Table1[[#This Row],[SellingPrice]]</f>
        <v>89000</v>
      </c>
      <c r="I1903">
        <f>Table1[[#This Row],[Qty]]*Table1[[#This Row],[CostPrice]]</f>
        <v>65000</v>
      </c>
      <c r="J1903">
        <v>23832</v>
      </c>
      <c r="K1903">
        <v>167.99999999999997</v>
      </c>
      <c r="L1903" t="s">
        <v>8</v>
      </c>
      <c r="M1903" t="s">
        <v>29</v>
      </c>
      <c r="N1903">
        <f>MONTH(Table1[[#This Row],[SaleDate]])</f>
        <v>8</v>
      </c>
      <c r="O1903" t="str">
        <f>TEXT(Table1[[#This Row],[SaleDate]],"MMM")</f>
        <v>Aug</v>
      </c>
    </row>
    <row r="1904" spans="1:15">
      <c r="A1904" s="1">
        <v>45146</v>
      </c>
      <c r="B1904" t="s">
        <v>26</v>
      </c>
      <c r="C1904" t="s">
        <v>20</v>
      </c>
      <c r="D1904">
        <v>1</v>
      </c>
      <c r="E1904" t="s">
        <v>9</v>
      </c>
      <c r="F1904">
        <v>60000</v>
      </c>
      <c r="G1904">
        <v>31000</v>
      </c>
      <c r="H1904">
        <f>Table1[[#This Row],[Qty]]*Table1[[#This Row],[SellingPrice]]</f>
        <v>60000</v>
      </c>
      <c r="I1904">
        <f>Table1[[#This Row],[Qty]]*Table1[[#This Row],[CostPrice]]</f>
        <v>31000</v>
      </c>
      <c r="J1904">
        <v>28797</v>
      </c>
      <c r="K1904">
        <v>202.99999999999997</v>
      </c>
      <c r="L1904" t="s">
        <v>11</v>
      </c>
      <c r="M1904" t="s">
        <v>28</v>
      </c>
      <c r="N1904">
        <f>MONTH(Table1[[#This Row],[SaleDate]])</f>
        <v>8</v>
      </c>
      <c r="O1904" t="str">
        <f>TEXT(Table1[[#This Row],[SaleDate]],"MMM")</f>
        <v>Aug</v>
      </c>
    </row>
    <row r="1905" spans="1:15">
      <c r="A1905" s="1">
        <v>45146</v>
      </c>
      <c r="B1905" t="s">
        <v>24</v>
      </c>
      <c r="C1905" t="s">
        <v>22</v>
      </c>
      <c r="D1905">
        <v>1</v>
      </c>
      <c r="E1905" t="s">
        <v>7</v>
      </c>
      <c r="F1905">
        <v>33000</v>
      </c>
      <c r="G1905">
        <v>18000</v>
      </c>
      <c r="H1905">
        <f>Table1[[#This Row],[Qty]]*Table1[[#This Row],[SellingPrice]]</f>
        <v>33000</v>
      </c>
      <c r="I1905">
        <f>Table1[[#This Row],[Qty]]*Table1[[#This Row],[CostPrice]]</f>
        <v>18000</v>
      </c>
      <c r="J1905">
        <v>14895</v>
      </c>
      <c r="K1905">
        <v>104.99999999999999</v>
      </c>
      <c r="L1905" t="s">
        <v>12</v>
      </c>
      <c r="M1905" t="s">
        <v>27</v>
      </c>
      <c r="N1905">
        <f>MONTH(Table1[[#This Row],[SaleDate]])</f>
        <v>8</v>
      </c>
      <c r="O1905" t="str">
        <f>TEXT(Table1[[#This Row],[SaleDate]],"MMM")</f>
        <v>Aug</v>
      </c>
    </row>
    <row r="1906" spans="1:15">
      <c r="A1906" s="1">
        <v>45146</v>
      </c>
      <c r="B1906" t="s">
        <v>24</v>
      </c>
      <c r="C1906" t="s">
        <v>22</v>
      </c>
      <c r="D1906">
        <v>1</v>
      </c>
      <c r="E1906" t="s">
        <v>9</v>
      </c>
      <c r="F1906">
        <v>60000</v>
      </c>
      <c r="G1906">
        <v>31000</v>
      </c>
      <c r="H1906">
        <f>Table1[[#This Row],[Qty]]*Table1[[#This Row],[SellingPrice]]</f>
        <v>60000</v>
      </c>
      <c r="I1906">
        <f>Table1[[#This Row],[Qty]]*Table1[[#This Row],[CostPrice]]</f>
        <v>31000</v>
      </c>
      <c r="J1906">
        <v>28797</v>
      </c>
      <c r="K1906">
        <v>202.99999999999997</v>
      </c>
      <c r="L1906" t="s">
        <v>12</v>
      </c>
      <c r="M1906" t="s">
        <v>27</v>
      </c>
      <c r="N1906">
        <f>MONTH(Table1[[#This Row],[SaleDate]])</f>
        <v>8</v>
      </c>
      <c r="O1906" t="str">
        <f>TEXT(Table1[[#This Row],[SaleDate]],"MMM")</f>
        <v>Aug</v>
      </c>
    </row>
    <row r="1907" spans="1:15">
      <c r="A1907" s="1">
        <v>45146</v>
      </c>
      <c r="B1907" t="s">
        <v>24</v>
      </c>
      <c r="C1907" t="s">
        <v>22</v>
      </c>
      <c r="D1907">
        <v>1</v>
      </c>
      <c r="E1907" t="s">
        <v>10</v>
      </c>
      <c r="F1907">
        <v>89000</v>
      </c>
      <c r="G1907">
        <v>65000</v>
      </c>
      <c r="H1907">
        <f>Table1[[#This Row],[Qty]]*Table1[[#This Row],[SellingPrice]]</f>
        <v>89000</v>
      </c>
      <c r="I1907">
        <f>Table1[[#This Row],[Qty]]*Table1[[#This Row],[CostPrice]]</f>
        <v>65000</v>
      </c>
      <c r="J1907">
        <v>23832</v>
      </c>
      <c r="K1907">
        <v>167.99999999999997</v>
      </c>
      <c r="L1907" t="s">
        <v>12</v>
      </c>
      <c r="M1907" t="s">
        <v>27</v>
      </c>
      <c r="N1907">
        <f>MONTH(Table1[[#This Row],[SaleDate]])</f>
        <v>8</v>
      </c>
      <c r="O1907" t="str">
        <f>TEXT(Table1[[#This Row],[SaleDate]],"MMM")</f>
        <v>Aug</v>
      </c>
    </row>
    <row r="1908" spans="1:15">
      <c r="A1908" s="1">
        <v>45146</v>
      </c>
      <c r="B1908" t="s">
        <v>25</v>
      </c>
      <c r="C1908" t="s">
        <v>21</v>
      </c>
      <c r="D1908">
        <v>1</v>
      </c>
      <c r="E1908" t="s">
        <v>7</v>
      </c>
      <c r="F1908">
        <v>33000</v>
      </c>
      <c r="G1908">
        <v>18000</v>
      </c>
      <c r="H1908">
        <f>Table1[[#This Row],[Qty]]*Table1[[#This Row],[SellingPrice]]</f>
        <v>33000</v>
      </c>
      <c r="I1908">
        <f>Table1[[#This Row],[Qty]]*Table1[[#This Row],[CostPrice]]</f>
        <v>18000</v>
      </c>
      <c r="J1908">
        <v>14895</v>
      </c>
      <c r="K1908">
        <v>104.99999999999999</v>
      </c>
      <c r="L1908" t="s">
        <v>13</v>
      </c>
      <c r="M1908" t="s">
        <v>29</v>
      </c>
      <c r="N1908">
        <f>MONTH(Table1[[#This Row],[SaleDate]])</f>
        <v>8</v>
      </c>
      <c r="O1908" t="str">
        <f>TEXT(Table1[[#This Row],[SaleDate]],"MMM")</f>
        <v>Aug</v>
      </c>
    </row>
    <row r="1909" spans="1:15">
      <c r="A1909" s="1">
        <v>45146</v>
      </c>
      <c r="B1909" t="s">
        <v>25</v>
      </c>
      <c r="C1909" t="s">
        <v>21</v>
      </c>
      <c r="D1909">
        <v>1</v>
      </c>
      <c r="E1909" t="s">
        <v>9</v>
      </c>
      <c r="F1909">
        <v>60000</v>
      </c>
      <c r="G1909">
        <v>31000</v>
      </c>
      <c r="H1909">
        <f>Table1[[#This Row],[Qty]]*Table1[[#This Row],[SellingPrice]]</f>
        <v>60000</v>
      </c>
      <c r="I1909">
        <f>Table1[[#This Row],[Qty]]*Table1[[#This Row],[CostPrice]]</f>
        <v>31000</v>
      </c>
      <c r="J1909">
        <v>28797</v>
      </c>
      <c r="K1909">
        <v>202.99999999999997</v>
      </c>
      <c r="L1909" t="s">
        <v>13</v>
      </c>
      <c r="M1909" t="s">
        <v>30</v>
      </c>
      <c r="N1909">
        <f>MONTH(Table1[[#This Row],[SaleDate]])</f>
        <v>8</v>
      </c>
      <c r="O1909" t="str">
        <f>TEXT(Table1[[#This Row],[SaleDate]],"MMM")</f>
        <v>Aug</v>
      </c>
    </row>
    <row r="1910" spans="1:15">
      <c r="A1910" s="1">
        <v>45146</v>
      </c>
      <c r="B1910" t="s">
        <v>25</v>
      </c>
      <c r="C1910" t="s">
        <v>21</v>
      </c>
      <c r="D1910">
        <v>1</v>
      </c>
      <c r="E1910" t="s">
        <v>10</v>
      </c>
      <c r="F1910">
        <v>89000</v>
      </c>
      <c r="G1910">
        <v>65000</v>
      </c>
      <c r="H1910">
        <f>Table1[[#This Row],[Qty]]*Table1[[#This Row],[SellingPrice]]</f>
        <v>89000</v>
      </c>
      <c r="I1910">
        <f>Table1[[#This Row],[Qty]]*Table1[[#This Row],[CostPrice]]</f>
        <v>65000</v>
      </c>
      <c r="J1910">
        <v>23832</v>
      </c>
      <c r="K1910">
        <v>167.99999999999997</v>
      </c>
      <c r="L1910" t="s">
        <v>13</v>
      </c>
      <c r="M1910" t="s">
        <v>27</v>
      </c>
      <c r="N1910">
        <f>MONTH(Table1[[#This Row],[SaleDate]])</f>
        <v>8</v>
      </c>
      <c r="O1910" t="str">
        <f>TEXT(Table1[[#This Row],[SaleDate]],"MMM")</f>
        <v>Aug</v>
      </c>
    </row>
    <row r="1911" spans="1:15">
      <c r="A1911" s="1">
        <v>45147</v>
      </c>
      <c r="B1911" t="s">
        <v>23</v>
      </c>
      <c r="C1911" t="s">
        <v>19</v>
      </c>
      <c r="D1911">
        <v>1</v>
      </c>
      <c r="E1911" t="s">
        <v>7</v>
      </c>
      <c r="F1911">
        <v>33000</v>
      </c>
      <c r="G1911">
        <v>18000</v>
      </c>
      <c r="H1911">
        <f>Table1[[#This Row],[Qty]]*Table1[[#This Row],[SellingPrice]]</f>
        <v>33000</v>
      </c>
      <c r="I1911">
        <f>Table1[[#This Row],[Qty]]*Table1[[#This Row],[CostPrice]]</f>
        <v>18000</v>
      </c>
      <c r="J1911">
        <v>14895</v>
      </c>
      <c r="K1911">
        <v>104.99999999999999</v>
      </c>
      <c r="L1911" t="s">
        <v>8</v>
      </c>
      <c r="M1911" t="s">
        <v>30</v>
      </c>
      <c r="N1911">
        <f>MONTH(Table1[[#This Row],[SaleDate]])</f>
        <v>8</v>
      </c>
      <c r="O1911" t="str">
        <f>TEXT(Table1[[#This Row],[SaleDate]],"MMM")</f>
        <v>Aug</v>
      </c>
    </row>
    <row r="1912" spans="1:15">
      <c r="A1912" s="1">
        <v>45147</v>
      </c>
      <c r="B1912" t="s">
        <v>23</v>
      </c>
      <c r="C1912" t="s">
        <v>19</v>
      </c>
      <c r="D1912">
        <v>1</v>
      </c>
      <c r="E1912" t="s">
        <v>9</v>
      </c>
      <c r="F1912">
        <v>60000</v>
      </c>
      <c r="G1912">
        <v>31000</v>
      </c>
      <c r="H1912">
        <f>Table1[[#This Row],[Qty]]*Table1[[#This Row],[SellingPrice]]</f>
        <v>60000</v>
      </c>
      <c r="I1912">
        <f>Table1[[#This Row],[Qty]]*Table1[[#This Row],[CostPrice]]</f>
        <v>31000</v>
      </c>
      <c r="J1912">
        <v>28797</v>
      </c>
      <c r="K1912">
        <v>202.99999999999997</v>
      </c>
      <c r="L1912" t="s">
        <v>8</v>
      </c>
      <c r="M1912" t="s">
        <v>29</v>
      </c>
      <c r="N1912">
        <f>MONTH(Table1[[#This Row],[SaleDate]])</f>
        <v>8</v>
      </c>
      <c r="O1912" t="str">
        <f>TEXT(Table1[[#This Row],[SaleDate]],"MMM")</f>
        <v>Aug</v>
      </c>
    </row>
    <row r="1913" spans="1:15">
      <c r="A1913" s="1">
        <v>45147</v>
      </c>
      <c r="B1913" t="s">
        <v>23</v>
      </c>
      <c r="C1913" t="s">
        <v>19</v>
      </c>
      <c r="D1913">
        <v>1</v>
      </c>
      <c r="E1913" t="s">
        <v>10</v>
      </c>
      <c r="F1913">
        <v>89000</v>
      </c>
      <c r="G1913">
        <v>65000</v>
      </c>
      <c r="H1913">
        <f>Table1[[#This Row],[Qty]]*Table1[[#This Row],[SellingPrice]]</f>
        <v>89000</v>
      </c>
      <c r="I1913">
        <f>Table1[[#This Row],[Qty]]*Table1[[#This Row],[CostPrice]]</f>
        <v>65000</v>
      </c>
      <c r="J1913">
        <v>23832</v>
      </c>
      <c r="K1913">
        <v>167.99999999999997</v>
      </c>
      <c r="L1913" t="s">
        <v>8</v>
      </c>
      <c r="M1913" t="s">
        <v>27</v>
      </c>
      <c r="N1913">
        <f>MONTH(Table1[[#This Row],[SaleDate]])</f>
        <v>8</v>
      </c>
      <c r="O1913" t="str">
        <f>TEXT(Table1[[#This Row],[SaleDate]],"MMM")</f>
        <v>Aug</v>
      </c>
    </row>
    <row r="1914" spans="1:15">
      <c r="A1914" s="1">
        <v>45147</v>
      </c>
      <c r="B1914" t="s">
        <v>26</v>
      </c>
      <c r="C1914" t="s">
        <v>20</v>
      </c>
      <c r="D1914">
        <v>1</v>
      </c>
      <c r="E1914" t="s">
        <v>9</v>
      </c>
      <c r="F1914">
        <v>60000</v>
      </c>
      <c r="G1914">
        <v>31000</v>
      </c>
      <c r="H1914">
        <f>Table1[[#This Row],[Qty]]*Table1[[#This Row],[SellingPrice]]</f>
        <v>60000</v>
      </c>
      <c r="I1914">
        <f>Table1[[#This Row],[Qty]]*Table1[[#This Row],[CostPrice]]</f>
        <v>31000</v>
      </c>
      <c r="J1914">
        <v>28797</v>
      </c>
      <c r="K1914">
        <v>202.99999999999997</v>
      </c>
      <c r="L1914" t="s">
        <v>11</v>
      </c>
      <c r="M1914" t="s">
        <v>30</v>
      </c>
      <c r="N1914">
        <f>MONTH(Table1[[#This Row],[SaleDate]])</f>
        <v>8</v>
      </c>
      <c r="O1914" t="str">
        <f>TEXT(Table1[[#This Row],[SaleDate]],"MMM")</f>
        <v>Aug</v>
      </c>
    </row>
    <row r="1915" spans="1:15">
      <c r="A1915" s="1">
        <v>45147</v>
      </c>
      <c r="B1915" t="s">
        <v>24</v>
      </c>
      <c r="C1915" t="s">
        <v>22</v>
      </c>
      <c r="D1915">
        <v>1</v>
      </c>
      <c r="E1915" t="s">
        <v>7</v>
      </c>
      <c r="F1915">
        <v>33000</v>
      </c>
      <c r="G1915">
        <v>18000</v>
      </c>
      <c r="H1915">
        <f>Table1[[#This Row],[Qty]]*Table1[[#This Row],[SellingPrice]]</f>
        <v>33000</v>
      </c>
      <c r="I1915">
        <f>Table1[[#This Row],[Qty]]*Table1[[#This Row],[CostPrice]]</f>
        <v>18000</v>
      </c>
      <c r="J1915">
        <v>14895</v>
      </c>
      <c r="K1915">
        <v>104.99999999999999</v>
      </c>
      <c r="L1915" t="s">
        <v>12</v>
      </c>
      <c r="M1915" t="s">
        <v>27</v>
      </c>
      <c r="N1915">
        <f>MONTH(Table1[[#This Row],[SaleDate]])</f>
        <v>8</v>
      </c>
      <c r="O1915" t="str">
        <f>TEXT(Table1[[#This Row],[SaleDate]],"MMM")</f>
        <v>Aug</v>
      </c>
    </row>
    <row r="1916" spans="1:15">
      <c r="A1916" s="1">
        <v>45147</v>
      </c>
      <c r="B1916" t="s">
        <v>24</v>
      </c>
      <c r="C1916" t="s">
        <v>22</v>
      </c>
      <c r="D1916">
        <v>1</v>
      </c>
      <c r="E1916" t="s">
        <v>9</v>
      </c>
      <c r="F1916">
        <v>60000</v>
      </c>
      <c r="G1916">
        <v>31000</v>
      </c>
      <c r="H1916">
        <f>Table1[[#This Row],[Qty]]*Table1[[#This Row],[SellingPrice]]</f>
        <v>60000</v>
      </c>
      <c r="I1916">
        <f>Table1[[#This Row],[Qty]]*Table1[[#This Row],[CostPrice]]</f>
        <v>31000</v>
      </c>
      <c r="J1916">
        <v>28797</v>
      </c>
      <c r="K1916">
        <v>202.99999999999997</v>
      </c>
      <c r="L1916" t="s">
        <v>12</v>
      </c>
      <c r="M1916" t="s">
        <v>30</v>
      </c>
      <c r="N1916">
        <f>MONTH(Table1[[#This Row],[SaleDate]])</f>
        <v>8</v>
      </c>
      <c r="O1916" t="str">
        <f>TEXT(Table1[[#This Row],[SaleDate]],"MMM")</f>
        <v>Aug</v>
      </c>
    </row>
    <row r="1917" spans="1:15">
      <c r="A1917" s="1">
        <v>45147</v>
      </c>
      <c r="B1917" t="s">
        <v>24</v>
      </c>
      <c r="C1917" t="s">
        <v>22</v>
      </c>
      <c r="D1917">
        <v>1</v>
      </c>
      <c r="E1917" t="s">
        <v>10</v>
      </c>
      <c r="F1917">
        <v>89000</v>
      </c>
      <c r="G1917">
        <v>65000</v>
      </c>
      <c r="H1917">
        <f>Table1[[#This Row],[Qty]]*Table1[[#This Row],[SellingPrice]]</f>
        <v>89000</v>
      </c>
      <c r="I1917">
        <f>Table1[[#This Row],[Qty]]*Table1[[#This Row],[CostPrice]]</f>
        <v>65000</v>
      </c>
      <c r="J1917">
        <v>23832</v>
      </c>
      <c r="K1917">
        <v>167.99999999999997</v>
      </c>
      <c r="L1917" t="s">
        <v>12</v>
      </c>
      <c r="M1917" t="s">
        <v>30</v>
      </c>
      <c r="N1917">
        <f>MONTH(Table1[[#This Row],[SaleDate]])</f>
        <v>8</v>
      </c>
      <c r="O1917" t="str">
        <f>TEXT(Table1[[#This Row],[SaleDate]],"MMM")</f>
        <v>Aug</v>
      </c>
    </row>
    <row r="1918" spans="1:15">
      <c r="A1918" s="1">
        <v>45147</v>
      </c>
      <c r="B1918" t="s">
        <v>25</v>
      </c>
      <c r="C1918" t="s">
        <v>21</v>
      </c>
      <c r="D1918">
        <v>1</v>
      </c>
      <c r="E1918" t="s">
        <v>7</v>
      </c>
      <c r="F1918">
        <v>33000</v>
      </c>
      <c r="G1918">
        <v>18000</v>
      </c>
      <c r="H1918">
        <f>Table1[[#This Row],[Qty]]*Table1[[#This Row],[SellingPrice]]</f>
        <v>33000</v>
      </c>
      <c r="I1918">
        <f>Table1[[#This Row],[Qty]]*Table1[[#This Row],[CostPrice]]</f>
        <v>18000</v>
      </c>
      <c r="J1918">
        <v>14895</v>
      </c>
      <c r="K1918">
        <v>104.99999999999999</v>
      </c>
      <c r="L1918" t="s">
        <v>13</v>
      </c>
      <c r="M1918" t="s">
        <v>29</v>
      </c>
      <c r="N1918">
        <f>MONTH(Table1[[#This Row],[SaleDate]])</f>
        <v>8</v>
      </c>
      <c r="O1918" t="str">
        <f>TEXT(Table1[[#This Row],[SaleDate]],"MMM")</f>
        <v>Aug</v>
      </c>
    </row>
    <row r="1919" spans="1:15">
      <c r="A1919" s="1">
        <v>45147</v>
      </c>
      <c r="B1919" t="s">
        <v>25</v>
      </c>
      <c r="C1919" t="s">
        <v>21</v>
      </c>
      <c r="D1919">
        <v>1</v>
      </c>
      <c r="E1919" t="s">
        <v>9</v>
      </c>
      <c r="F1919">
        <v>60000</v>
      </c>
      <c r="G1919">
        <v>31000</v>
      </c>
      <c r="H1919">
        <f>Table1[[#This Row],[Qty]]*Table1[[#This Row],[SellingPrice]]</f>
        <v>60000</v>
      </c>
      <c r="I1919">
        <f>Table1[[#This Row],[Qty]]*Table1[[#This Row],[CostPrice]]</f>
        <v>31000</v>
      </c>
      <c r="J1919">
        <v>28797</v>
      </c>
      <c r="K1919">
        <v>202.99999999999997</v>
      </c>
      <c r="L1919" t="s">
        <v>13</v>
      </c>
      <c r="M1919" t="s">
        <v>27</v>
      </c>
      <c r="N1919">
        <f>MONTH(Table1[[#This Row],[SaleDate]])</f>
        <v>8</v>
      </c>
      <c r="O1919" t="str">
        <f>TEXT(Table1[[#This Row],[SaleDate]],"MMM")</f>
        <v>Aug</v>
      </c>
    </row>
    <row r="1920" spans="1:15">
      <c r="A1920" s="1">
        <v>45147</v>
      </c>
      <c r="B1920" t="s">
        <v>25</v>
      </c>
      <c r="C1920" t="s">
        <v>21</v>
      </c>
      <c r="D1920">
        <v>1</v>
      </c>
      <c r="E1920" t="s">
        <v>10</v>
      </c>
      <c r="F1920">
        <v>89000</v>
      </c>
      <c r="G1920">
        <v>65000</v>
      </c>
      <c r="H1920">
        <f>Table1[[#This Row],[Qty]]*Table1[[#This Row],[SellingPrice]]</f>
        <v>89000</v>
      </c>
      <c r="I1920">
        <f>Table1[[#This Row],[Qty]]*Table1[[#This Row],[CostPrice]]</f>
        <v>65000</v>
      </c>
      <c r="J1920">
        <v>23832</v>
      </c>
      <c r="K1920">
        <v>167.99999999999997</v>
      </c>
      <c r="L1920" t="s">
        <v>13</v>
      </c>
      <c r="M1920" t="s">
        <v>30</v>
      </c>
      <c r="N1920">
        <f>MONTH(Table1[[#This Row],[SaleDate]])</f>
        <v>8</v>
      </c>
      <c r="O1920" t="str">
        <f>TEXT(Table1[[#This Row],[SaleDate]],"MMM")</f>
        <v>Aug</v>
      </c>
    </row>
    <row r="1921" spans="1:15">
      <c r="A1921" s="1">
        <v>45148</v>
      </c>
      <c r="B1921" t="s">
        <v>23</v>
      </c>
      <c r="C1921" t="s">
        <v>19</v>
      </c>
      <c r="D1921">
        <v>1</v>
      </c>
      <c r="E1921" t="s">
        <v>7</v>
      </c>
      <c r="F1921">
        <v>33000</v>
      </c>
      <c r="G1921">
        <v>18000</v>
      </c>
      <c r="H1921">
        <f>Table1[[#This Row],[Qty]]*Table1[[#This Row],[SellingPrice]]</f>
        <v>33000</v>
      </c>
      <c r="I1921">
        <f>Table1[[#This Row],[Qty]]*Table1[[#This Row],[CostPrice]]</f>
        <v>18000</v>
      </c>
      <c r="J1921">
        <v>14895</v>
      </c>
      <c r="K1921">
        <v>104.99999999999999</v>
      </c>
      <c r="L1921" t="s">
        <v>8</v>
      </c>
      <c r="M1921" t="s">
        <v>27</v>
      </c>
      <c r="N1921">
        <f>MONTH(Table1[[#This Row],[SaleDate]])</f>
        <v>8</v>
      </c>
      <c r="O1921" t="str">
        <f>TEXT(Table1[[#This Row],[SaleDate]],"MMM")</f>
        <v>Aug</v>
      </c>
    </row>
    <row r="1922" spans="1:15">
      <c r="A1922" s="1">
        <v>45148</v>
      </c>
      <c r="B1922" t="s">
        <v>23</v>
      </c>
      <c r="C1922" t="s">
        <v>19</v>
      </c>
      <c r="D1922">
        <v>1</v>
      </c>
      <c r="E1922" t="s">
        <v>9</v>
      </c>
      <c r="F1922">
        <v>60000</v>
      </c>
      <c r="G1922">
        <v>31000</v>
      </c>
      <c r="H1922">
        <f>Table1[[#This Row],[Qty]]*Table1[[#This Row],[SellingPrice]]</f>
        <v>60000</v>
      </c>
      <c r="I1922">
        <f>Table1[[#This Row],[Qty]]*Table1[[#This Row],[CostPrice]]</f>
        <v>31000</v>
      </c>
      <c r="J1922">
        <v>28797</v>
      </c>
      <c r="K1922">
        <v>202.99999999999997</v>
      </c>
      <c r="L1922" t="s">
        <v>8</v>
      </c>
      <c r="M1922" t="s">
        <v>30</v>
      </c>
      <c r="N1922">
        <f>MONTH(Table1[[#This Row],[SaleDate]])</f>
        <v>8</v>
      </c>
      <c r="O1922" t="str">
        <f>TEXT(Table1[[#This Row],[SaleDate]],"MMM")</f>
        <v>Aug</v>
      </c>
    </row>
    <row r="1923" spans="1:15">
      <c r="A1923" s="1">
        <v>45148</v>
      </c>
      <c r="B1923" t="s">
        <v>23</v>
      </c>
      <c r="C1923" t="s">
        <v>19</v>
      </c>
      <c r="D1923">
        <v>1</v>
      </c>
      <c r="E1923" t="s">
        <v>10</v>
      </c>
      <c r="F1923">
        <v>89000</v>
      </c>
      <c r="G1923">
        <v>65000</v>
      </c>
      <c r="H1923">
        <f>Table1[[#This Row],[Qty]]*Table1[[#This Row],[SellingPrice]]</f>
        <v>89000</v>
      </c>
      <c r="I1923">
        <f>Table1[[#This Row],[Qty]]*Table1[[#This Row],[CostPrice]]</f>
        <v>65000</v>
      </c>
      <c r="J1923">
        <v>23832</v>
      </c>
      <c r="K1923">
        <v>167.99999999999997</v>
      </c>
      <c r="L1923" t="s">
        <v>8</v>
      </c>
      <c r="M1923" t="s">
        <v>28</v>
      </c>
      <c r="N1923">
        <f>MONTH(Table1[[#This Row],[SaleDate]])</f>
        <v>8</v>
      </c>
      <c r="O1923" t="str">
        <f>TEXT(Table1[[#This Row],[SaleDate]],"MMM")</f>
        <v>Aug</v>
      </c>
    </row>
    <row r="1924" spans="1:15">
      <c r="A1924" s="1">
        <v>45148</v>
      </c>
      <c r="B1924" t="s">
        <v>26</v>
      </c>
      <c r="C1924" t="s">
        <v>20</v>
      </c>
      <c r="D1924">
        <v>1</v>
      </c>
      <c r="E1924" t="s">
        <v>9</v>
      </c>
      <c r="F1924">
        <v>60000</v>
      </c>
      <c r="G1924">
        <v>31000</v>
      </c>
      <c r="H1924">
        <f>Table1[[#This Row],[Qty]]*Table1[[#This Row],[SellingPrice]]</f>
        <v>60000</v>
      </c>
      <c r="I1924">
        <f>Table1[[#This Row],[Qty]]*Table1[[#This Row],[CostPrice]]</f>
        <v>31000</v>
      </c>
      <c r="J1924">
        <v>28797</v>
      </c>
      <c r="K1924">
        <v>202.99999999999997</v>
      </c>
      <c r="L1924" t="s">
        <v>11</v>
      </c>
      <c r="M1924" t="s">
        <v>28</v>
      </c>
      <c r="N1924">
        <f>MONTH(Table1[[#This Row],[SaleDate]])</f>
        <v>8</v>
      </c>
      <c r="O1924" t="str">
        <f>TEXT(Table1[[#This Row],[SaleDate]],"MMM")</f>
        <v>Aug</v>
      </c>
    </row>
    <row r="1925" spans="1:15">
      <c r="A1925" s="1">
        <v>45148</v>
      </c>
      <c r="B1925" t="s">
        <v>24</v>
      </c>
      <c r="C1925" t="s">
        <v>22</v>
      </c>
      <c r="D1925">
        <v>1</v>
      </c>
      <c r="E1925" t="s">
        <v>7</v>
      </c>
      <c r="F1925">
        <v>33000</v>
      </c>
      <c r="G1925">
        <v>18000</v>
      </c>
      <c r="H1925">
        <f>Table1[[#This Row],[Qty]]*Table1[[#This Row],[SellingPrice]]</f>
        <v>33000</v>
      </c>
      <c r="I1925">
        <f>Table1[[#This Row],[Qty]]*Table1[[#This Row],[CostPrice]]</f>
        <v>18000</v>
      </c>
      <c r="J1925">
        <v>14895</v>
      </c>
      <c r="K1925">
        <v>104.99999999999999</v>
      </c>
      <c r="L1925" t="s">
        <v>12</v>
      </c>
      <c r="M1925" t="s">
        <v>27</v>
      </c>
      <c r="N1925">
        <f>MONTH(Table1[[#This Row],[SaleDate]])</f>
        <v>8</v>
      </c>
      <c r="O1925" t="str">
        <f>TEXT(Table1[[#This Row],[SaleDate]],"MMM")</f>
        <v>Aug</v>
      </c>
    </row>
    <row r="1926" spans="1:15">
      <c r="A1926" s="1">
        <v>45148</v>
      </c>
      <c r="B1926" t="s">
        <v>24</v>
      </c>
      <c r="C1926" t="s">
        <v>22</v>
      </c>
      <c r="D1926">
        <v>1</v>
      </c>
      <c r="E1926" t="s">
        <v>9</v>
      </c>
      <c r="F1926">
        <v>60000</v>
      </c>
      <c r="G1926">
        <v>31000</v>
      </c>
      <c r="H1926">
        <f>Table1[[#This Row],[Qty]]*Table1[[#This Row],[SellingPrice]]</f>
        <v>60000</v>
      </c>
      <c r="I1926">
        <f>Table1[[#This Row],[Qty]]*Table1[[#This Row],[CostPrice]]</f>
        <v>31000</v>
      </c>
      <c r="J1926">
        <v>28797</v>
      </c>
      <c r="K1926">
        <v>202.99999999999997</v>
      </c>
      <c r="L1926" t="s">
        <v>12</v>
      </c>
      <c r="M1926" t="s">
        <v>30</v>
      </c>
      <c r="N1926">
        <f>MONTH(Table1[[#This Row],[SaleDate]])</f>
        <v>8</v>
      </c>
      <c r="O1926" t="str">
        <f>TEXT(Table1[[#This Row],[SaleDate]],"MMM")</f>
        <v>Aug</v>
      </c>
    </row>
    <row r="1927" spans="1:15">
      <c r="A1927" s="1">
        <v>45148</v>
      </c>
      <c r="B1927" t="s">
        <v>24</v>
      </c>
      <c r="C1927" t="s">
        <v>22</v>
      </c>
      <c r="D1927">
        <v>1</v>
      </c>
      <c r="E1927" t="s">
        <v>10</v>
      </c>
      <c r="F1927">
        <v>89000</v>
      </c>
      <c r="G1927">
        <v>65000</v>
      </c>
      <c r="H1927">
        <f>Table1[[#This Row],[Qty]]*Table1[[#This Row],[SellingPrice]]</f>
        <v>89000</v>
      </c>
      <c r="I1927">
        <f>Table1[[#This Row],[Qty]]*Table1[[#This Row],[CostPrice]]</f>
        <v>65000</v>
      </c>
      <c r="J1927">
        <v>23832</v>
      </c>
      <c r="K1927">
        <v>167.99999999999997</v>
      </c>
      <c r="L1927" t="s">
        <v>12</v>
      </c>
      <c r="M1927" t="s">
        <v>29</v>
      </c>
      <c r="N1927">
        <f>MONTH(Table1[[#This Row],[SaleDate]])</f>
        <v>8</v>
      </c>
      <c r="O1927" t="str">
        <f>TEXT(Table1[[#This Row],[SaleDate]],"MMM")</f>
        <v>Aug</v>
      </c>
    </row>
    <row r="1928" spans="1:15">
      <c r="A1928" s="1">
        <v>45148</v>
      </c>
      <c r="B1928" t="s">
        <v>25</v>
      </c>
      <c r="C1928" t="s">
        <v>21</v>
      </c>
      <c r="D1928">
        <v>1</v>
      </c>
      <c r="E1928" t="s">
        <v>7</v>
      </c>
      <c r="F1928">
        <v>33000</v>
      </c>
      <c r="G1928">
        <v>18000</v>
      </c>
      <c r="H1928">
        <f>Table1[[#This Row],[Qty]]*Table1[[#This Row],[SellingPrice]]</f>
        <v>33000</v>
      </c>
      <c r="I1928">
        <f>Table1[[#This Row],[Qty]]*Table1[[#This Row],[CostPrice]]</f>
        <v>18000</v>
      </c>
      <c r="J1928">
        <v>14895</v>
      </c>
      <c r="K1928">
        <v>104.99999999999999</v>
      </c>
      <c r="L1928" t="s">
        <v>13</v>
      </c>
      <c r="M1928" t="s">
        <v>29</v>
      </c>
      <c r="N1928">
        <f>MONTH(Table1[[#This Row],[SaleDate]])</f>
        <v>8</v>
      </c>
      <c r="O1928" t="str">
        <f>TEXT(Table1[[#This Row],[SaleDate]],"MMM")</f>
        <v>Aug</v>
      </c>
    </row>
    <row r="1929" spans="1:15">
      <c r="A1929" s="1">
        <v>45148</v>
      </c>
      <c r="B1929" t="s">
        <v>25</v>
      </c>
      <c r="C1929" t="s">
        <v>21</v>
      </c>
      <c r="D1929">
        <v>1</v>
      </c>
      <c r="E1929" t="s">
        <v>9</v>
      </c>
      <c r="F1929">
        <v>60000</v>
      </c>
      <c r="G1929">
        <v>31000</v>
      </c>
      <c r="H1929">
        <f>Table1[[#This Row],[Qty]]*Table1[[#This Row],[SellingPrice]]</f>
        <v>60000</v>
      </c>
      <c r="I1929">
        <f>Table1[[#This Row],[Qty]]*Table1[[#This Row],[CostPrice]]</f>
        <v>31000</v>
      </c>
      <c r="J1929">
        <v>28797</v>
      </c>
      <c r="K1929">
        <v>202.99999999999997</v>
      </c>
      <c r="L1929" t="s">
        <v>13</v>
      </c>
      <c r="M1929" t="s">
        <v>30</v>
      </c>
      <c r="N1929">
        <f>MONTH(Table1[[#This Row],[SaleDate]])</f>
        <v>8</v>
      </c>
      <c r="O1929" t="str">
        <f>TEXT(Table1[[#This Row],[SaleDate]],"MMM")</f>
        <v>Aug</v>
      </c>
    </row>
    <row r="1930" spans="1:15">
      <c r="A1930" s="1">
        <v>45148</v>
      </c>
      <c r="B1930" t="s">
        <v>25</v>
      </c>
      <c r="C1930" t="s">
        <v>21</v>
      </c>
      <c r="D1930">
        <v>1</v>
      </c>
      <c r="E1930" t="s">
        <v>10</v>
      </c>
      <c r="F1930">
        <v>89000</v>
      </c>
      <c r="G1930">
        <v>65000</v>
      </c>
      <c r="H1930">
        <f>Table1[[#This Row],[Qty]]*Table1[[#This Row],[SellingPrice]]</f>
        <v>89000</v>
      </c>
      <c r="I1930">
        <f>Table1[[#This Row],[Qty]]*Table1[[#This Row],[CostPrice]]</f>
        <v>65000</v>
      </c>
      <c r="J1930">
        <v>23832</v>
      </c>
      <c r="K1930">
        <v>167.99999999999997</v>
      </c>
      <c r="L1930" t="s">
        <v>13</v>
      </c>
      <c r="M1930" t="s">
        <v>30</v>
      </c>
      <c r="N1930">
        <f>MONTH(Table1[[#This Row],[SaleDate]])</f>
        <v>8</v>
      </c>
      <c r="O1930" t="str">
        <f>TEXT(Table1[[#This Row],[SaleDate]],"MMM")</f>
        <v>Aug</v>
      </c>
    </row>
    <row r="1931" spans="1:15">
      <c r="A1931" s="1">
        <v>45149</v>
      </c>
      <c r="B1931" t="s">
        <v>23</v>
      </c>
      <c r="C1931" t="s">
        <v>19</v>
      </c>
      <c r="D1931">
        <v>1</v>
      </c>
      <c r="E1931" t="s">
        <v>7</v>
      </c>
      <c r="F1931">
        <v>33000</v>
      </c>
      <c r="G1931">
        <v>18000</v>
      </c>
      <c r="H1931">
        <f>Table1[[#This Row],[Qty]]*Table1[[#This Row],[SellingPrice]]</f>
        <v>33000</v>
      </c>
      <c r="I1931">
        <f>Table1[[#This Row],[Qty]]*Table1[[#This Row],[CostPrice]]</f>
        <v>18000</v>
      </c>
      <c r="J1931">
        <v>14895</v>
      </c>
      <c r="K1931">
        <v>104.99999999999999</v>
      </c>
      <c r="L1931" t="s">
        <v>8</v>
      </c>
      <c r="M1931" t="s">
        <v>27</v>
      </c>
      <c r="N1931">
        <f>MONTH(Table1[[#This Row],[SaleDate]])</f>
        <v>8</v>
      </c>
      <c r="O1931" t="str">
        <f>TEXT(Table1[[#This Row],[SaleDate]],"MMM")</f>
        <v>Aug</v>
      </c>
    </row>
    <row r="1932" spans="1:15">
      <c r="A1932" s="1">
        <v>45149</v>
      </c>
      <c r="B1932" t="s">
        <v>23</v>
      </c>
      <c r="C1932" t="s">
        <v>19</v>
      </c>
      <c r="D1932">
        <v>1</v>
      </c>
      <c r="E1932" t="s">
        <v>9</v>
      </c>
      <c r="F1932">
        <v>60000</v>
      </c>
      <c r="G1932">
        <v>31000</v>
      </c>
      <c r="H1932">
        <f>Table1[[#This Row],[Qty]]*Table1[[#This Row],[SellingPrice]]</f>
        <v>60000</v>
      </c>
      <c r="I1932">
        <f>Table1[[#This Row],[Qty]]*Table1[[#This Row],[CostPrice]]</f>
        <v>31000</v>
      </c>
      <c r="J1932">
        <v>28797</v>
      </c>
      <c r="K1932">
        <v>202.99999999999997</v>
      </c>
      <c r="L1932" t="s">
        <v>8</v>
      </c>
      <c r="M1932" t="s">
        <v>28</v>
      </c>
      <c r="N1932">
        <f>MONTH(Table1[[#This Row],[SaleDate]])</f>
        <v>8</v>
      </c>
      <c r="O1932" t="str">
        <f>TEXT(Table1[[#This Row],[SaleDate]],"MMM")</f>
        <v>Aug</v>
      </c>
    </row>
    <row r="1933" spans="1:15">
      <c r="A1933" s="1">
        <v>45149</v>
      </c>
      <c r="B1933" t="s">
        <v>23</v>
      </c>
      <c r="C1933" t="s">
        <v>19</v>
      </c>
      <c r="D1933">
        <v>1</v>
      </c>
      <c r="E1933" t="s">
        <v>10</v>
      </c>
      <c r="F1933">
        <v>89000</v>
      </c>
      <c r="G1933">
        <v>65000</v>
      </c>
      <c r="H1933">
        <f>Table1[[#This Row],[Qty]]*Table1[[#This Row],[SellingPrice]]</f>
        <v>89000</v>
      </c>
      <c r="I1933">
        <f>Table1[[#This Row],[Qty]]*Table1[[#This Row],[CostPrice]]</f>
        <v>65000</v>
      </c>
      <c r="J1933">
        <v>23832</v>
      </c>
      <c r="K1933">
        <v>167.99999999999997</v>
      </c>
      <c r="L1933" t="s">
        <v>8</v>
      </c>
      <c r="M1933" t="s">
        <v>30</v>
      </c>
      <c r="N1933">
        <f>MONTH(Table1[[#This Row],[SaleDate]])</f>
        <v>8</v>
      </c>
      <c r="O1933" t="str">
        <f>TEXT(Table1[[#This Row],[SaleDate]],"MMM")</f>
        <v>Aug</v>
      </c>
    </row>
    <row r="1934" spans="1:15">
      <c r="A1934" s="1">
        <v>45149</v>
      </c>
      <c r="B1934" t="s">
        <v>26</v>
      </c>
      <c r="C1934" t="s">
        <v>20</v>
      </c>
      <c r="D1934">
        <v>1</v>
      </c>
      <c r="E1934" t="s">
        <v>9</v>
      </c>
      <c r="F1934">
        <v>60000</v>
      </c>
      <c r="G1934">
        <v>31000</v>
      </c>
      <c r="H1934">
        <f>Table1[[#This Row],[Qty]]*Table1[[#This Row],[SellingPrice]]</f>
        <v>60000</v>
      </c>
      <c r="I1934">
        <f>Table1[[#This Row],[Qty]]*Table1[[#This Row],[CostPrice]]</f>
        <v>31000</v>
      </c>
      <c r="J1934">
        <v>28797</v>
      </c>
      <c r="K1934">
        <v>202.99999999999997</v>
      </c>
      <c r="L1934" t="s">
        <v>11</v>
      </c>
      <c r="M1934" t="s">
        <v>29</v>
      </c>
      <c r="N1934">
        <f>MONTH(Table1[[#This Row],[SaleDate]])</f>
        <v>8</v>
      </c>
      <c r="O1934" t="str">
        <f>TEXT(Table1[[#This Row],[SaleDate]],"MMM")</f>
        <v>Aug</v>
      </c>
    </row>
    <row r="1935" spans="1:15">
      <c r="A1935" s="1">
        <v>45149</v>
      </c>
      <c r="B1935" t="s">
        <v>24</v>
      </c>
      <c r="C1935" t="s">
        <v>22</v>
      </c>
      <c r="D1935">
        <v>1</v>
      </c>
      <c r="E1935" t="s">
        <v>7</v>
      </c>
      <c r="F1935">
        <v>33000</v>
      </c>
      <c r="G1935">
        <v>18000</v>
      </c>
      <c r="H1935">
        <f>Table1[[#This Row],[Qty]]*Table1[[#This Row],[SellingPrice]]</f>
        <v>33000</v>
      </c>
      <c r="I1935">
        <f>Table1[[#This Row],[Qty]]*Table1[[#This Row],[CostPrice]]</f>
        <v>18000</v>
      </c>
      <c r="J1935">
        <v>14895</v>
      </c>
      <c r="K1935">
        <v>104.99999999999999</v>
      </c>
      <c r="L1935" t="s">
        <v>12</v>
      </c>
      <c r="M1935" t="s">
        <v>30</v>
      </c>
      <c r="N1935">
        <f>MONTH(Table1[[#This Row],[SaleDate]])</f>
        <v>8</v>
      </c>
      <c r="O1935" t="str">
        <f>TEXT(Table1[[#This Row],[SaleDate]],"MMM")</f>
        <v>Aug</v>
      </c>
    </row>
    <row r="1936" spans="1:15">
      <c r="A1936" s="1">
        <v>45149</v>
      </c>
      <c r="B1936" t="s">
        <v>24</v>
      </c>
      <c r="C1936" t="s">
        <v>22</v>
      </c>
      <c r="D1936">
        <v>1</v>
      </c>
      <c r="E1936" t="s">
        <v>9</v>
      </c>
      <c r="F1936">
        <v>60000</v>
      </c>
      <c r="G1936">
        <v>31000</v>
      </c>
      <c r="H1936">
        <f>Table1[[#This Row],[Qty]]*Table1[[#This Row],[SellingPrice]]</f>
        <v>60000</v>
      </c>
      <c r="I1936">
        <f>Table1[[#This Row],[Qty]]*Table1[[#This Row],[CostPrice]]</f>
        <v>31000</v>
      </c>
      <c r="J1936">
        <v>28797</v>
      </c>
      <c r="K1936">
        <v>202.99999999999997</v>
      </c>
      <c r="L1936" t="s">
        <v>12</v>
      </c>
      <c r="M1936" t="s">
        <v>30</v>
      </c>
      <c r="N1936">
        <f>MONTH(Table1[[#This Row],[SaleDate]])</f>
        <v>8</v>
      </c>
      <c r="O1936" t="str">
        <f>TEXT(Table1[[#This Row],[SaleDate]],"MMM")</f>
        <v>Aug</v>
      </c>
    </row>
    <row r="1937" spans="1:15">
      <c r="A1937" s="1">
        <v>45149</v>
      </c>
      <c r="B1937" t="s">
        <v>24</v>
      </c>
      <c r="C1937" t="s">
        <v>22</v>
      </c>
      <c r="D1937">
        <v>1</v>
      </c>
      <c r="E1937" t="s">
        <v>10</v>
      </c>
      <c r="F1937">
        <v>89000</v>
      </c>
      <c r="G1937">
        <v>65000</v>
      </c>
      <c r="H1937">
        <f>Table1[[#This Row],[Qty]]*Table1[[#This Row],[SellingPrice]]</f>
        <v>89000</v>
      </c>
      <c r="I1937">
        <f>Table1[[#This Row],[Qty]]*Table1[[#This Row],[CostPrice]]</f>
        <v>65000</v>
      </c>
      <c r="J1937">
        <v>23832</v>
      </c>
      <c r="K1937">
        <v>167.99999999999997</v>
      </c>
      <c r="L1937" t="s">
        <v>12</v>
      </c>
      <c r="M1937" t="s">
        <v>29</v>
      </c>
      <c r="N1937">
        <f>MONTH(Table1[[#This Row],[SaleDate]])</f>
        <v>8</v>
      </c>
      <c r="O1937" t="str">
        <f>TEXT(Table1[[#This Row],[SaleDate]],"MMM")</f>
        <v>Aug</v>
      </c>
    </row>
    <row r="1938" spans="1:15">
      <c r="A1938" s="1">
        <v>45149</v>
      </c>
      <c r="B1938" t="s">
        <v>25</v>
      </c>
      <c r="C1938" t="s">
        <v>21</v>
      </c>
      <c r="D1938">
        <v>1</v>
      </c>
      <c r="E1938" t="s">
        <v>7</v>
      </c>
      <c r="F1938">
        <v>33000</v>
      </c>
      <c r="G1938">
        <v>18000</v>
      </c>
      <c r="H1938">
        <f>Table1[[#This Row],[Qty]]*Table1[[#This Row],[SellingPrice]]</f>
        <v>33000</v>
      </c>
      <c r="I1938">
        <f>Table1[[#This Row],[Qty]]*Table1[[#This Row],[CostPrice]]</f>
        <v>18000</v>
      </c>
      <c r="J1938">
        <v>14895</v>
      </c>
      <c r="K1938">
        <v>104.99999999999999</v>
      </c>
      <c r="L1938" t="s">
        <v>13</v>
      </c>
      <c r="M1938" t="s">
        <v>27</v>
      </c>
      <c r="N1938">
        <f>MONTH(Table1[[#This Row],[SaleDate]])</f>
        <v>8</v>
      </c>
      <c r="O1938" t="str">
        <f>TEXT(Table1[[#This Row],[SaleDate]],"MMM")</f>
        <v>Aug</v>
      </c>
    </row>
    <row r="1939" spans="1:15">
      <c r="A1939" s="1">
        <v>45149</v>
      </c>
      <c r="B1939" t="s">
        <v>25</v>
      </c>
      <c r="C1939" t="s">
        <v>21</v>
      </c>
      <c r="D1939">
        <v>1</v>
      </c>
      <c r="E1939" t="s">
        <v>9</v>
      </c>
      <c r="F1939">
        <v>60000</v>
      </c>
      <c r="G1939">
        <v>31000</v>
      </c>
      <c r="H1939">
        <f>Table1[[#This Row],[Qty]]*Table1[[#This Row],[SellingPrice]]</f>
        <v>60000</v>
      </c>
      <c r="I1939">
        <f>Table1[[#This Row],[Qty]]*Table1[[#This Row],[CostPrice]]</f>
        <v>31000</v>
      </c>
      <c r="J1939">
        <v>28797</v>
      </c>
      <c r="K1939">
        <v>202.99999999999997</v>
      </c>
      <c r="L1939" t="s">
        <v>13</v>
      </c>
      <c r="M1939" t="s">
        <v>29</v>
      </c>
      <c r="N1939">
        <f>MONTH(Table1[[#This Row],[SaleDate]])</f>
        <v>8</v>
      </c>
      <c r="O1939" t="str">
        <f>TEXT(Table1[[#This Row],[SaleDate]],"MMM")</f>
        <v>Aug</v>
      </c>
    </row>
    <row r="1940" spans="1:15">
      <c r="A1940" s="1">
        <v>45149</v>
      </c>
      <c r="B1940" t="s">
        <v>25</v>
      </c>
      <c r="C1940" t="s">
        <v>21</v>
      </c>
      <c r="D1940">
        <v>1</v>
      </c>
      <c r="E1940" t="s">
        <v>10</v>
      </c>
      <c r="F1940">
        <v>89000</v>
      </c>
      <c r="G1940">
        <v>65000</v>
      </c>
      <c r="H1940">
        <f>Table1[[#This Row],[Qty]]*Table1[[#This Row],[SellingPrice]]</f>
        <v>89000</v>
      </c>
      <c r="I1940">
        <f>Table1[[#This Row],[Qty]]*Table1[[#This Row],[CostPrice]]</f>
        <v>65000</v>
      </c>
      <c r="J1940">
        <v>23832</v>
      </c>
      <c r="K1940">
        <v>167.99999999999997</v>
      </c>
      <c r="L1940" t="s">
        <v>13</v>
      </c>
      <c r="M1940" t="s">
        <v>28</v>
      </c>
      <c r="N1940">
        <f>MONTH(Table1[[#This Row],[SaleDate]])</f>
        <v>8</v>
      </c>
      <c r="O1940" t="str">
        <f>TEXT(Table1[[#This Row],[SaleDate]],"MMM")</f>
        <v>Aug</v>
      </c>
    </row>
    <row r="1941" spans="1:15">
      <c r="A1941" s="1">
        <v>45150</v>
      </c>
      <c r="B1941" t="s">
        <v>23</v>
      </c>
      <c r="C1941" t="s">
        <v>19</v>
      </c>
      <c r="D1941">
        <v>2</v>
      </c>
      <c r="E1941" t="s">
        <v>7</v>
      </c>
      <c r="F1941">
        <v>33000</v>
      </c>
      <c r="G1941">
        <v>18000</v>
      </c>
      <c r="H1941">
        <f>Table1[[#This Row],[Qty]]*Table1[[#This Row],[SellingPrice]]</f>
        <v>66000</v>
      </c>
      <c r="I1941">
        <f>Table1[[#This Row],[Qty]]*Table1[[#This Row],[CostPrice]]</f>
        <v>36000</v>
      </c>
      <c r="J1941">
        <v>29790</v>
      </c>
      <c r="K1941">
        <v>209.99999999999997</v>
      </c>
      <c r="L1941" t="s">
        <v>8</v>
      </c>
      <c r="M1941" t="s">
        <v>30</v>
      </c>
      <c r="N1941">
        <f>MONTH(Table1[[#This Row],[SaleDate]])</f>
        <v>8</v>
      </c>
      <c r="O1941" t="str">
        <f>TEXT(Table1[[#This Row],[SaleDate]],"MMM")</f>
        <v>Aug</v>
      </c>
    </row>
    <row r="1942" spans="1:15">
      <c r="A1942" s="1">
        <v>45150</v>
      </c>
      <c r="B1942" t="s">
        <v>23</v>
      </c>
      <c r="C1942" t="s">
        <v>19</v>
      </c>
      <c r="D1942">
        <v>2</v>
      </c>
      <c r="E1942" t="s">
        <v>9</v>
      </c>
      <c r="F1942">
        <v>60000</v>
      </c>
      <c r="G1942">
        <v>31000</v>
      </c>
      <c r="H1942">
        <f>Table1[[#This Row],[Qty]]*Table1[[#This Row],[SellingPrice]]</f>
        <v>120000</v>
      </c>
      <c r="I1942">
        <f>Table1[[#This Row],[Qty]]*Table1[[#This Row],[CostPrice]]</f>
        <v>62000</v>
      </c>
      <c r="J1942">
        <v>57594</v>
      </c>
      <c r="K1942">
        <v>405.99999999999994</v>
      </c>
      <c r="L1942" t="s">
        <v>8</v>
      </c>
      <c r="M1942" t="s">
        <v>28</v>
      </c>
      <c r="N1942">
        <f>MONTH(Table1[[#This Row],[SaleDate]])</f>
        <v>8</v>
      </c>
      <c r="O1942" t="str">
        <f>TEXT(Table1[[#This Row],[SaleDate]],"MMM")</f>
        <v>Aug</v>
      </c>
    </row>
    <row r="1943" spans="1:15">
      <c r="A1943" s="1">
        <v>45150</v>
      </c>
      <c r="B1943" t="s">
        <v>23</v>
      </c>
      <c r="C1943" t="s">
        <v>19</v>
      </c>
      <c r="D1943">
        <v>2</v>
      </c>
      <c r="E1943" t="s">
        <v>10</v>
      </c>
      <c r="F1943">
        <v>89000</v>
      </c>
      <c r="G1943">
        <v>65000</v>
      </c>
      <c r="H1943">
        <f>Table1[[#This Row],[Qty]]*Table1[[#This Row],[SellingPrice]]</f>
        <v>178000</v>
      </c>
      <c r="I1943">
        <f>Table1[[#This Row],[Qty]]*Table1[[#This Row],[CostPrice]]</f>
        <v>130000</v>
      </c>
      <c r="J1943">
        <v>47664</v>
      </c>
      <c r="K1943">
        <v>335.99999999999994</v>
      </c>
      <c r="L1943" t="s">
        <v>8</v>
      </c>
      <c r="M1943" t="s">
        <v>29</v>
      </c>
      <c r="N1943">
        <f>MONTH(Table1[[#This Row],[SaleDate]])</f>
        <v>8</v>
      </c>
      <c r="O1943" t="str">
        <f>TEXT(Table1[[#This Row],[SaleDate]],"MMM")</f>
        <v>Aug</v>
      </c>
    </row>
    <row r="1944" spans="1:15">
      <c r="A1944" s="1">
        <v>45150</v>
      </c>
      <c r="B1944" t="s">
        <v>26</v>
      </c>
      <c r="C1944" t="s">
        <v>20</v>
      </c>
      <c r="D1944">
        <v>2</v>
      </c>
      <c r="E1944" t="s">
        <v>9</v>
      </c>
      <c r="F1944">
        <v>60000</v>
      </c>
      <c r="G1944">
        <v>31000</v>
      </c>
      <c r="H1944">
        <f>Table1[[#This Row],[Qty]]*Table1[[#This Row],[SellingPrice]]</f>
        <v>120000</v>
      </c>
      <c r="I1944">
        <f>Table1[[#This Row],[Qty]]*Table1[[#This Row],[CostPrice]]</f>
        <v>62000</v>
      </c>
      <c r="J1944">
        <v>57594</v>
      </c>
      <c r="K1944">
        <v>405.99999999999994</v>
      </c>
      <c r="L1944" t="s">
        <v>11</v>
      </c>
      <c r="M1944" t="s">
        <v>30</v>
      </c>
      <c r="N1944">
        <f>MONTH(Table1[[#This Row],[SaleDate]])</f>
        <v>8</v>
      </c>
      <c r="O1944" t="str">
        <f>TEXT(Table1[[#This Row],[SaleDate]],"MMM")</f>
        <v>Aug</v>
      </c>
    </row>
    <row r="1945" spans="1:15">
      <c r="A1945" s="1">
        <v>45150</v>
      </c>
      <c r="B1945" t="s">
        <v>24</v>
      </c>
      <c r="C1945" t="s">
        <v>22</v>
      </c>
      <c r="D1945">
        <v>2</v>
      </c>
      <c r="E1945" t="s">
        <v>7</v>
      </c>
      <c r="F1945">
        <v>33000</v>
      </c>
      <c r="G1945">
        <v>18000</v>
      </c>
      <c r="H1945">
        <f>Table1[[#This Row],[Qty]]*Table1[[#This Row],[SellingPrice]]</f>
        <v>66000</v>
      </c>
      <c r="I1945">
        <f>Table1[[#This Row],[Qty]]*Table1[[#This Row],[CostPrice]]</f>
        <v>36000</v>
      </c>
      <c r="J1945">
        <v>29790</v>
      </c>
      <c r="K1945">
        <v>209.99999999999997</v>
      </c>
      <c r="L1945" t="s">
        <v>12</v>
      </c>
      <c r="M1945" t="s">
        <v>30</v>
      </c>
      <c r="N1945">
        <f>MONTH(Table1[[#This Row],[SaleDate]])</f>
        <v>8</v>
      </c>
      <c r="O1945" t="str">
        <f>TEXT(Table1[[#This Row],[SaleDate]],"MMM")</f>
        <v>Aug</v>
      </c>
    </row>
    <row r="1946" spans="1:15">
      <c r="A1946" s="1">
        <v>45150</v>
      </c>
      <c r="B1946" t="s">
        <v>24</v>
      </c>
      <c r="C1946" t="s">
        <v>22</v>
      </c>
      <c r="D1946">
        <v>2</v>
      </c>
      <c r="E1946" t="s">
        <v>9</v>
      </c>
      <c r="F1946">
        <v>60000</v>
      </c>
      <c r="G1946">
        <v>31000</v>
      </c>
      <c r="H1946">
        <f>Table1[[#This Row],[Qty]]*Table1[[#This Row],[SellingPrice]]</f>
        <v>120000</v>
      </c>
      <c r="I1946">
        <f>Table1[[#This Row],[Qty]]*Table1[[#This Row],[CostPrice]]</f>
        <v>62000</v>
      </c>
      <c r="J1946">
        <v>57594</v>
      </c>
      <c r="K1946">
        <v>405.99999999999994</v>
      </c>
      <c r="L1946" t="s">
        <v>12</v>
      </c>
      <c r="M1946" t="s">
        <v>30</v>
      </c>
      <c r="N1946">
        <f>MONTH(Table1[[#This Row],[SaleDate]])</f>
        <v>8</v>
      </c>
      <c r="O1946" t="str">
        <f>TEXT(Table1[[#This Row],[SaleDate]],"MMM")</f>
        <v>Aug</v>
      </c>
    </row>
    <row r="1947" spans="1:15">
      <c r="A1947" s="1">
        <v>45150</v>
      </c>
      <c r="B1947" t="s">
        <v>24</v>
      </c>
      <c r="C1947" t="s">
        <v>22</v>
      </c>
      <c r="D1947">
        <v>2</v>
      </c>
      <c r="E1947" t="s">
        <v>10</v>
      </c>
      <c r="F1947">
        <v>89000</v>
      </c>
      <c r="G1947">
        <v>65000</v>
      </c>
      <c r="H1947">
        <f>Table1[[#This Row],[Qty]]*Table1[[#This Row],[SellingPrice]]</f>
        <v>178000</v>
      </c>
      <c r="I1947">
        <f>Table1[[#This Row],[Qty]]*Table1[[#This Row],[CostPrice]]</f>
        <v>130000</v>
      </c>
      <c r="J1947">
        <v>47664</v>
      </c>
      <c r="K1947">
        <v>335.99999999999994</v>
      </c>
      <c r="L1947" t="s">
        <v>12</v>
      </c>
      <c r="M1947" t="s">
        <v>30</v>
      </c>
      <c r="N1947">
        <f>MONTH(Table1[[#This Row],[SaleDate]])</f>
        <v>8</v>
      </c>
      <c r="O1947" t="str">
        <f>TEXT(Table1[[#This Row],[SaleDate]],"MMM")</f>
        <v>Aug</v>
      </c>
    </row>
    <row r="1948" spans="1:15">
      <c r="A1948" s="1">
        <v>45150</v>
      </c>
      <c r="B1948" t="s">
        <v>25</v>
      </c>
      <c r="C1948" t="s">
        <v>21</v>
      </c>
      <c r="D1948">
        <v>2</v>
      </c>
      <c r="E1948" t="s">
        <v>7</v>
      </c>
      <c r="F1948">
        <v>33000</v>
      </c>
      <c r="G1948">
        <v>18000</v>
      </c>
      <c r="H1948">
        <f>Table1[[#This Row],[Qty]]*Table1[[#This Row],[SellingPrice]]</f>
        <v>66000</v>
      </c>
      <c r="I1948">
        <f>Table1[[#This Row],[Qty]]*Table1[[#This Row],[CostPrice]]</f>
        <v>36000</v>
      </c>
      <c r="J1948">
        <v>29790</v>
      </c>
      <c r="K1948">
        <v>209.99999999999997</v>
      </c>
      <c r="L1948" t="s">
        <v>13</v>
      </c>
      <c r="M1948" t="s">
        <v>30</v>
      </c>
      <c r="N1948">
        <f>MONTH(Table1[[#This Row],[SaleDate]])</f>
        <v>8</v>
      </c>
      <c r="O1948" t="str">
        <f>TEXT(Table1[[#This Row],[SaleDate]],"MMM")</f>
        <v>Aug</v>
      </c>
    </row>
    <row r="1949" spans="1:15">
      <c r="A1949" s="1">
        <v>45150</v>
      </c>
      <c r="B1949" t="s">
        <v>25</v>
      </c>
      <c r="C1949" t="s">
        <v>21</v>
      </c>
      <c r="D1949">
        <v>2</v>
      </c>
      <c r="E1949" t="s">
        <v>9</v>
      </c>
      <c r="F1949">
        <v>60000</v>
      </c>
      <c r="G1949">
        <v>31000</v>
      </c>
      <c r="H1949">
        <f>Table1[[#This Row],[Qty]]*Table1[[#This Row],[SellingPrice]]</f>
        <v>120000</v>
      </c>
      <c r="I1949">
        <f>Table1[[#This Row],[Qty]]*Table1[[#This Row],[CostPrice]]</f>
        <v>62000</v>
      </c>
      <c r="J1949">
        <v>57594</v>
      </c>
      <c r="K1949">
        <v>405.99999999999994</v>
      </c>
      <c r="L1949" t="s">
        <v>13</v>
      </c>
      <c r="M1949" t="s">
        <v>27</v>
      </c>
      <c r="N1949">
        <f>MONTH(Table1[[#This Row],[SaleDate]])</f>
        <v>8</v>
      </c>
      <c r="O1949" t="str">
        <f>TEXT(Table1[[#This Row],[SaleDate]],"MMM")</f>
        <v>Aug</v>
      </c>
    </row>
    <row r="1950" spans="1:15">
      <c r="A1950" s="1">
        <v>45150</v>
      </c>
      <c r="B1950" t="s">
        <v>25</v>
      </c>
      <c r="C1950" t="s">
        <v>21</v>
      </c>
      <c r="D1950">
        <v>2</v>
      </c>
      <c r="E1950" t="s">
        <v>10</v>
      </c>
      <c r="F1950">
        <v>89000</v>
      </c>
      <c r="G1950">
        <v>65000</v>
      </c>
      <c r="H1950">
        <f>Table1[[#This Row],[Qty]]*Table1[[#This Row],[SellingPrice]]</f>
        <v>178000</v>
      </c>
      <c r="I1950">
        <f>Table1[[#This Row],[Qty]]*Table1[[#This Row],[CostPrice]]</f>
        <v>130000</v>
      </c>
      <c r="J1950">
        <v>47664</v>
      </c>
      <c r="K1950">
        <v>335.99999999999994</v>
      </c>
      <c r="L1950" t="s">
        <v>13</v>
      </c>
      <c r="M1950" t="s">
        <v>27</v>
      </c>
      <c r="N1950">
        <f>MONTH(Table1[[#This Row],[SaleDate]])</f>
        <v>8</v>
      </c>
      <c r="O1950" t="str">
        <f>TEXT(Table1[[#This Row],[SaleDate]],"MMM")</f>
        <v>Aug</v>
      </c>
    </row>
    <row r="1951" spans="1:15">
      <c r="A1951" s="1">
        <v>45151</v>
      </c>
      <c r="B1951" t="s">
        <v>23</v>
      </c>
      <c r="C1951" t="s">
        <v>19</v>
      </c>
      <c r="D1951">
        <v>1</v>
      </c>
      <c r="E1951" t="s">
        <v>7</v>
      </c>
      <c r="F1951">
        <v>33000</v>
      </c>
      <c r="G1951">
        <v>18000</v>
      </c>
      <c r="H1951">
        <f>Table1[[#This Row],[Qty]]*Table1[[#This Row],[SellingPrice]]</f>
        <v>33000</v>
      </c>
      <c r="I1951">
        <f>Table1[[#This Row],[Qty]]*Table1[[#This Row],[CostPrice]]</f>
        <v>18000</v>
      </c>
      <c r="J1951">
        <v>14895</v>
      </c>
      <c r="K1951">
        <v>104.99999999999999</v>
      </c>
      <c r="L1951" t="s">
        <v>8</v>
      </c>
      <c r="M1951" t="s">
        <v>30</v>
      </c>
      <c r="N1951">
        <f>MONTH(Table1[[#This Row],[SaleDate]])</f>
        <v>8</v>
      </c>
      <c r="O1951" t="str">
        <f>TEXT(Table1[[#This Row],[SaleDate]],"MMM")</f>
        <v>Aug</v>
      </c>
    </row>
    <row r="1952" spans="1:15">
      <c r="A1952" s="1">
        <v>45151</v>
      </c>
      <c r="B1952" t="s">
        <v>23</v>
      </c>
      <c r="C1952" t="s">
        <v>19</v>
      </c>
      <c r="D1952">
        <v>1</v>
      </c>
      <c r="E1952" t="s">
        <v>9</v>
      </c>
      <c r="F1952">
        <v>60000</v>
      </c>
      <c r="G1952">
        <v>31000</v>
      </c>
      <c r="H1952">
        <f>Table1[[#This Row],[Qty]]*Table1[[#This Row],[SellingPrice]]</f>
        <v>60000</v>
      </c>
      <c r="I1952">
        <f>Table1[[#This Row],[Qty]]*Table1[[#This Row],[CostPrice]]</f>
        <v>31000</v>
      </c>
      <c r="J1952">
        <v>28797</v>
      </c>
      <c r="K1952">
        <v>202.99999999999997</v>
      </c>
      <c r="L1952" t="s">
        <v>8</v>
      </c>
      <c r="M1952" t="s">
        <v>27</v>
      </c>
      <c r="N1952">
        <f>MONTH(Table1[[#This Row],[SaleDate]])</f>
        <v>8</v>
      </c>
      <c r="O1952" t="str">
        <f>TEXT(Table1[[#This Row],[SaleDate]],"MMM")</f>
        <v>Aug</v>
      </c>
    </row>
    <row r="1953" spans="1:15">
      <c r="A1953" s="1">
        <v>45151</v>
      </c>
      <c r="B1953" t="s">
        <v>23</v>
      </c>
      <c r="C1953" t="s">
        <v>19</v>
      </c>
      <c r="D1953">
        <v>1</v>
      </c>
      <c r="E1953" t="s">
        <v>10</v>
      </c>
      <c r="F1953">
        <v>89000</v>
      </c>
      <c r="G1953">
        <v>65000</v>
      </c>
      <c r="H1953">
        <f>Table1[[#This Row],[Qty]]*Table1[[#This Row],[SellingPrice]]</f>
        <v>89000</v>
      </c>
      <c r="I1953">
        <f>Table1[[#This Row],[Qty]]*Table1[[#This Row],[CostPrice]]</f>
        <v>65000</v>
      </c>
      <c r="J1953">
        <v>23832</v>
      </c>
      <c r="K1953">
        <v>167.99999999999997</v>
      </c>
      <c r="L1953" t="s">
        <v>8</v>
      </c>
      <c r="M1953" t="s">
        <v>29</v>
      </c>
      <c r="N1953">
        <f>MONTH(Table1[[#This Row],[SaleDate]])</f>
        <v>8</v>
      </c>
      <c r="O1953" t="str">
        <f>TEXT(Table1[[#This Row],[SaleDate]],"MMM")</f>
        <v>Aug</v>
      </c>
    </row>
    <row r="1954" spans="1:15">
      <c r="A1954" s="1">
        <v>45151</v>
      </c>
      <c r="B1954" t="s">
        <v>26</v>
      </c>
      <c r="C1954" t="s">
        <v>20</v>
      </c>
      <c r="D1954">
        <v>1</v>
      </c>
      <c r="E1954" t="s">
        <v>9</v>
      </c>
      <c r="F1954">
        <v>60000</v>
      </c>
      <c r="G1954">
        <v>31000</v>
      </c>
      <c r="H1954">
        <f>Table1[[#This Row],[Qty]]*Table1[[#This Row],[SellingPrice]]</f>
        <v>60000</v>
      </c>
      <c r="I1954">
        <f>Table1[[#This Row],[Qty]]*Table1[[#This Row],[CostPrice]]</f>
        <v>31000</v>
      </c>
      <c r="J1954">
        <v>28797</v>
      </c>
      <c r="K1954">
        <v>202.99999999999997</v>
      </c>
      <c r="L1954" t="s">
        <v>11</v>
      </c>
      <c r="M1954" t="s">
        <v>30</v>
      </c>
      <c r="N1954">
        <f>MONTH(Table1[[#This Row],[SaleDate]])</f>
        <v>8</v>
      </c>
      <c r="O1954" t="str">
        <f>TEXT(Table1[[#This Row],[SaleDate]],"MMM")</f>
        <v>Aug</v>
      </c>
    </row>
    <row r="1955" spans="1:15">
      <c r="A1955" s="1">
        <v>45151</v>
      </c>
      <c r="B1955" t="s">
        <v>24</v>
      </c>
      <c r="C1955" t="s">
        <v>22</v>
      </c>
      <c r="D1955">
        <v>1</v>
      </c>
      <c r="E1955" t="s">
        <v>7</v>
      </c>
      <c r="F1955">
        <v>33000</v>
      </c>
      <c r="G1955">
        <v>18000</v>
      </c>
      <c r="H1955">
        <f>Table1[[#This Row],[Qty]]*Table1[[#This Row],[SellingPrice]]</f>
        <v>33000</v>
      </c>
      <c r="I1955">
        <f>Table1[[#This Row],[Qty]]*Table1[[#This Row],[CostPrice]]</f>
        <v>18000</v>
      </c>
      <c r="J1955">
        <v>14895</v>
      </c>
      <c r="K1955">
        <v>104.99999999999999</v>
      </c>
      <c r="L1955" t="s">
        <v>12</v>
      </c>
      <c r="M1955" t="s">
        <v>27</v>
      </c>
      <c r="N1955">
        <f>MONTH(Table1[[#This Row],[SaleDate]])</f>
        <v>8</v>
      </c>
      <c r="O1955" t="str">
        <f>TEXT(Table1[[#This Row],[SaleDate]],"MMM")</f>
        <v>Aug</v>
      </c>
    </row>
    <row r="1956" spans="1:15">
      <c r="A1956" s="1">
        <v>45151</v>
      </c>
      <c r="B1956" t="s">
        <v>24</v>
      </c>
      <c r="C1956" t="s">
        <v>22</v>
      </c>
      <c r="D1956">
        <v>1</v>
      </c>
      <c r="E1956" t="s">
        <v>9</v>
      </c>
      <c r="F1956">
        <v>60000</v>
      </c>
      <c r="G1956">
        <v>31000</v>
      </c>
      <c r="H1956">
        <f>Table1[[#This Row],[Qty]]*Table1[[#This Row],[SellingPrice]]</f>
        <v>60000</v>
      </c>
      <c r="I1956">
        <f>Table1[[#This Row],[Qty]]*Table1[[#This Row],[CostPrice]]</f>
        <v>31000</v>
      </c>
      <c r="J1956">
        <v>28797</v>
      </c>
      <c r="K1956">
        <v>202.99999999999997</v>
      </c>
      <c r="L1956" t="s">
        <v>12</v>
      </c>
      <c r="M1956" t="s">
        <v>30</v>
      </c>
      <c r="N1956">
        <f>MONTH(Table1[[#This Row],[SaleDate]])</f>
        <v>8</v>
      </c>
      <c r="O1956" t="str">
        <f>TEXT(Table1[[#This Row],[SaleDate]],"MMM")</f>
        <v>Aug</v>
      </c>
    </row>
    <row r="1957" spans="1:15">
      <c r="A1957" s="1">
        <v>45151</v>
      </c>
      <c r="B1957" t="s">
        <v>24</v>
      </c>
      <c r="C1957" t="s">
        <v>22</v>
      </c>
      <c r="D1957">
        <v>1</v>
      </c>
      <c r="E1957" t="s">
        <v>10</v>
      </c>
      <c r="F1957">
        <v>89000</v>
      </c>
      <c r="G1957">
        <v>65000</v>
      </c>
      <c r="H1957">
        <f>Table1[[#This Row],[Qty]]*Table1[[#This Row],[SellingPrice]]</f>
        <v>89000</v>
      </c>
      <c r="I1957">
        <f>Table1[[#This Row],[Qty]]*Table1[[#This Row],[CostPrice]]</f>
        <v>65000</v>
      </c>
      <c r="J1957">
        <v>23832</v>
      </c>
      <c r="K1957">
        <v>167.99999999999997</v>
      </c>
      <c r="L1957" t="s">
        <v>12</v>
      </c>
      <c r="M1957" t="s">
        <v>30</v>
      </c>
      <c r="N1957">
        <f>MONTH(Table1[[#This Row],[SaleDate]])</f>
        <v>8</v>
      </c>
      <c r="O1957" t="str">
        <f>TEXT(Table1[[#This Row],[SaleDate]],"MMM")</f>
        <v>Aug</v>
      </c>
    </row>
    <row r="1958" spans="1:15">
      <c r="A1958" s="1">
        <v>45151</v>
      </c>
      <c r="B1958" t="s">
        <v>25</v>
      </c>
      <c r="C1958" t="s">
        <v>21</v>
      </c>
      <c r="D1958">
        <v>1</v>
      </c>
      <c r="E1958" t="s">
        <v>7</v>
      </c>
      <c r="F1958">
        <v>33000</v>
      </c>
      <c r="G1958">
        <v>18000</v>
      </c>
      <c r="H1958">
        <f>Table1[[#This Row],[Qty]]*Table1[[#This Row],[SellingPrice]]</f>
        <v>33000</v>
      </c>
      <c r="I1958">
        <f>Table1[[#This Row],[Qty]]*Table1[[#This Row],[CostPrice]]</f>
        <v>18000</v>
      </c>
      <c r="J1958">
        <v>14895</v>
      </c>
      <c r="K1958">
        <v>104.99999999999999</v>
      </c>
      <c r="L1958" t="s">
        <v>13</v>
      </c>
      <c r="M1958" t="s">
        <v>29</v>
      </c>
      <c r="N1958">
        <f>MONTH(Table1[[#This Row],[SaleDate]])</f>
        <v>8</v>
      </c>
      <c r="O1958" t="str">
        <f>TEXT(Table1[[#This Row],[SaleDate]],"MMM")</f>
        <v>Aug</v>
      </c>
    </row>
    <row r="1959" spans="1:15">
      <c r="A1959" s="1">
        <v>45151</v>
      </c>
      <c r="B1959" t="s">
        <v>25</v>
      </c>
      <c r="C1959" t="s">
        <v>21</v>
      </c>
      <c r="D1959">
        <v>1</v>
      </c>
      <c r="E1959" t="s">
        <v>9</v>
      </c>
      <c r="F1959">
        <v>60000</v>
      </c>
      <c r="G1959">
        <v>31000</v>
      </c>
      <c r="H1959">
        <f>Table1[[#This Row],[Qty]]*Table1[[#This Row],[SellingPrice]]</f>
        <v>60000</v>
      </c>
      <c r="I1959">
        <f>Table1[[#This Row],[Qty]]*Table1[[#This Row],[CostPrice]]</f>
        <v>31000</v>
      </c>
      <c r="J1959">
        <v>28797</v>
      </c>
      <c r="K1959">
        <v>202.99999999999997</v>
      </c>
      <c r="L1959" t="s">
        <v>13</v>
      </c>
      <c r="M1959" t="s">
        <v>29</v>
      </c>
      <c r="N1959">
        <f>MONTH(Table1[[#This Row],[SaleDate]])</f>
        <v>8</v>
      </c>
      <c r="O1959" t="str">
        <f>TEXT(Table1[[#This Row],[SaleDate]],"MMM")</f>
        <v>Aug</v>
      </c>
    </row>
    <row r="1960" spans="1:15">
      <c r="A1960" s="1">
        <v>45151</v>
      </c>
      <c r="B1960" t="s">
        <v>25</v>
      </c>
      <c r="C1960" t="s">
        <v>21</v>
      </c>
      <c r="D1960">
        <v>1</v>
      </c>
      <c r="E1960" t="s">
        <v>10</v>
      </c>
      <c r="F1960">
        <v>89000</v>
      </c>
      <c r="G1960">
        <v>65000</v>
      </c>
      <c r="H1960">
        <f>Table1[[#This Row],[Qty]]*Table1[[#This Row],[SellingPrice]]</f>
        <v>89000</v>
      </c>
      <c r="I1960">
        <f>Table1[[#This Row],[Qty]]*Table1[[#This Row],[CostPrice]]</f>
        <v>65000</v>
      </c>
      <c r="J1960">
        <v>23832</v>
      </c>
      <c r="K1960">
        <v>167.99999999999997</v>
      </c>
      <c r="L1960" t="s">
        <v>13</v>
      </c>
      <c r="M1960" t="s">
        <v>29</v>
      </c>
      <c r="N1960">
        <f>MONTH(Table1[[#This Row],[SaleDate]])</f>
        <v>8</v>
      </c>
      <c r="O1960" t="str">
        <f>TEXT(Table1[[#This Row],[SaleDate]],"MMM")</f>
        <v>Aug</v>
      </c>
    </row>
    <row r="1961" spans="1:15">
      <c r="A1961" s="1">
        <v>45152</v>
      </c>
      <c r="B1961" t="s">
        <v>23</v>
      </c>
      <c r="C1961" t="s">
        <v>19</v>
      </c>
      <c r="D1961">
        <v>1</v>
      </c>
      <c r="E1961" t="s">
        <v>7</v>
      </c>
      <c r="F1961">
        <v>33000</v>
      </c>
      <c r="G1961">
        <v>18000</v>
      </c>
      <c r="H1961">
        <f>Table1[[#This Row],[Qty]]*Table1[[#This Row],[SellingPrice]]</f>
        <v>33000</v>
      </c>
      <c r="I1961">
        <f>Table1[[#This Row],[Qty]]*Table1[[#This Row],[CostPrice]]</f>
        <v>18000</v>
      </c>
      <c r="J1961">
        <v>14895</v>
      </c>
      <c r="K1961">
        <v>104.99999999999999</v>
      </c>
      <c r="L1961" t="s">
        <v>8</v>
      </c>
      <c r="M1961" t="s">
        <v>30</v>
      </c>
      <c r="N1961">
        <f>MONTH(Table1[[#This Row],[SaleDate]])</f>
        <v>8</v>
      </c>
      <c r="O1961" t="str">
        <f>TEXT(Table1[[#This Row],[SaleDate]],"MMM")</f>
        <v>Aug</v>
      </c>
    </row>
    <row r="1962" spans="1:15">
      <c r="A1962" s="1">
        <v>45152</v>
      </c>
      <c r="B1962" t="s">
        <v>23</v>
      </c>
      <c r="C1962" t="s">
        <v>19</v>
      </c>
      <c r="D1962">
        <v>1</v>
      </c>
      <c r="E1962" t="s">
        <v>9</v>
      </c>
      <c r="F1962">
        <v>60000</v>
      </c>
      <c r="G1962">
        <v>31000</v>
      </c>
      <c r="H1962">
        <f>Table1[[#This Row],[Qty]]*Table1[[#This Row],[SellingPrice]]</f>
        <v>60000</v>
      </c>
      <c r="I1962">
        <f>Table1[[#This Row],[Qty]]*Table1[[#This Row],[CostPrice]]</f>
        <v>31000</v>
      </c>
      <c r="J1962">
        <v>28797</v>
      </c>
      <c r="K1962">
        <v>202.99999999999997</v>
      </c>
      <c r="L1962" t="s">
        <v>8</v>
      </c>
      <c r="M1962" t="s">
        <v>28</v>
      </c>
      <c r="N1962">
        <f>MONTH(Table1[[#This Row],[SaleDate]])</f>
        <v>8</v>
      </c>
      <c r="O1962" t="str">
        <f>TEXT(Table1[[#This Row],[SaleDate]],"MMM")</f>
        <v>Aug</v>
      </c>
    </row>
    <row r="1963" spans="1:15">
      <c r="A1963" s="1">
        <v>45152</v>
      </c>
      <c r="B1963" t="s">
        <v>23</v>
      </c>
      <c r="C1963" t="s">
        <v>19</v>
      </c>
      <c r="D1963">
        <v>1</v>
      </c>
      <c r="E1963" t="s">
        <v>10</v>
      </c>
      <c r="F1963">
        <v>89000</v>
      </c>
      <c r="G1963">
        <v>65000</v>
      </c>
      <c r="H1963">
        <f>Table1[[#This Row],[Qty]]*Table1[[#This Row],[SellingPrice]]</f>
        <v>89000</v>
      </c>
      <c r="I1963">
        <f>Table1[[#This Row],[Qty]]*Table1[[#This Row],[CostPrice]]</f>
        <v>65000</v>
      </c>
      <c r="J1963">
        <v>23832</v>
      </c>
      <c r="K1963">
        <v>167.99999999999997</v>
      </c>
      <c r="L1963" t="s">
        <v>8</v>
      </c>
      <c r="M1963" t="s">
        <v>27</v>
      </c>
      <c r="N1963">
        <f>MONTH(Table1[[#This Row],[SaleDate]])</f>
        <v>8</v>
      </c>
      <c r="O1963" t="str">
        <f>TEXT(Table1[[#This Row],[SaleDate]],"MMM")</f>
        <v>Aug</v>
      </c>
    </row>
    <row r="1964" spans="1:15">
      <c r="A1964" s="1">
        <v>45152</v>
      </c>
      <c r="B1964" t="s">
        <v>26</v>
      </c>
      <c r="C1964" t="s">
        <v>20</v>
      </c>
      <c r="D1964">
        <v>1</v>
      </c>
      <c r="E1964" t="s">
        <v>9</v>
      </c>
      <c r="F1964">
        <v>60000</v>
      </c>
      <c r="G1964">
        <v>31000</v>
      </c>
      <c r="H1964">
        <f>Table1[[#This Row],[Qty]]*Table1[[#This Row],[SellingPrice]]</f>
        <v>60000</v>
      </c>
      <c r="I1964">
        <f>Table1[[#This Row],[Qty]]*Table1[[#This Row],[CostPrice]]</f>
        <v>31000</v>
      </c>
      <c r="J1964">
        <v>28797</v>
      </c>
      <c r="K1964">
        <v>202.99999999999997</v>
      </c>
      <c r="L1964" t="s">
        <v>11</v>
      </c>
      <c r="M1964" t="s">
        <v>28</v>
      </c>
      <c r="N1964">
        <f>MONTH(Table1[[#This Row],[SaleDate]])</f>
        <v>8</v>
      </c>
      <c r="O1964" t="str">
        <f>TEXT(Table1[[#This Row],[SaleDate]],"MMM")</f>
        <v>Aug</v>
      </c>
    </row>
    <row r="1965" spans="1:15">
      <c r="A1965" s="1">
        <v>45152</v>
      </c>
      <c r="B1965" t="s">
        <v>24</v>
      </c>
      <c r="C1965" t="s">
        <v>22</v>
      </c>
      <c r="D1965">
        <v>1</v>
      </c>
      <c r="E1965" t="s">
        <v>7</v>
      </c>
      <c r="F1965">
        <v>33000</v>
      </c>
      <c r="G1965">
        <v>18000</v>
      </c>
      <c r="H1965">
        <f>Table1[[#This Row],[Qty]]*Table1[[#This Row],[SellingPrice]]</f>
        <v>33000</v>
      </c>
      <c r="I1965">
        <f>Table1[[#This Row],[Qty]]*Table1[[#This Row],[CostPrice]]</f>
        <v>18000</v>
      </c>
      <c r="J1965">
        <v>14895</v>
      </c>
      <c r="K1965">
        <v>104.99999999999999</v>
      </c>
      <c r="L1965" t="s">
        <v>12</v>
      </c>
      <c r="M1965" t="s">
        <v>30</v>
      </c>
      <c r="N1965">
        <f>MONTH(Table1[[#This Row],[SaleDate]])</f>
        <v>8</v>
      </c>
      <c r="O1965" t="str">
        <f>TEXT(Table1[[#This Row],[SaleDate]],"MMM")</f>
        <v>Aug</v>
      </c>
    </row>
    <row r="1966" spans="1:15">
      <c r="A1966" s="1">
        <v>45152</v>
      </c>
      <c r="B1966" t="s">
        <v>24</v>
      </c>
      <c r="C1966" t="s">
        <v>22</v>
      </c>
      <c r="D1966">
        <v>1</v>
      </c>
      <c r="E1966" t="s">
        <v>9</v>
      </c>
      <c r="F1966">
        <v>60000</v>
      </c>
      <c r="G1966">
        <v>31000</v>
      </c>
      <c r="H1966">
        <f>Table1[[#This Row],[Qty]]*Table1[[#This Row],[SellingPrice]]</f>
        <v>60000</v>
      </c>
      <c r="I1966">
        <f>Table1[[#This Row],[Qty]]*Table1[[#This Row],[CostPrice]]</f>
        <v>31000</v>
      </c>
      <c r="J1966">
        <v>28797</v>
      </c>
      <c r="K1966">
        <v>202.99999999999997</v>
      </c>
      <c r="L1966" t="s">
        <v>12</v>
      </c>
      <c r="M1966" t="s">
        <v>30</v>
      </c>
      <c r="N1966">
        <f>MONTH(Table1[[#This Row],[SaleDate]])</f>
        <v>8</v>
      </c>
      <c r="O1966" t="str">
        <f>TEXT(Table1[[#This Row],[SaleDate]],"MMM")</f>
        <v>Aug</v>
      </c>
    </row>
    <row r="1967" spans="1:15">
      <c r="A1967" s="1">
        <v>45152</v>
      </c>
      <c r="B1967" t="s">
        <v>24</v>
      </c>
      <c r="C1967" t="s">
        <v>22</v>
      </c>
      <c r="D1967">
        <v>1</v>
      </c>
      <c r="E1967" t="s">
        <v>10</v>
      </c>
      <c r="F1967">
        <v>89000</v>
      </c>
      <c r="G1967">
        <v>65000</v>
      </c>
      <c r="H1967">
        <f>Table1[[#This Row],[Qty]]*Table1[[#This Row],[SellingPrice]]</f>
        <v>89000</v>
      </c>
      <c r="I1967">
        <f>Table1[[#This Row],[Qty]]*Table1[[#This Row],[CostPrice]]</f>
        <v>65000</v>
      </c>
      <c r="J1967">
        <v>23832</v>
      </c>
      <c r="K1967">
        <v>167.99999999999997</v>
      </c>
      <c r="L1967" t="s">
        <v>12</v>
      </c>
      <c r="M1967" t="s">
        <v>29</v>
      </c>
      <c r="N1967">
        <f>MONTH(Table1[[#This Row],[SaleDate]])</f>
        <v>8</v>
      </c>
      <c r="O1967" t="str">
        <f>TEXT(Table1[[#This Row],[SaleDate]],"MMM")</f>
        <v>Aug</v>
      </c>
    </row>
    <row r="1968" spans="1:15">
      <c r="A1968" s="1">
        <v>45152</v>
      </c>
      <c r="B1968" t="s">
        <v>25</v>
      </c>
      <c r="C1968" t="s">
        <v>21</v>
      </c>
      <c r="D1968">
        <v>1</v>
      </c>
      <c r="E1968" t="s">
        <v>7</v>
      </c>
      <c r="F1968">
        <v>33000</v>
      </c>
      <c r="G1968">
        <v>18000</v>
      </c>
      <c r="H1968">
        <f>Table1[[#This Row],[Qty]]*Table1[[#This Row],[SellingPrice]]</f>
        <v>33000</v>
      </c>
      <c r="I1968">
        <f>Table1[[#This Row],[Qty]]*Table1[[#This Row],[CostPrice]]</f>
        <v>18000</v>
      </c>
      <c r="J1968">
        <v>14895</v>
      </c>
      <c r="K1968">
        <v>104.99999999999999</v>
      </c>
      <c r="L1968" t="s">
        <v>13</v>
      </c>
      <c r="M1968" t="s">
        <v>29</v>
      </c>
      <c r="N1968">
        <f>MONTH(Table1[[#This Row],[SaleDate]])</f>
        <v>8</v>
      </c>
      <c r="O1968" t="str">
        <f>TEXT(Table1[[#This Row],[SaleDate]],"MMM")</f>
        <v>Aug</v>
      </c>
    </row>
    <row r="1969" spans="1:15">
      <c r="A1969" s="1">
        <v>45152</v>
      </c>
      <c r="B1969" t="s">
        <v>25</v>
      </c>
      <c r="C1969" t="s">
        <v>21</v>
      </c>
      <c r="D1969">
        <v>1</v>
      </c>
      <c r="E1969" t="s">
        <v>9</v>
      </c>
      <c r="F1969">
        <v>60000</v>
      </c>
      <c r="G1969">
        <v>31000</v>
      </c>
      <c r="H1969">
        <f>Table1[[#This Row],[Qty]]*Table1[[#This Row],[SellingPrice]]</f>
        <v>60000</v>
      </c>
      <c r="I1969">
        <f>Table1[[#This Row],[Qty]]*Table1[[#This Row],[CostPrice]]</f>
        <v>31000</v>
      </c>
      <c r="J1969">
        <v>28797</v>
      </c>
      <c r="K1969">
        <v>202.99999999999997</v>
      </c>
      <c r="L1969" t="s">
        <v>13</v>
      </c>
      <c r="M1969" t="s">
        <v>29</v>
      </c>
      <c r="N1969">
        <f>MONTH(Table1[[#This Row],[SaleDate]])</f>
        <v>8</v>
      </c>
      <c r="O1969" t="str">
        <f>TEXT(Table1[[#This Row],[SaleDate]],"MMM")</f>
        <v>Aug</v>
      </c>
    </row>
    <row r="1970" spans="1:15">
      <c r="A1970" s="1">
        <v>45152</v>
      </c>
      <c r="B1970" t="s">
        <v>25</v>
      </c>
      <c r="C1970" t="s">
        <v>21</v>
      </c>
      <c r="D1970">
        <v>1</v>
      </c>
      <c r="E1970" t="s">
        <v>10</v>
      </c>
      <c r="F1970">
        <v>89000</v>
      </c>
      <c r="G1970">
        <v>65000</v>
      </c>
      <c r="H1970">
        <f>Table1[[#This Row],[Qty]]*Table1[[#This Row],[SellingPrice]]</f>
        <v>89000</v>
      </c>
      <c r="I1970">
        <f>Table1[[#This Row],[Qty]]*Table1[[#This Row],[CostPrice]]</f>
        <v>65000</v>
      </c>
      <c r="J1970">
        <v>23832</v>
      </c>
      <c r="K1970">
        <v>167.99999999999997</v>
      </c>
      <c r="L1970" t="s">
        <v>13</v>
      </c>
      <c r="M1970" t="s">
        <v>29</v>
      </c>
      <c r="N1970">
        <f>MONTH(Table1[[#This Row],[SaleDate]])</f>
        <v>8</v>
      </c>
      <c r="O1970" t="str">
        <f>TEXT(Table1[[#This Row],[SaleDate]],"MMM")</f>
        <v>Aug</v>
      </c>
    </row>
    <row r="1971" spans="1:15">
      <c r="A1971" s="1">
        <v>45153</v>
      </c>
      <c r="B1971" t="s">
        <v>23</v>
      </c>
      <c r="C1971" t="s">
        <v>19</v>
      </c>
      <c r="D1971">
        <v>2</v>
      </c>
      <c r="E1971" t="s">
        <v>7</v>
      </c>
      <c r="F1971">
        <v>33000</v>
      </c>
      <c r="G1971">
        <v>18000</v>
      </c>
      <c r="H1971">
        <f>Table1[[#This Row],[Qty]]*Table1[[#This Row],[SellingPrice]]</f>
        <v>66000</v>
      </c>
      <c r="I1971">
        <f>Table1[[#This Row],[Qty]]*Table1[[#This Row],[CostPrice]]</f>
        <v>36000</v>
      </c>
      <c r="J1971">
        <v>29790</v>
      </c>
      <c r="K1971">
        <v>209.99999999999997</v>
      </c>
      <c r="L1971" t="s">
        <v>8</v>
      </c>
      <c r="M1971" t="s">
        <v>30</v>
      </c>
      <c r="N1971">
        <f>MONTH(Table1[[#This Row],[SaleDate]])</f>
        <v>8</v>
      </c>
      <c r="O1971" t="str">
        <f>TEXT(Table1[[#This Row],[SaleDate]],"MMM")</f>
        <v>Aug</v>
      </c>
    </row>
    <row r="1972" spans="1:15">
      <c r="A1972" s="1">
        <v>45153</v>
      </c>
      <c r="B1972" t="s">
        <v>23</v>
      </c>
      <c r="C1972" t="s">
        <v>19</v>
      </c>
      <c r="D1972">
        <v>2</v>
      </c>
      <c r="E1972" t="s">
        <v>9</v>
      </c>
      <c r="F1972">
        <v>60000</v>
      </c>
      <c r="G1972">
        <v>31000</v>
      </c>
      <c r="H1972">
        <f>Table1[[#This Row],[Qty]]*Table1[[#This Row],[SellingPrice]]</f>
        <v>120000</v>
      </c>
      <c r="I1972">
        <f>Table1[[#This Row],[Qty]]*Table1[[#This Row],[CostPrice]]</f>
        <v>62000</v>
      </c>
      <c r="J1972">
        <v>57594</v>
      </c>
      <c r="K1972">
        <v>405.99999999999994</v>
      </c>
      <c r="L1972" t="s">
        <v>8</v>
      </c>
      <c r="M1972" t="s">
        <v>30</v>
      </c>
      <c r="N1972">
        <f>MONTH(Table1[[#This Row],[SaleDate]])</f>
        <v>8</v>
      </c>
      <c r="O1972" t="str">
        <f>TEXT(Table1[[#This Row],[SaleDate]],"MMM")</f>
        <v>Aug</v>
      </c>
    </row>
    <row r="1973" spans="1:15">
      <c r="A1973" s="1">
        <v>45153</v>
      </c>
      <c r="B1973" t="s">
        <v>23</v>
      </c>
      <c r="C1973" t="s">
        <v>19</v>
      </c>
      <c r="D1973">
        <v>2</v>
      </c>
      <c r="E1973" t="s">
        <v>10</v>
      </c>
      <c r="F1973">
        <v>89000</v>
      </c>
      <c r="G1973">
        <v>65000</v>
      </c>
      <c r="H1973">
        <f>Table1[[#This Row],[Qty]]*Table1[[#This Row],[SellingPrice]]</f>
        <v>178000</v>
      </c>
      <c r="I1973">
        <f>Table1[[#This Row],[Qty]]*Table1[[#This Row],[CostPrice]]</f>
        <v>130000</v>
      </c>
      <c r="J1973">
        <v>47664</v>
      </c>
      <c r="K1973">
        <v>335.99999999999994</v>
      </c>
      <c r="L1973" t="s">
        <v>8</v>
      </c>
      <c r="M1973" t="s">
        <v>29</v>
      </c>
      <c r="N1973">
        <f>MONTH(Table1[[#This Row],[SaleDate]])</f>
        <v>8</v>
      </c>
      <c r="O1973" t="str">
        <f>TEXT(Table1[[#This Row],[SaleDate]],"MMM")</f>
        <v>Aug</v>
      </c>
    </row>
    <row r="1974" spans="1:15">
      <c r="A1974" s="1">
        <v>45153</v>
      </c>
      <c r="B1974" t="s">
        <v>26</v>
      </c>
      <c r="C1974" t="s">
        <v>20</v>
      </c>
      <c r="D1974">
        <v>2</v>
      </c>
      <c r="E1974" t="s">
        <v>9</v>
      </c>
      <c r="F1974">
        <v>60000</v>
      </c>
      <c r="G1974">
        <v>31000</v>
      </c>
      <c r="H1974">
        <f>Table1[[#This Row],[Qty]]*Table1[[#This Row],[SellingPrice]]</f>
        <v>120000</v>
      </c>
      <c r="I1974">
        <f>Table1[[#This Row],[Qty]]*Table1[[#This Row],[CostPrice]]</f>
        <v>62000</v>
      </c>
      <c r="J1974">
        <v>57594</v>
      </c>
      <c r="K1974">
        <v>405.99999999999994</v>
      </c>
      <c r="L1974" t="s">
        <v>11</v>
      </c>
      <c r="M1974" t="s">
        <v>30</v>
      </c>
      <c r="N1974">
        <f>MONTH(Table1[[#This Row],[SaleDate]])</f>
        <v>8</v>
      </c>
      <c r="O1974" t="str">
        <f>TEXT(Table1[[#This Row],[SaleDate]],"MMM")</f>
        <v>Aug</v>
      </c>
    </row>
    <row r="1975" spans="1:15">
      <c r="A1975" s="1">
        <v>45153</v>
      </c>
      <c r="B1975" t="s">
        <v>24</v>
      </c>
      <c r="C1975" t="s">
        <v>22</v>
      </c>
      <c r="D1975">
        <v>2</v>
      </c>
      <c r="E1975" t="s">
        <v>7</v>
      </c>
      <c r="F1975">
        <v>33000</v>
      </c>
      <c r="G1975">
        <v>18000</v>
      </c>
      <c r="H1975">
        <f>Table1[[#This Row],[Qty]]*Table1[[#This Row],[SellingPrice]]</f>
        <v>66000</v>
      </c>
      <c r="I1975">
        <f>Table1[[#This Row],[Qty]]*Table1[[#This Row],[CostPrice]]</f>
        <v>36000</v>
      </c>
      <c r="J1975">
        <v>29790</v>
      </c>
      <c r="K1975">
        <v>209.99999999999997</v>
      </c>
      <c r="L1975" t="s">
        <v>12</v>
      </c>
      <c r="M1975" t="s">
        <v>29</v>
      </c>
      <c r="N1975">
        <f>MONTH(Table1[[#This Row],[SaleDate]])</f>
        <v>8</v>
      </c>
      <c r="O1975" t="str">
        <f>TEXT(Table1[[#This Row],[SaleDate]],"MMM")</f>
        <v>Aug</v>
      </c>
    </row>
    <row r="1976" spans="1:15">
      <c r="A1976" s="1">
        <v>45153</v>
      </c>
      <c r="B1976" t="s">
        <v>24</v>
      </c>
      <c r="C1976" t="s">
        <v>22</v>
      </c>
      <c r="D1976">
        <v>2</v>
      </c>
      <c r="E1976" t="s">
        <v>9</v>
      </c>
      <c r="F1976">
        <v>60000</v>
      </c>
      <c r="G1976">
        <v>31000</v>
      </c>
      <c r="H1976">
        <f>Table1[[#This Row],[Qty]]*Table1[[#This Row],[SellingPrice]]</f>
        <v>120000</v>
      </c>
      <c r="I1976">
        <f>Table1[[#This Row],[Qty]]*Table1[[#This Row],[CostPrice]]</f>
        <v>62000</v>
      </c>
      <c r="J1976">
        <v>57594</v>
      </c>
      <c r="K1976">
        <v>405.99999999999994</v>
      </c>
      <c r="L1976" t="s">
        <v>12</v>
      </c>
      <c r="M1976" t="s">
        <v>30</v>
      </c>
      <c r="N1976">
        <f>MONTH(Table1[[#This Row],[SaleDate]])</f>
        <v>8</v>
      </c>
      <c r="O1976" t="str">
        <f>TEXT(Table1[[#This Row],[SaleDate]],"MMM")</f>
        <v>Aug</v>
      </c>
    </row>
    <row r="1977" spans="1:15">
      <c r="A1977" s="1">
        <v>45153</v>
      </c>
      <c r="B1977" t="s">
        <v>24</v>
      </c>
      <c r="C1977" t="s">
        <v>22</v>
      </c>
      <c r="D1977">
        <v>2</v>
      </c>
      <c r="E1977" t="s">
        <v>10</v>
      </c>
      <c r="F1977">
        <v>89000</v>
      </c>
      <c r="G1977">
        <v>65000</v>
      </c>
      <c r="H1977">
        <f>Table1[[#This Row],[Qty]]*Table1[[#This Row],[SellingPrice]]</f>
        <v>178000</v>
      </c>
      <c r="I1977">
        <f>Table1[[#This Row],[Qty]]*Table1[[#This Row],[CostPrice]]</f>
        <v>130000</v>
      </c>
      <c r="J1977">
        <v>47664</v>
      </c>
      <c r="K1977">
        <v>335.99999999999994</v>
      </c>
      <c r="L1977" t="s">
        <v>12</v>
      </c>
      <c r="M1977" t="s">
        <v>27</v>
      </c>
      <c r="N1977">
        <f>MONTH(Table1[[#This Row],[SaleDate]])</f>
        <v>8</v>
      </c>
      <c r="O1977" t="str">
        <f>TEXT(Table1[[#This Row],[SaleDate]],"MMM")</f>
        <v>Aug</v>
      </c>
    </row>
    <row r="1978" spans="1:15">
      <c r="A1978" s="1">
        <v>45153</v>
      </c>
      <c r="B1978" t="s">
        <v>25</v>
      </c>
      <c r="C1978" t="s">
        <v>21</v>
      </c>
      <c r="D1978">
        <v>2</v>
      </c>
      <c r="E1978" t="s">
        <v>7</v>
      </c>
      <c r="F1978">
        <v>33000</v>
      </c>
      <c r="G1978">
        <v>18000</v>
      </c>
      <c r="H1978">
        <f>Table1[[#This Row],[Qty]]*Table1[[#This Row],[SellingPrice]]</f>
        <v>66000</v>
      </c>
      <c r="I1978">
        <f>Table1[[#This Row],[Qty]]*Table1[[#This Row],[CostPrice]]</f>
        <v>36000</v>
      </c>
      <c r="J1978">
        <v>29790</v>
      </c>
      <c r="K1978">
        <v>209.99999999999997</v>
      </c>
      <c r="L1978" t="s">
        <v>13</v>
      </c>
      <c r="M1978" t="s">
        <v>28</v>
      </c>
      <c r="N1978">
        <f>MONTH(Table1[[#This Row],[SaleDate]])</f>
        <v>8</v>
      </c>
      <c r="O1978" t="str">
        <f>TEXT(Table1[[#This Row],[SaleDate]],"MMM")</f>
        <v>Aug</v>
      </c>
    </row>
    <row r="1979" spans="1:15">
      <c r="A1979" s="1">
        <v>45153</v>
      </c>
      <c r="B1979" t="s">
        <v>25</v>
      </c>
      <c r="C1979" t="s">
        <v>21</v>
      </c>
      <c r="D1979">
        <v>2</v>
      </c>
      <c r="E1979" t="s">
        <v>9</v>
      </c>
      <c r="F1979">
        <v>60000</v>
      </c>
      <c r="G1979">
        <v>31000</v>
      </c>
      <c r="H1979">
        <f>Table1[[#This Row],[Qty]]*Table1[[#This Row],[SellingPrice]]</f>
        <v>120000</v>
      </c>
      <c r="I1979">
        <f>Table1[[#This Row],[Qty]]*Table1[[#This Row],[CostPrice]]</f>
        <v>62000</v>
      </c>
      <c r="J1979">
        <v>57594</v>
      </c>
      <c r="K1979">
        <v>405.99999999999994</v>
      </c>
      <c r="L1979" t="s">
        <v>13</v>
      </c>
      <c r="M1979" t="s">
        <v>30</v>
      </c>
      <c r="N1979">
        <f>MONTH(Table1[[#This Row],[SaleDate]])</f>
        <v>8</v>
      </c>
      <c r="O1979" t="str">
        <f>TEXT(Table1[[#This Row],[SaleDate]],"MMM")</f>
        <v>Aug</v>
      </c>
    </row>
    <row r="1980" spans="1:15">
      <c r="A1980" s="1">
        <v>45153</v>
      </c>
      <c r="B1980" t="s">
        <v>25</v>
      </c>
      <c r="C1980" t="s">
        <v>21</v>
      </c>
      <c r="D1980">
        <v>2</v>
      </c>
      <c r="E1980" t="s">
        <v>10</v>
      </c>
      <c r="F1980">
        <v>89000</v>
      </c>
      <c r="G1980">
        <v>65000</v>
      </c>
      <c r="H1980">
        <f>Table1[[#This Row],[Qty]]*Table1[[#This Row],[SellingPrice]]</f>
        <v>178000</v>
      </c>
      <c r="I1980">
        <f>Table1[[#This Row],[Qty]]*Table1[[#This Row],[CostPrice]]</f>
        <v>130000</v>
      </c>
      <c r="J1980">
        <v>47664</v>
      </c>
      <c r="K1980">
        <v>335.99999999999994</v>
      </c>
      <c r="L1980" t="s">
        <v>13</v>
      </c>
      <c r="M1980" t="s">
        <v>29</v>
      </c>
      <c r="N1980">
        <f>MONTH(Table1[[#This Row],[SaleDate]])</f>
        <v>8</v>
      </c>
      <c r="O1980" t="str">
        <f>TEXT(Table1[[#This Row],[SaleDate]],"MMM")</f>
        <v>Aug</v>
      </c>
    </row>
    <row r="1981" spans="1:15">
      <c r="A1981" s="1">
        <v>45154</v>
      </c>
      <c r="B1981" t="s">
        <v>23</v>
      </c>
      <c r="C1981" t="s">
        <v>19</v>
      </c>
      <c r="D1981">
        <v>2</v>
      </c>
      <c r="E1981" t="s">
        <v>7</v>
      </c>
      <c r="F1981">
        <v>33000</v>
      </c>
      <c r="G1981">
        <v>18000</v>
      </c>
      <c r="H1981">
        <f>Table1[[#This Row],[Qty]]*Table1[[#This Row],[SellingPrice]]</f>
        <v>66000</v>
      </c>
      <c r="I1981">
        <f>Table1[[#This Row],[Qty]]*Table1[[#This Row],[CostPrice]]</f>
        <v>36000</v>
      </c>
      <c r="J1981">
        <v>29790</v>
      </c>
      <c r="K1981">
        <v>209.99999999999997</v>
      </c>
      <c r="L1981" t="s">
        <v>8</v>
      </c>
      <c r="M1981" t="s">
        <v>30</v>
      </c>
      <c r="N1981">
        <f>MONTH(Table1[[#This Row],[SaleDate]])</f>
        <v>8</v>
      </c>
      <c r="O1981" t="str">
        <f>TEXT(Table1[[#This Row],[SaleDate]],"MMM")</f>
        <v>Aug</v>
      </c>
    </row>
    <row r="1982" spans="1:15">
      <c r="A1982" s="1">
        <v>45154</v>
      </c>
      <c r="B1982" t="s">
        <v>23</v>
      </c>
      <c r="C1982" t="s">
        <v>19</v>
      </c>
      <c r="D1982">
        <v>2</v>
      </c>
      <c r="E1982" t="s">
        <v>9</v>
      </c>
      <c r="F1982">
        <v>60000</v>
      </c>
      <c r="G1982">
        <v>31000</v>
      </c>
      <c r="H1982">
        <f>Table1[[#This Row],[Qty]]*Table1[[#This Row],[SellingPrice]]</f>
        <v>120000</v>
      </c>
      <c r="I1982">
        <f>Table1[[#This Row],[Qty]]*Table1[[#This Row],[CostPrice]]</f>
        <v>62000</v>
      </c>
      <c r="J1982">
        <v>57594</v>
      </c>
      <c r="K1982">
        <v>405.99999999999994</v>
      </c>
      <c r="L1982" t="s">
        <v>8</v>
      </c>
      <c r="M1982" t="s">
        <v>28</v>
      </c>
      <c r="N1982">
        <f>MONTH(Table1[[#This Row],[SaleDate]])</f>
        <v>8</v>
      </c>
      <c r="O1982" t="str">
        <f>TEXT(Table1[[#This Row],[SaleDate]],"MMM")</f>
        <v>Aug</v>
      </c>
    </row>
    <row r="1983" spans="1:15">
      <c r="A1983" s="1">
        <v>45154</v>
      </c>
      <c r="B1983" t="s">
        <v>23</v>
      </c>
      <c r="C1983" t="s">
        <v>19</v>
      </c>
      <c r="D1983">
        <v>2</v>
      </c>
      <c r="E1983" t="s">
        <v>10</v>
      </c>
      <c r="F1983">
        <v>89000</v>
      </c>
      <c r="G1983">
        <v>65000</v>
      </c>
      <c r="H1983">
        <f>Table1[[#This Row],[Qty]]*Table1[[#This Row],[SellingPrice]]</f>
        <v>178000</v>
      </c>
      <c r="I1983">
        <f>Table1[[#This Row],[Qty]]*Table1[[#This Row],[CostPrice]]</f>
        <v>130000</v>
      </c>
      <c r="J1983">
        <v>47664</v>
      </c>
      <c r="K1983">
        <v>335.99999999999994</v>
      </c>
      <c r="L1983" t="s">
        <v>8</v>
      </c>
      <c r="M1983" t="s">
        <v>28</v>
      </c>
      <c r="N1983">
        <f>MONTH(Table1[[#This Row],[SaleDate]])</f>
        <v>8</v>
      </c>
      <c r="O1983" t="str">
        <f>TEXT(Table1[[#This Row],[SaleDate]],"MMM")</f>
        <v>Aug</v>
      </c>
    </row>
    <row r="1984" spans="1:15">
      <c r="A1984" s="1">
        <v>45154</v>
      </c>
      <c r="B1984" t="s">
        <v>26</v>
      </c>
      <c r="C1984" t="s">
        <v>20</v>
      </c>
      <c r="D1984">
        <v>2</v>
      </c>
      <c r="E1984" t="s">
        <v>9</v>
      </c>
      <c r="F1984">
        <v>60000</v>
      </c>
      <c r="G1984">
        <v>31000</v>
      </c>
      <c r="H1984">
        <f>Table1[[#This Row],[Qty]]*Table1[[#This Row],[SellingPrice]]</f>
        <v>120000</v>
      </c>
      <c r="I1984">
        <f>Table1[[#This Row],[Qty]]*Table1[[#This Row],[CostPrice]]</f>
        <v>62000</v>
      </c>
      <c r="J1984">
        <v>57594</v>
      </c>
      <c r="K1984">
        <v>405.99999999999994</v>
      </c>
      <c r="L1984" t="s">
        <v>11</v>
      </c>
      <c r="M1984" t="s">
        <v>27</v>
      </c>
      <c r="N1984">
        <f>MONTH(Table1[[#This Row],[SaleDate]])</f>
        <v>8</v>
      </c>
      <c r="O1984" t="str">
        <f>TEXT(Table1[[#This Row],[SaleDate]],"MMM")</f>
        <v>Aug</v>
      </c>
    </row>
    <row r="1985" spans="1:15">
      <c r="A1985" s="1">
        <v>45154</v>
      </c>
      <c r="B1985" t="s">
        <v>24</v>
      </c>
      <c r="C1985" t="s">
        <v>22</v>
      </c>
      <c r="D1985">
        <v>2</v>
      </c>
      <c r="E1985" t="s">
        <v>7</v>
      </c>
      <c r="F1985">
        <v>33000</v>
      </c>
      <c r="G1985">
        <v>18000</v>
      </c>
      <c r="H1985">
        <f>Table1[[#This Row],[Qty]]*Table1[[#This Row],[SellingPrice]]</f>
        <v>66000</v>
      </c>
      <c r="I1985">
        <f>Table1[[#This Row],[Qty]]*Table1[[#This Row],[CostPrice]]</f>
        <v>36000</v>
      </c>
      <c r="J1985">
        <v>29790</v>
      </c>
      <c r="K1985">
        <v>209.99999999999997</v>
      </c>
      <c r="L1985" t="s">
        <v>12</v>
      </c>
      <c r="M1985" t="s">
        <v>29</v>
      </c>
      <c r="N1985">
        <f>MONTH(Table1[[#This Row],[SaleDate]])</f>
        <v>8</v>
      </c>
      <c r="O1985" t="str">
        <f>TEXT(Table1[[#This Row],[SaleDate]],"MMM")</f>
        <v>Aug</v>
      </c>
    </row>
    <row r="1986" spans="1:15">
      <c r="A1986" s="1">
        <v>45154</v>
      </c>
      <c r="B1986" t="s">
        <v>24</v>
      </c>
      <c r="C1986" t="s">
        <v>22</v>
      </c>
      <c r="D1986">
        <v>2</v>
      </c>
      <c r="E1986" t="s">
        <v>9</v>
      </c>
      <c r="F1986">
        <v>60000</v>
      </c>
      <c r="G1986">
        <v>31000</v>
      </c>
      <c r="H1986">
        <f>Table1[[#This Row],[Qty]]*Table1[[#This Row],[SellingPrice]]</f>
        <v>120000</v>
      </c>
      <c r="I1986">
        <f>Table1[[#This Row],[Qty]]*Table1[[#This Row],[CostPrice]]</f>
        <v>62000</v>
      </c>
      <c r="J1986">
        <v>57594</v>
      </c>
      <c r="K1986">
        <v>405.99999999999994</v>
      </c>
      <c r="L1986" t="s">
        <v>12</v>
      </c>
      <c r="M1986" t="s">
        <v>27</v>
      </c>
      <c r="N1986">
        <f>MONTH(Table1[[#This Row],[SaleDate]])</f>
        <v>8</v>
      </c>
      <c r="O1986" t="str">
        <f>TEXT(Table1[[#This Row],[SaleDate]],"MMM")</f>
        <v>Aug</v>
      </c>
    </row>
    <row r="1987" spans="1:15">
      <c r="A1987" s="1">
        <v>45154</v>
      </c>
      <c r="B1987" t="s">
        <v>24</v>
      </c>
      <c r="C1987" t="s">
        <v>22</v>
      </c>
      <c r="D1987">
        <v>2</v>
      </c>
      <c r="E1987" t="s">
        <v>10</v>
      </c>
      <c r="F1987">
        <v>89000</v>
      </c>
      <c r="G1987">
        <v>65000</v>
      </c>
      <c r="H1987">
        <f>Table1[[#This Row],[Qty]]*Table1[[#This Row],[SellingPrice]]</f>
        <v>178000</v>
      </c>
      <c r="I1987">
        <f>Table1[[#This Row],[Qty]]*Table1[[#This Row],[CostPrice]]</f>
        <v>130000</v>
      </c>
      <c r="J1987">
        <v>47664</v>
      </c>
      <c r="K1987">
        <v>335.99999999999994</v>
      </c>
      <c r="L1987" t="s">
        <v>12</v>
      </c>
      <c r="M1987" t="s">
        <v>28</v>
      </c>
      <c r="N1987">
        <f>MONTH(Table1[[#This Row],[SaleDate]])</f>
        <v>8</v>
      </c>
      <c r="O1987" t="str">
        <f>TEXT(Table1[[#This Row],[SaleDate]],"MMM")</f>
        <v>Aug</v>
      </c>
    </row>
    <row r="1988" spans="1:15">
      <c r="A1988" s="1">
        <v>45154</v>
      </c>
      <c r="B1988" t="s">
        <v>25</v>
      </c>
      <c r="C1988" t="s">
        <v>21</v>
      </c>
      <c r="D1988">
        <v>2</v>
      </c>
      <c r="E1988" t="s">
        <v>7</v>
      </c>
      <c r="F1988">
        <v>33000</v>
      </c>
      <c r="G1988">
        <v>18000</v>
      </c>
      <c r="H1988">
        <f>Table1[[#This Row],[Qty]]*Table1[[#This Row],[SellingPrice]]</f>
        <v>66000</v>
      </c>
      <c r="I1988">
        <f>Table1[[#This Row],[Qty]]*Table1[[#This Row],[CostPrice]]</f>
        <v>36000</v>
      </c>
      <c r="J1988">
        <v>29790</v>
      </c>
      <c r="K1988">
        <v>209.99999999999997</v>
      </c>
      <c r="L1988" t="s">
        <v>13</v>
      </c>
      <c r="M1988" t="s">
        <v>29</v>
      </c>
      <c r="N1988">
        <f>MONTH(Table1[[#This Row],[SaleDate]])</f>
        <v>8</v>
      </c>
      <c r="O1988" t="str">
        <f>TEXT(Table1[[#This Row],[SaleDate]],"MMM")</f>
        <v>Aug</v>
      </c>
    </row>
    <row r="1989" spans="1:15">
      <c r="A1989" s="1">
        <v>45154</v>
      </c>
      <c r="B1989" t="s">
        <v>25</v>
      </c>
      <c r="C1989" t="s">
        <v>21</v>
      </c>
      <c r="D1989">
        <v>2</v>
      </c>
      <c r="E1989" t="s">
        <v>9</v>
      </c>
      <c r="F1989">
        <v>60000</v>
      </c>
      <c r="G1989">
        <v>31000</v>
      </c>
      <c r="H1989">
        <f>Table1[[#This Row],[Qty]]*Table1[[#This Row],[SellingPrice]]</f>
        <v>120000</v>
      </c>
      <c r="I1989">
        <f>Table1[[#This Row],[Qty]]*Table1[[#This Row],[CostPrice]]</f>
        <v>62000</v>
      </c>
      <c r="J1989">
        <v>57594</v>
      </c>
      <c r="K1989">
        <v>405.99999999999994</v>
      </c>
      <c r="L1989" t="s">
        <v>13</v>
      </c>
      <c r="M1989" t="s">
        <v>30</v>
      </c>
      <c r="N1989">
        <f>MONTH(Table1[[#This Row],[SaleDate]])</f>
        <v>8</v>
      </c>
      <c r="O1989" t="str">
        <f>TEXT(Table1[[#This Row],[SaleDate]],"MMM")</f>
        <v>Aug</v>
      </c>
    </row>
    <row r="1990" spans="1:15">
      <c r="A1990" s="1">
        <v>45154</v>
      </c>
      <c r="B1990" t="s">
        <v>25</v>
      </c>
      <c r="C1990" t="s">
        <v>21</v>
      </c>
      <c r="D1990">
        <v>2</v>
      </c>
      <c r="E1990" t="s">
        <v>10</v>
      </c>
      <c r="F1990">
        <v>89000</v>
      </c>
      <c r="G1990">
        <v>65000</v>
      </c>
      <c r="H1990">
        <f>Table1[[#This Row],[Qty]]*Table1[[#This Row],[SellingPrice]]</f>
        <v>178000</v>
      </c>
      <c r="I1990">
        <f>Table1[[#This Row],[Qty]]*Table1[[#This Row],[CostPrice]]</f>
        <v>130000</v>
      </c>
      <c r="J1990">
        <v>47664</v>
      </c>
      <c r="K1990">
        <v>335.99999999999994</v>
      </c>
      <c r="L1990" t="s">
        <v>13</v>
      </c>
      <c r="M1990" t="s">
        <v>30</v>
      </c>
      <c r="N1990">
        <f>MONTH(Table1[[#This Row],[SaleDate]])</f>
        <v>8</v>
      </c>
      <c r="O1990" t="str">
        <f>TEXT(Table1[[#This Row],[SaleDate]],"MMM")</f>
        <v>Aug</v>
      </c>
    </row>
    <row r="1991" spans="1:15">
      <c r="A1991" s="1">
        <v>45155</v>
      </c>
      <c r="B1991" t="s">
        <v>23</v>
      </c>
      <c r="C1991" t="s">
        <v>19</v>
      </c>
      <c r="D1991">
        <v>2</v>
      </c>
      <c r="E1991" t="s">
        <v>7</v>
      </c>
      <c r="F1991">
        <v>33000</v>
      </c>
      <c r="G1991">
        <v>18000</v>
      </c>
      <c r="H1991">
        <f>Table1[[#This Row],[Qty]]*Table1[[#This Row],[SellingPrice]]</f>
        <v>66000</v>
      </c>
      <c r="I1991">
        <f>Table1[[#This Row],[Qty]]*Table1[[#This Row],[CostPrice]]</f>
        <v>36000</v>
      </c>
      <c r="J1991">
        <v>29790</v>
      </c>
      <c r="K1991">
        <v>209.99999999999997</v>
      </c>
      <c r="L1991" t="s">
        <v>8</v>
      </c>
      <c r="M1991" t="s">
        <v>29</v>
      </c>
      <c r="N1991">
        <f>MONTH(Table1[[#This Row],[SaleDate]])</f>
        <v>8</v>
      </c>
      <c r="O1991" t="str">
        <f>TEXT(Table1[[#This Row],[SaleDate]],"MMM")</f>
        <v>Aug</v>
      </c>
    </row>
    <row r="1992" spans="1:15">
      <c r="A1992" s="1">
        <v>45155</v>
      </c>
      <c r="B1992" t="s">
        <v>23</v>
      </c>
      <c r="C1992" t="s">
        <v>19</v>
      </c>
      <c r="D1992">
        <v>2</v>
      </c>
      <c r="E1992" t="s">
        <v>9</v>
      </c>
      <c r="F1992">
        <v>60000</v>
      </c>
      <c r="G1992">
        <v>31000</v>
      </c>
      <c r="H1992">
        <f>Table1[[#This Row],[Qty]]*Table1[[#This Row],[SellingPrice]]</f>
        <v>120000</v>
      </c>
      <c r="I1992">
        <f>Table1[[#This Row],[Qty]]*Table1[[#This Row],[CostPrice]]</f>
        <v>62000</v>
      </c>
      <c r="J1992">
        <v>57594</v>
      </c>
      <c r="K1992">
        <v>405.99999999999994</v>
      </c>
      <c r="L1992" t="s">
        <v>8</v>
      </c>
      <c r="M1992" t="s">
        <v>28</v>
      </c>
      <c r="N1992">
        <f>MONTH(Table1[[#This Row],[SaleDate]])</f>
        <v>8</v>
      </c>
      <c r="O1992" t="str">
        <f>TEXT(Table1[[#This Row],[SaleDate]],"MMM")</f>
        <v>Aug</v>
      </c>
    </row>
    <row r="1993" spans="1:15">
      <c r="A1993" s="1">
        <v>45155</v>
      </c>
      <c r="B1993" t="s">
        <v>23</v>
      </c>
      <c r="C1993" t="s">
        <v>19</v>
      </c>
      <c r="D1993">
        <v>2</v>
      </c>
      <c r="E1993" t="s">
        <v>10</v>
      </c>
      <c r="F1993">
        <v>89000</v>
      </c>
      <c r="G1993">
        <v>65000</v>
      </c>
      <c r="H1993">
        <f>Table1[[#This Row],[Qty]]*Table1[[#This Row],[SellingPrice]]</f>
        <v>178000</v>
      </c>
      <c r="I1993">
        <f>Table1[[#This Row],[Qty]]*Table1[[#This Row],[CostPrice]]</f>
        <v>130000</v>
      </c>
      <c r="J1993">
        <v>47664</v>
      </c>
      <c r="K1993">
        <v>335.99999999999994</v>
      </c>
      <c r="L1993" t="s">
        <v>8</v>
      </c>
      <c r="M1993" t="s">
        <v>30</v>
      </c>
      <c r="N1993">
        <f>MONTH(Table1[[#This Row],[SaleDate]])</f>
        <v>8</v>
      </c>
      <c r="O1993" t="str">
        <f>TEXT(Table1[[#This Row],[SaleDate]],"MMM")</f>
        <v>Aug</v>
      </c>
    </row>
    <row r="1994" spans="1:15">
      <c r="A1994" s="1">
        <v>45155</v>
      </c>
      <c r="B1994" t="s">
        <v>26</v>
      </c>
      <c r="C1994" t="s">
        <v>20</v>
      </c>
      <c r="D1994">
        <v>2</v>
      </c>
      <c r="E1994" t="s">
        <v>9</v>
      </c>
      <c r="F1994">
        <v>60000</v>
      </c>
      <c r="G1994">
        <v>31000</v>
      </c>
      <c r="H1994">
        <f>Table1[[#This Row],[Qty]]*Table1[[#This Row],[SellingPrice]]</f>
        <v>120000</v>
      </c>
      <c r="I1994">
        <f>Table1[[#This Row],[Qty]]*Table1[[#This Row],[CostPrice]]</f>
        <v>62000</v>
      </c>
      <c r="J1994">
        <v>57594</v>
      </c>
      <c r="K1994">
        <v>405.99999999999994</v>
      </c>
      <c r="L1994" t="s">
        <v>11</v>
      </c>
      <c r="M1994" t="s">
        <v>28</v>
      </c>
      <c r="N1994">
        <f>MONTH(Table1[[#This Row],[SaleDate]])</f>
        <v>8</v>
      </c>
      <c r="O1994" t="str">
        <f>TEXT(Table1[[#This Row],[SaleDate]],"MMM")</f>
        <v>Aug</v>
      </c>
    </row>
    <row r="1995" spans="1:15">
      <c r="A1995" s="1">
        <v>45155</v>
      </c>
      <c r="B1995" t="s">
        <v>24</v>
      </c>
      <c r="C1995" t="s">
        <v>22</v>
      </c>
      <c r="D1995">
        <v>2</v>
      </c>
      <c r="E1995" t="s">
        <v>7</v>
      </c>
      <c r="F1995">
        <v>33000</v>
      </c>
      <c r="G1995">
        <v>18000</v>
      </c>
      <c r="H1995">
        <f>Table1[[#This Row],[Qty]]*Table1[[#This Row],[SellingPrice]]</f>
        <v>66000</v>
      </c>
      <c r="I1995">
        <f>Table1[[#This Row],[Qty]]*Table1[[#This Row],[CostPrice]]</f>
        <v>36000</v>
      </c>
      <c r="J1995">
        <v>29790</v>
      </c>
      <c r="K1995">
        <v>209.99999999999997</v>
      </c>
      <c r="L1995" t="s">
        <v>12</v>
      </c>
      <c r="M1995" t="s">
        <v>30</v>
      </c>
      <c r="N1995">
        <f>MONTH(Table1[[#This Row],[SaleDate]])</f>
        <v>8</v>
      </c>
      <c r="O1995" t="str">
        <f>TEXT(Table1[[#This Row],[SaleDate]],"MMM")</f>
        <v>Aug</v>
      </c>
    </row>
    <row r="1996" spans="1:15">
      <c r="A1996" s="1">
        <v>45155</v>
      </c>
      <c r="B1996" t="s">
        <v>24</v>
      </c>
      <c r="C1996" t="s">
        <v>22</v>
      </c>
      <c r="D1996">
        <v>2</v>
      </c>
      <c r="E1996" t="s">
        <v>9</v>
      </c>
      <c r="F1996">
        <v>60000</v>
      </c>
      <c r="G1996">
        <v>31000</v>
      </c>
      <c r="H1996">
        <f>Table1[[#This Row],[Qty]]*Table1[[#This Row],[SellingPrice]]</f>
        <v>120000</v>
      </c>
      <c r="I1996">
        <f>Table1[[#This Row],[Qty]]*Table1[[#This Row],[CostPrice]]</f>
        <v>62000</v>
      </c>
      <c r="J1996">
        <v>57594</v>
      </c>
      <c r="K1996">
        <v>405.99999999999994</v>
      </c>
      <c r="L1996" t="s">
        <v>12</v>
      </c>
      <c r="M1996" t="s">
        <v>27</v>
      </c>
      <c r="N1996">
        <f>MONTH(Table1[[#This Row],[SaleDate]])</f>
        <v>8</v>
      </c>
      <c r="O1996" t="str">
        <f>TEXT(Table1[[#This Row],[SaleDate]],"MMM")</f>
        <v>Aug</v>
      </c>
    </row>
    <row r="1997" spans="1:15">
      <c r="A1997" s="1">
        <v>45155</v>
      </c>
      <c r="B1997" t="s">
        <v>24</v>
      </c>
      <c r="C1997" t="s">
        <v>22</v>
      </c>
      <c r="D1997">
        <v>2</v>
      </c>
      <c r="E1997" t="s">
        <v>10</v>
      </c>
      <c r="F1997">
        <v>89000</v>
      </c>
      <c r="G1997">
        <v>65000</v>
      </c>
      <c r="H1997">
        <f>Table1[[#This Row],[Qty]]*Table1[[#This Row],[SellingPrice]]</f>
        <v>178000</v>
      </c>
      <c r="I1997">
        <f>Table1[[#This Row],[Qty]]*Table1[[#This Row],[CostPrice]]</f>
        <v>130000</v>
      </c>
      <c r="J1997">
        <v>47664</v>
      </c>
      <c r="K1997">
        <v>335.99999999999994</v>
      </c>
      <c r="L1997" t="s">
        <v>12</v>
      </c>
      <c r="M1997" t="s">
        <v>27</v>
      </c>
      <c r="N1997">
        <f>MONTH(Table1[[#This Row],[SaleDate]])</f>
        <v>8</v>
      </c>
      <c r="O1997" t="str">
        <f>TEXT(Table1[[#This Row],[SaleDate]],"MMM")</f>
        <v>Aug</v>
      </c>
    </row>
    <row r="1998" spans="1:15">
      <c r="A1998" s="1">
        <v>45155</v>
      </c>
      <c r="B1998" t="s">
        <v>25</v>
      </c>
      <c r="C1998" t="s">
        <v>21</v>
      </c>
      <c r="D1998">
        <v>2</v>
      </c>
      <c r="E1998" t="s">
        <v>7</v>
      </c>
      <c r="F1998">
        <v>33000</v>
      </c>
      <c r="G1998">
        <v>18000</v>
      </c>
      <c r="H1998">
        <f>Table1[[#This Row],[Qty]]*Table1[[#This Row],[SellingPrice]]</f>
        <v>66000</v>
      </c>
      <c r="I1998">
        <f>Table1[[#This Row],[Qty]]*Table1[[#This Row],[CostPrice]]</f>
        <v>36000</v>
      </c>
      <c r="J1998">
        <v>29790</v>
      </c>
      <c r="K1998">
        <v>209.99999999999997</v>
      </c>
      <c r="L1998" t="s">
        <v>13</v>
      </c>
      <c r="M1998" t="s">
        <v>30</v>
      </c>
      <c r="N1998">
        <f>MONTH(Table1[[#This Row],[SaleDate]])</f>
        <v>8</v>
      </c>
      <c r="O1998" t="str">
        <f>TEXT(Table1[[#This Row],[SaleDate]],"MMM")</f>
        <v>Aug</v>
      </c>
    </row>
    <row r="1999" spans="1:15">
      <c r="A1999" s="1">
        <v>45155</v>
      </c>
      <c r="B1999" t="s">
        <v>25</v>
      </c>
      <c r="C1999" t="s">
        <v>21</v>
      </c>
      <c r="D1999">
        <v>2</v>
      </c>
      <c r="E1999" t="s">
        <v>9</v>
      </c>
      <c r="F1999">
        <v>60000</v>
      </c>
      <c r="G1999">
        <v>31000</v>
      </c>
      <c r="H1999">
        <f>Table1[[#This Row],[Qty]]*Table1[[#This Row],[SellingPrice]]</f>
        <v>120000</v>
      </c>
      <c r="I1999">
        <f>Table1[[#This Row],[Qty]]*Table1[[#This Row],[CostPrice]]</f>
        <v>62000</v>
      </c>
      <c r="J1999">
        <v>57594</v>
      </c>
      <c r="K1999">
        <v>405.99999999999994</v>
      </c>
      <c r="L1999" t="s">
        <v>13</v>
      </c>
      <c r="M1999" t="s">
        <v>29</v>
      </c>
      <c r="N1999">
        <f>MONTH(Table1[[#This Row],[SaleDate]])</f>
        <v>8</v>
      </c>
      <c r="O1999" t="str">
        <f>TEXT(Table1[[#This Row],[SaleDate]],"MMM")</f>
        <v>Aug</v>
      </c>
    </row>
    <row r="2000" spans="1:15">
      <c r="A2000" s="1">
        <v>45155</v>
      </c>
      <c r="B2000" t="s">
        <v>25</v>
      </c>
      <c r="C2000" t="s">
        <v>21</v>
      </c>
      <c r="D2000">
        <v>2</v>
      </c>
      <c r="E2000" t="s">
        <v>10</v>
      </c>
      <c r="F2000">
        <v>89000</v>
      </c>
      <c r="G2000">
        <v>65000</v>
      </c>
      <c r="H2000">
        <f>Table1[[#This Row],[Qty]]*Table1[[#This Row],[SellingPrice]]</f>
        <v>178000</v>
      </c>
      <c r="I2000">
        <f>Table1[[#This Row],[Qty]]*Table1[[#This Row],[CostPrice]]</f>
        <v>130000</v>
      </c>
      <c r="J2000">
        <v>47664</v>
      </c>
      <c r="K2000">
        <v>335.99999999999994</v>
      </c>
      <c r="L2000" t="s">
        <v>13</v>
      </c>
      <c r="M2000" t="s">
        <v>29</v>
      </c>
      <c r="N2000">
        <f>MONTH(Table1[[#This Row],[SaleDate]])</f>
        <v>8</v>
      </c>
      <c r="O2000" t="str">
        <f>TEXT(Table1[[#This Row],[SaleDate]],"MMM")</f>
        <v>Aug</v>
      </c>
    </row>
    <row r="2001" spans="1:15">
      <c r="A2001" s="1">
        <v>45156</v>
      </c>
      <c r="B2001" t="s">
        <v>23</v>
      </c>
      <c r="C2001" t="s">
        <v>19</v>
      </c>
      <c r="D2001">
        <v>1</v>
      </c>
      <c r="E2001" t="s">
        <v>7</v>
      </c>
      <c r="F2001">
        <v>33000</v>
      </c>
      <c r="G2001">
        <v>18000</v>
      </c>
      <c r="H2001">
        <f>Table1[[#This Row],[Qty]]*Table1[[#This Row],[SellingPrice]]</f>
        <v>33000</v>
      </c>
      <c r="I2001">
        <f>Table1[[#This Row],[Qty]]*Table1[[#This Row],[CostPrice]]</f>
        <v>18000</v>
      </c>
      <c r="J2001">
        <v>14895</v>
      </c>
      <c r="K2001">
        <v>104.99999999999999</v>
      </c>
      <c r="L2001" t="s">
        <v>8</v>
      </c>
      <c r="M2001" t="s">
        <v>30</v>
      </c>
      <c r="N2001">
        <f>MONTH(Table1[[#This Row],[SaleDate]])</f>
        <v>8</v>
      </c>
      <c r="O2001" t="str">
        <f>TEXT(Table1[[#This Row],[SaleDate]],"MMM")</f>
        <v>Aug</v>
      </c>
    </row>
    <row r="2002" spans="1:15">
      <c r="A2002" s="1">
        <v>45156</v>
      </c>
      <c r="B2002" t="s">
        <v>23</v>
      </c>
      <c r="C2002" t="s">
        <v>19</v>
      </c>
      <c r="D2002">
        <v>1</v>
      </c>
      <c r="E2002" t="s">
        <v>9</v>
      </c>
      <c r="F2002">
        <v>60000</v>
      </c>
      <c r="G2002">
        <v>31000</v>
      </c>
      <c r="H2002">
        <f>Table1[[#This Row],[Qty]]*Table1[[#This Row],[SellingPrice]]</f>
        <v>60000</v>
      </c>
      <c r="I2002">
        <f>Table1[[#This Row],[Qty]]*Table1[[#This Row],[CostPrice]]</f>
        <v>31000</v>
      </c>
      <c r="J2002">
        <v>28797</v>
      </c>
      <c r="K2002">
        <v>202.99999999999997</v>
      </c>
      <c r="L2002" t="s">
        <v>8</v>
      </c>
      <c r="M2002" t="s">
        <v>30</v>
      </c>
      <c r="N2002">
        <f>MONTH(Table1[[#This Row],[SaleDate]])</f>
        <v>8</v>
      </c>
      <c r="O2002" t="str">
        <f>TEXT(Table1[[#This Row],[SaleDate]],"MMM")</f>
        <v>Aug</v>
      </c>
    </row>
    <row r="2003" spans="1:15">
      <c r="A2003" s="1">
        <v>45156</v>
      </c>
      <c r="B2003" t="s">
        <v>23</v>
      </c>
      <c r="C2003" t="s">
        <v>19</v>
      </c>
      <c r="D2003">
        <v>1</v>
      </c>
      <c r="E2003" t="s">
        <v>10</v>
      </c>
      <c r="F2003">
        <v>89000</v>
      </c>
      <c r="G2003">
        <v>65000</v>
      </c>
      <c r="H2003">
        <f>Table1[[#This Row],[Qty]]*Table1[[#This Row],[SellingPrice]]</f>
        <v>89000</v>
      </c>
      <c r="I2003">
        <f>Table1[[#This Row],[Qty]]*Table1[[#This Row],[CostPrice]]</f>
        <v>65000</v>
      </c>
      <c r="J2003">
        <v>23832</v>
      </c>
      <c r="K2003">
        <v>167.99999999999997</v>
      </c>
      <c r="L2003" t="s">
        <v>8</v>
      </c>
      <c r="M2003" t="s">
        <v>30</v>
      </c>
      <c r="N2003">
        <f>MONTH(Table1[[#This Row],[SaleDate]])</f>
        <v>8</v>
      </c>
      <c r="O2003" t="str">
        <f>TEXT(Table1[[#This Row],[SaleDate]],"MMM")</f>
        <v>Aug</v>
      </c>
    </row>
    <row r="2004" spans="1:15">
      <c r="A2004" s="1">
        <v>45156</v>
      </c>
      <c r="B2004" t="s">
        <v>26</v>
      </c>
      <c r="C2004" t="s">
        <v>20</v>
      </c>
      <c r="D2004">
        <v>1</v>
      </c>
      <c r="E2004" t="s">
        <v>9</v>
      </c>
      <c r="F2004">
        <v>60000</v>
      </c>
      <c r="G2004">
        <v>31000</v>
      </c>
      <c r="H2004">
        <f>Table1[[#This Row],[Qty]]*Table1[[#This Row],[SellingPrice]]</f>
        <v>60000</v>
      </c>
      <c r="I2004">
        <f>Table1[[#This Row],[Qty]]*Table1[[#This Row],[CostPrice]]</f>
        <v>31000</v>
      </c>
      <c r="J2004">
        <v>28797</v>
      </c>
      <c r="K2004">
        <v>202.99999999999997</v>
      </c>
      <c r="L2004" t="s">
        <v>11</v>
      </c>
      <c r="M2004" t="s">
        <v>28</v>
      </c>
      <c r="N2004">
        <f>MONTH(Table1[[#This Row],[SaleDate]])</f>
        <v>8</v>
      </c>
      <c r="O2004" t="str">
        <f>TEXT(Table1[[#This Row],[SaleDate]],"MMM")</f>
        <v>Aug</v>
      </c>
    </row>
    <row r="2005" spans="1:15">
      <c r="A2005" s="1">
        <v>45156</v>
      </c>
      <c r="B2005" t="s">
        <v>24</v>
      </c>
      <c r="C2005" t="s">
        <v>22</v>
      </c>
      <c r="D2005">
        <v>1</v>
      </c>
      <c r="E2005" t="s">
        <v>7</v>
      </c>
      <c r="F2005">
        <v>33000</v>
      </c>
      <c r="G2005">
        <v>18000</v>
      </c>
      <c r="H2005">
        <f>Table1[[#This Row],[Qty]]*Table1[[#This Row],[SellingPrice]]</f>
        <v>33000</v>
      </c>
      <c r="I2005">
        <f>Table1[[#This Row],[Qty]]*Table1[[#This Row],[CostPrice]]</f>
        <v>18000</v>
      </c>
      <c r="J2005">
        <v>14895</v>
      </c>
      <c r="K2005">
        <v>104.99999999999999</v>
      </c>
      <c r="L2005" t="s">
        <v>12</v>
      </c>
      <c r="M2005" t="s">
        <v>30</v>
      </c>
      <c r="N2005">
        <f>MONTH(Table1[[#This Row],[SaleDate]])</f>
        <v>8</v>
      </c>
      <c r="O2005" t="str">
        <f>TEXT(Table1[[#This Row],[SaleDate]],"MMM")</f>
        <v>Aug</v>
      </c>
    </row>
    <row r="2006" spans="1:15">
      <c r="A2006" s="1">
        <v>45156</v>
      </c>
      <c r="B2006" t="s">
        <v>24</v>
      </c>
      <c r="C2006" t="s">
        <v>22</v>
      </c>
      <c r="D2006">
        <v>1</v>
      </c>
      <c r="E2006" t="s">
        <v>10</v>
      </c>
      <c r="F2006">
        <v>89000</v>
      </c>
      <c r="G2006">
        <v>65000</v>
      </c>
      <c r="H2006">
        <f>Table1[[#This Row],[Qty]]*Table1[[#This Row],[SellingPrice]]</f>
        <v>89000</v>
      </c>
      <c r="I2006">
        <f>Table1[[#This Row],[Qty]]*Table1[[#This Row],[CostPrice]]</f>
        <v>65000</v>
      </c>
      <c r="J2006">
        <v>23832</v>
      </c>
      <c r="K2006">
        <v>167.99999999999997</v>
      </c>
      <c r="L2006" t="s">
        <v>12</v>
      </c>
      <c r="M2006" t="s">
        <v>28</v>
      </c>
      <c r="N2006">
        <f>MONTH(Table1[[#This Row],[SaleDate]])</f>
        <v>8</v>
      </c>
      <c r="O2006" t="str">
        <f>TEXT(Table1[[#This Row],[SaleDate]],"MMM")</f>
        <v>Aug</v>
      </c>
    </row>
    <row r="2007" spans="1:15">
      <c r="A2007" s="1">
        <v>45156</v>
      </c>
      <c r="B2007" t="s">
        <v>25</v>
      </c>
      <c r="C2007" t="s">
        <v>21</v>
      </c>
      <c r="D2007">
        <v>1</v>
      </c>
      <c r="E2007" t="s">
        <v>7</v>
      </c>
      <c r="F2007">
        <v>33000</v>
      </c>
      <c r="G2007">
        <v>18000</v>
      </c>
      <c r="H2007">
        <f>Table1[[#This Row],[Qty]]*Table1[[#This Row],[SellingPrice]]</f>
        <v>33000</v>
      </c>
      <c r="I2007">
        <f>Table1[[#This Row],[Qty]]*Table1[[#This Row],[CostPrice]]</f>
        <v>18000</v>
      </c>
      <c r="J2007">
        <v>14895</v>
      </c>
      <c r="K2007">
        <v>104.99999999999999</v>
      </c>
      <c r="L2007" t="s">
        <v>13</v>
      </c>
      <c r="M2007" t="s">
        <v>27</v>
      </c>
      <c r="N2007">
        <f>MONTH(Table1[[#This Row],[SaleDate]])</f>
        <v>8</v>
      </c>
      <c r="O2007" t="str">
        <f>TEXT(Table1[[#This Row],[SaleDate]],"MMM")</f>
        <v>Aug</v>
      </c>
    </row>
    <row r="2008" spans="1:15">
      <c r="A2008" s="1">
        <v>45156</v>
      </c>
      <c r="B2008" t="s">
        <v>25</v>
      </c>
      <c r="C2008" t="s">
        <v>21</v>
      </c>
      <c r="D2008">
        <v>1</v>
      </c>
      <c r="E2008" t="s">
        <v>9</v>
      </c>
      <c r="F2008">
        <v>60000</v>
      </c>
      <c r="G2008">
        <v>31000</v>
      </c>
      <c r="H2008">
        <f>Table1[[#This Row],[Qty]]*Table1[[#This Row],[SellingPrice]]</f>
        <v>60000</v>
      </c>
      <c r="I2008">
        <f>Table1[[#This Row],[Qty]]*Table1[[#This Row],[CostPrice]]</f>
        <v>31000</v>
      </c>
      <c r="J2008">
        <v>28797</v>
      </c>
      <c r="K2008">
        <v>202.99999999999997</v>
      </c>
      <c r="L2008" t="s">
        <v>13</v>
      </c>
      <c r="M2008" t="s">
        <v>29</v>
      </c>
      <c r="N2008">
        <f>MONTH(Table1[[#This Row],[SaleDate]])</f>
        <v>8</v>
      </c>
      <c r="O2008" t="str">
        <f>TEXT(Table1[[#This Row],[SaleDate]],"MMM")</f>
        <v>Aug</v>
      </c>
    </row>
    <row r="2009" spans="1:15">
      <c r="A2009" s="1">
        <v>45156</v>
      </c>
      <c r="B2009" t="s">
        <v>25</v>
      </c>
      <c r="C2009" t="s">
        <v>21</v>
      </c>
      <c r="D2009">
        <v>1</v>
      </c>
      <c r="E2009" t="s">
        <v>10</v>
      </c>
      <c r="F2009">
        <v>89000</v>
      </c>
      <c r="G2009">
        <v>65000</v>
      </c>
      <c r="H2009">
        <f>Table1[[#This Row],[Qty]]*Table1[[#This Row],[SellingPrice]]</f>
        <v>89000</v>
      </c>
      <c r="I2009">
        <f>Table1[[#This Row],[Qty]]*Table1[[#This Row],[CostPrice]]</f>
        <v>65000</v>
      </c>
      <c r="J2009">
        <v>23832</v>
      </c>
      <c r="K2009">
        <v>167.99999999999997</v>
      </c>
      <c r="L2009" t="s">
        <v>13</v>
      </c>
      <c r="M2009" t="s">
        <v>30</v>
      </c>
      <c r="N2009">
        <f>MONTH(Table1[[#This Row],[SaleDate]])</f>
        <v>8</v>
      </c>
      <c r="O2009" t="str">
        <f>TEXT(Table1[[#This Row],[SaleDate]],"MMM")</f>
        <v>Aug</v>
      </c>
    </row>
    <row r="2010" spans="1:15">
      <c r="A2010" s="1">
        <v>45157</v>
      </c>
      <c r="B2010" t="s">
        <v>23</v>
      </c>
      <c r="C2010" t="s">
        <v>19</v>
      </c>
      <c r="D2010">
        <v>2</v>
      </c>
      <c r="E2010" t="s">
        <v>7</v>
      </c>
      <c r="F2010">
        <v>33000</v>
      </c>
      <c r="G2010">
        <v>18000</v>
      </c>
      <c r="H2010">
        <f>Table1[[#This Row],[Qty]]*Table1[[#This Row],[SellingPrice]]</f>
        <v>66000</v>
      </c>
      <c r="I2010">
        <f>Table1[[#This Row],[Qty]]*Table1[[#This Row],[CostPrice]]</f>
        <v>36000</v>
      </c>
      <c r="J2010">
        <v>29790</v>
      </c>
      <c r="K2010">
        <v>209.99999999999997</v>
      </c>
      <c r="L2010" t="s">
        <v>8</v>
      </c>
      <c r="M2010" t="s">
        <v>27</v>
      </c>
      <c r="N2010">
        <f>MONTH(Table1[[#This Row],[SaleDate]])</f>
        <v>8</v>
      </c>
      <c r="O2010" t="str">
        <f>TEXT(Table1[[#This Row],[SaleDate]],"MMM")</f>
        <v>Aug</v>
      </c>
    </row>
    <row r="2011" spans="1:15">
      <c r="A2011" s="1">
        <v>45157</v>
      </c>
      <c r="B2011" t="s">
        <v>23</v>
      </c>
      <c r="C2011" t="s">
        <v>19</v>
      </c>
      <c r="D2011">
        <v>2</v>
      </c>
      <c r="E2011" t="s">
        <v>9</v>
      </c>
      <c r="F2011">
        <v>60000</v>
      </c>
      <c r="G2011">
        <v>31000</v>
      </c>
      <c r="H2011">
        <f>Table1[[#This Row],[Qty]]*Table1[[#This Row],[SellingPrice]]</f>
        <v>120000</v>
      </c>
      <c r="I2011">
        <f>Table1[[#This Row],[Qty]]*Table1[[#This Row],[CostPrice]]</f>
        <v>62000</v>
      </c>
      <c r="J2011">
        <v>57594</v>
      </c>
      <c r="K2011">
        <v>405.99999999999994</v>
      </c>
      <c r="L2011" t="s">
        <v>8</v>
      </c>
      <c r="M2011" t="s">
        <v>30</v>
      </c>
      <c r="N2011">
        <f>MONTH(Table1[[#This Row],[SaleDate]])</f>
        <v>8</v>
      </c>
      <c r="O2011" t="str">
        <f>TEXT(Table1[[#This Row],[SaleDate]],"MMM")</f>
        <v>Aug</v>
      </c>
    </row>
    <row r="2012" spans="1:15">
      <c r="A2012" s="1">
        <v>45157</v>
      </c>
      <c r="B2012" t="s">
        <v>23</v>
      </c>
      <c r="C2012" t="s">
        <v>19</v>
      </c>
      <c r="D2012">
        <v>2</v>
      </c>
      <c r="E2012" t="s">
        <v>10</v>
      </c>
      <c r="F2012">
        <v>89000</v>
      </c>
      <c r="G2012">
        <v>65000</v>
      </c>
      <c r="H2012">
        <f>Table1[[#This Row],[Qty]]*Table1[[#This Row],[SellingPrice]]</f>
        <v>178000</v>
      </c>
      <c r="I2012">
        <f>Table1[[#This Row],[Qty]]*Table1[[#This Row],[CostPrice]]</f>
        <v>130000</v>
      </c>
      <c r="J2012">
        <v>47664</v>
      </c>
      <c r="K2012">
        <v>335.99999999999994</v>
      </c>
      <c r="L2012" t="s">
        <v>8</v>
      </c>
      <c r="M2012" t="s">
        <v>29</v>
      </c>
      <c r="N2012">
        <f>MONTH(Table1[[#This Row],[SaleDate]])</f>
        <v>8</v>
      </c>
      <c r="O2012" t="str">
        <f>TEXT(Table1[[#This Row],[SaleDate]],"MMM")</f>
        <v>Aug</v>
      </c>
    </row>
    <row r="2013" spans="1:15">
      <c r="A2013" s="1">
        <v>45157</v>
      </c>
      <c r="B2013" t="s">
        <v>26</v>
      </c>
      <c r="C2013" t="s">
        <v>20</v>
      </c>
      <c r="D2013">
        <v>2</v>
      </c>
      <c r="E2013" t="s">
        <v>9</v>
      </c>
      <c r="F2013">
        <v>60000</v>
      </c>
      <c r="G2013">
        <v>31000</v>
      </c>
      <c r="H2013">
        <f>Table1[[#This Row],[Qty]]*Table1[[#This Row],[SellingPrice]]</f>
        <v>120000</v>
      </c>
      <c r="I2013">
        <f>Table1[[#This Row],[Qty]]*Table1[[#This Row],[CostPrice]]</f>
        <v>62000</v>
      </c>
      <c r="J2013">
        <v>57594</v>
      </c>
      <c r="K2013">
        <v>405.99999999999994</v>
      </c>
      <c r="L2013" t="s">
        <v>11</v>
      </c>
      <c r="M2013" t="s">
        <v>29</v>
      </c>
      <c r="N2013">
        <f>MONTH(Table1[[#This Row],[SaleDate]])</f>
        <v>8</v>
      </c>
      <c r="O2013" t="str">
        <f>TEXT(Table1[[#This Row],[SaleDate]],"MMM")</f>
        <v>Aug</v>
      </c>
    </row>
    <row r="2014" spans="1:15">
      <c r="A2014" s="1">
        <v>45157</v>
      </c>
      <c r="B2014" t="s">
        <v>24</v>
      </c>
      <c r="C2014" t="s">
        <v>22</v>
      </c>
      <c r="D2014">
        <v>2</v>
      </c>
      <c r="E2014" t="s">
        <v>7</v>
      </c>
      <c r="F2014">
        <v>33000</v>
      </c>
      <c r="G2014">
        <v>18000</v>
      </c>
      <c r="H2014">
        <f>Table1[[#This Row],[Qty]]*Table1[[#This Row],[SellingPrice]]</f>
        <v>66000</v>
      </c>
      <c r="I2014">
        <f>Table1[[#This Row],[Qty]]*Table1[[#This Row],[CostPrice]]</f>
        <v>36000</v>
      </c>
      <c r="J2014">
        <v>29790</v>
      </c>
      <c r="K2014">
        <v>209.99999999999997</v>
      </c>
      <c r="L2014" t="s">
        <v>12</v>
      </c>
      <c r="M2014" t="s">
        <v>27</v>
      </c>
      <c r="N2014">
        <f>MONTH(Table1[[#This Row],[SaleDate]])</f>
        <v>8</v>
      </c>
      <c r="O2014" t="str">
        <f>TEXT(Table1[[#This Row],[SaleDate]],"MMM")</f>
        <v>Aug</v>
      </c>
    </row>
    <row r="2015" spans="1:15">
      <c r="A2015" s="1">
        <v>45157</v>
      </c>
      <c r="B2015" t="s">
        <v>24</v>
      </c>
      <c r="C2015" t="s">
        <v>22</v>
      </c>
      <c r="D2015">
        <v>2</v>
      </c>
      <c r="E2015" t="s">
        <v>10</v>
      </c>
      <c r="F2015">
        <v>89000</v>
      </c>
      <c r="G2015">
        <v>65000</v>
      </c>
      <c r="H2015">
        <f>Table1[[#This Row],[Qty]]*Table1[[#This Row],[SellingPrice]]</f>
        <v>178000</v>
      </c>
      <c r="I2015">
        <f>Table1[[#This Row],[Qty]]*Table1[[#This Row],[CostPrice]]</f>
        <v>130000</v>
      </c>
      <c r="J2015">
        <v>47664</v>
      </c>
      <c r="K2015">
        <v>335.99999999999994</v>
      </c>
      <c r="L2015" t="s">
        <v>12</v>
      </c>
      <c r="M2015" t="s">
        <v>30</v>
      </c>
      <c r="N2015">
        <f>MONTH(Table1[[#This Row],[SaleDate]])</f>
        <v>8</v>
      </c>
      <c r="O2015" t="str">
        <f>TEXT(Table1[[#This Row],[SaleDate]],"MMM")</f>
        <v>Aug</v>
      </c>
    </row>
    <row r="2016" spans="1:15">
      <c r="A2016" s="1">
        <v>45157</v>
      </c>
      <c r="B2016" t="s">
        <v>25</v>
      </c>
      <c r="C2016" t="s">
        <v>21</v>
      </c>
      <c r="D2016">
        <v>2</v>
      </c>
      <c r="E2016" t="s">
        <v>7</v>
      </c>
      <c r="F2016">
        <v>33000</v>
      </c>
      <c r="G2016">
        <v>18000</v>
      </c>
      <c r="H2016">
        <f>Table1[[#This Row],[Qty]]*Table1[[#This Row],[SellingPrice]]</f>
        <v>66000</v>
      </c>
      <c r="I2016">
        <f>Table1[[#This Row],[Qty]]*Table1[[#This Row],[CostPrice]]</f>
        <v>36000</v>
      </c>
      <c r="J2016">
        <v>29790</v>
      </c>
      <c r="K2016">
        <v>209.99999999999997</v>
      </c>
      <c r="L2016" t="s">
        <v>13</v>
      </c>
      <c r="M2016" t="s">
        <v>29</v>
      </c>
      <c r="N2016">
        <f>MONTH(Table1[[#This Row],[SaleDate]])</f>
        <v>8</v>
      </c>
      <c r="O2016" t="str">
        <f>TEXT(Table1[[#This Row],[SaleDate]],"MMM")</f>
        <v>Aug</v>
      </c>
    </row>
    <row r="2017" spans="1:15">
      <c r="A2017" s="1">
        <v>45157</v>
      </c>
      <c r="B2017" t="s">
        <v>25</v>
      </c>
      <c r="C2017" t="s">
        <v>21</v>
      </c>
      <c r="D2017">
        <v>2</v>
      </c>
      <c r="E2017" t="s">
        <v>9</v>
      </c>
      <c r="F2017">
        <v>60000</v>
      </c>
      <c r="G2017">
        <v>31000</v>
      </c>
      <c r="H2017">
        <f>Table1[[#This Row],[Qty]]*Table1[[#This Row],[SellingPrice]]</f>
        <v>120000</v>
      </c>
      <c r="I2017">
        <f>Table1[[#This Row],[Qty]]*Table1[[#This Row],[CostPrice]]</f>
        <v>62000</v>
      </c>
      <c r="J2017">
        <v>57594</v>
      </c>
      <c r="K2017">
        <v>405.99999999999994</v>
      </c>
      <c r="L2017" t="s">
        <v>13</v>
      </c>
      <c r="M2017" t="s">
        <v>29</v>
      </c>
      <c r="N2017">
        <f>MONTH(Table1[[#This Row],[SaleDate]])</f>
        <v>8</v>
      </c>
      <c r="O2017" t="str">
        <f>TEXT(Table1[[#This Row],[SaleDate]],"MMM")</f>
        <v>Aug</v>
      </c>
    </row>
    <row r="2018" spans="1:15">
      <c r="A2018" s="1">
        <v>45157</v>
      </c>
      <c r="B2018" t="s">
        <v>25</v>
      </c>
      <c r="C2018" t="s">
        <v>21</v>
      </c>
      <c r="D2018">
        <v>2</v>
      </c>
      <c r="E2018" t="s">
        <v>10</v>
      </c>
      <c r="F2018">
        <v>89000</v>
      </c>
      <c r="G2018">
        <v>65000</v>
      </c>
      <c r="H2018">
        <f>Table1[[#This Row],[Qty]]*Table1[[#This Row],[SellingPrice]]</f>
        <v>178000</v>
      </c>
      <c r="I2018">
        <f>Table1[[#This Row],[Qty]]*Table1[[#This Row],[CostPrice]]</f>
        <v>130000</v>
      </c>
      <c r="J2018">
        <v>47664</v>
      </c>
      <c r="K2018">
        <v>335.99999999999994</v>
      </c>
      <c r="L2018" t="s">
        <v>13</v>
      </c>
      <c r="M2018" t="s">
        <v>28</v>
      </c>
      <c r="N2018">
        <f>MONTH(Table1[[#This Row],[SaleDate]])</f>
        <v>8</v>
      </c>
      <c r="O2018" t="str">
        <f>TEXT(Table1[[#This Row],[SaleDate]],"MMM")</f>
        <v>Aug</v>
      </c>
    </row>
    <row r="2019" spans="1:15">
      <c r="A2019" s="1">
        <v>45158</v>
      </c>
      <c r="B2019" t="s">
        <v>23</v>
      </c>
      <c r="C2019" t="s">
        <v>19</v>
      </c>
      <c r="D2019">
        <v>2</v>
      </c>
      <c r="E2019" t="s">
        <v>7</v>
      </c>
      <c r="F2019">
        <v>33000</v>
      </c>
      <c r="G2019">
        <v>18000</v>
      </c>
      <c r="H2019">
        <f>Table1[[#This Row],[Qty]]*Table1[[#This Row],[SellingPrice]]</f>
        <v>66000</v>
      </c>
      <c r="I2019">
        <f>Table1[[#This Row],[Qty]]*Table1[[#This Row],[CostPrice]]</f>
        <v>36000</v>
      </c>
      <c r="J2019">
        <v>29790</v>
      </c>
      <c r="K2019">
        <v>209.99999999999997</v>
      </c>
      <c r="L2019" t="s">
        <v>8</v>
      </c>
      <c r="M2019" t="s">
        <v>30</v>
      </c>
      <c r="N2019">
        <f>MONTH(Table1[[#This Row],[SaleDate]])</f>
        <v>8</v>
      </c>
      <c r="O2019" t="str">
        <f>TEXT(Table1[[#This Row],[SaleDate]],"MMM")</f>
        <v>Aug</v>
      </c>
    </row>
    <row r="2020" spans="1:15">
      <c r="A2020" s="1">
        <v>45158</v>
      </c>
      <c r="B2020" t="s">
        <v>23</v>
      </c>
      <c r="C2020" t="s">
        <v>19</v>
      </c>
      <c r="D2020">
        <v>2</v>
      </c>
      <c r="E2020" t="s">
        <v>9</v>
      </c>
      <c r="F2020">
        <v>60000</v>
      </c>
      <c r="G2020">
        <v>31000</v>
      </c>
      <c r="H2020">
        <f>Table1[[#This Row],[Qty]]*Table1[[#This Row],[SellingPrice]]</f>
        <v>120000</v>
      </c>
      <c r="I2020">
        <f>Table1[[#This Row],[Qty]]*Table1[[#This Row],[CostPrice]]</f>
        <v>62000</v>
      </c>
      <c r="J2020">
        <v>57594</v>
      </c>
      <c r="K2020">
        <v>405.99999999999994</v>
      </c>
      <c r="L2020" t="s">
        <v>8</v>
      </c>
      <c r="M2020" t="s">
        <v>30</v>
      </c>
      <c r="N2020">
        <f>MONTH(Table1[[#This Row],[SaleDate]])</f>
        <v>8</v>
      </c>
      <c r="O2020" t="str">
        <f>TEXT(Table1[[#This Row],[SaleDate]],"MMM")</f>
        <v>Aug</v>
      </c>
    </row>
    <row r="2021" spans="1:15">
      <c r="A2021" s="1">
        <v>45158</v>
      </c>
      <c r="B2021" t="s">
        <v>23</v>
      </c>
      <c r="C2021" t="s">
        <v>19</v>
      </c>
      <c r="D2021">
        <v>2</v>
      </c>
      <c r="E2021" t="s">
        <v>10</v>
      </c>
      <c r="F2021">
        <v>89000</v>
      </c>
      <c r="G2021">
        <v>65000</v>
      </c>
      <c r="H2021">
        <f>Table1[[#This Row],[Qty]]*Table1[[#This Row],[SellingPrice]]</f>
        <v>178000</v>
      </c>
      <c r="I2021">
        <f>Table1[[#This Row],[Qty]]*Table1[[#This Row],[CostPrice]]</f>
        <v>130000</v>
      </c>
      <c r="J2021">
        <v>47664</v>
      </c>
      <c r="K2021">
        <v>335.99999999999994</v>
      </c>
      <c r="L2021" t="s">
        <v>8</v>
      </c>
      <c r="M2021" t="s">
        <v>27</v>
      </c>
      <c r="N2021">
        <f>MONTH(Table1[[#This Row],[SaleDate]])</f>
        <v>8</v>
      </c>
      <c r="O2021" t="str">
        <f>TEXT(Table1[[#This Row],[SaleDate]],"MMM")</f>
        <v>Aug</v>
      </c>
    </row>
    <row r="2022" spans="1:15">
      <c r="A2022" s="1">
        <v>45158</v>
      </c>
      <c r="B2022" t="s">
        <v>26</v>
      </c>
      <c r="C2022" t="s">
        <v>20</v>
      </c>
      <c r="D2022">
        <v>2</v>
      </c>
      <c r="E2022" t="s">
        <v>9</v>
      </c>
      <c r="F2022">
        <v>60000</v>
      </c>
      <c r="G2022">
        <v>31000</v>
      </c>
      <c r="H2022">
        <f>Table1[[#This Row],[Qty]]*Table1[[#This Row],[SellingPrice]]</f>
        <v>120000</v>
      </c>
      <c r="I2022">
        <f>Table1[[#This Row],[Qty]]*Table1[[#This Row],[CostPrice]]</f>
        <v>62000</v>
      </c>
      <c r="J2022">
        <v>57594</v>
      </c>
      <c r="K2022">
        <v>405.99999999999994</v>
      </c>
      <c r="L2022" t="s">
        <v>11</v>
      </c>
      <c r="M2022" t="s">
        <v>30</v>
      </c>
      <c r="N2022">
        <f>MONTH(Table1[[#This Row],[SaleDate]])</f>
        <v>8</v>
      </c>
      <c r="O2022" t="str">
        <f>TEXT(Table1[[#This Row],[SaleDate]],"MMM")</f>
        <v>Aug</v>
      </c>
    </row>
    <row r="2023" spans="1:15">
      <c r="A2023" s="1">
        <v>45158</v>
      </c>
      <c r="B2023" t="s">
        <v>24</v>
      </c>
      <c r="C2023" t="s">
        <v>22</v>
      </c>
      <c r="D2023">
        <v>2</v>
      </c>
      <c r="E2023" t="s">
        <v>7</v>
      </c>
      <c r="F2023">
        <v>33000</v>
      </c>
      <c r="G2023">
        <v>18000</v>
      </c>
      <c r="H2023">
        <f>Table1[[#This Row],[Qty]]*Table1[[#This Row],[SellingPrice]]</f>
        <v>66000</v>
      </c>
      <c r="I2023">
        <f>Table1[[#This Row],[Qty]]*Table1[[#This Row],[CostPrice]]</f>
        <v>36000</v>
      </c>
      <c r="J2023">
        <v>29790</v>
      </c>
      <c r="K2023">
        <v>209.99999999999997</v>
      </c>
      <c r="L2023" t="s">
        <v>12</v>
      </c>
      <c r="M2023" t="s">
        <v>28</v>
      </c>
      <c r="N2023">
        <f>MONTH(Table1[[#This Row],[SaleDate]])</f>
        <v>8</v>
      </c>
      <c r="O2023" t="str">
        <f>TEXT(Table1[[#This Row],[SaleDate]],"MMM")</f>
        <v>Aug</v>
      </c>
    </row>
    <row r="2024" spans="1:15">
      <c r="A2024" s="1">
        <v>45158</v>
      </c>
      <c r="B2024" t="s">
        <v>24</v>
      </c>
      <c r="C2024" t="s">
        <v>22</v>
      </c>
      <c r="D2024">
        <v>2</v>
      </c>
      <c r="E2024" t="s">
        <v>10</v>
      </c>
      <c r="F2024">
        <v>89000</v>
      </c>
      <c r="G2024">
        <v>65000</v>
      </c>
      <c r="H2024">
        <f>Table1[[#This Row],[Qty]]*Table1[[#This Row],[SellingPrice]]</f>
        <v>178000</v>
      </c>
      <c r="I2024">
        <f>Table1[[#This Row],[Qty]]*Table1[[#This Row],[CostPrice]]</f>
        <v>130000</v>
      </c>
      <c r="J2024">
        <v>47664</v>
      </c>
      <c r="K2024">
        <v>335.99999999999994</v>
      </c>
      <c r="L2024" t="s">
        <v>12</v>
      </c>
      <c r="M2024" t="s">
        <v>30</v>
      </c>
      <c r="N2024">
        <f>MONTH(Table1[[#This Row],[SaleDate]])</f>
        <v>8</v>
      </c>
      <c r="O2024" t="str">
        <f>TEXT(Table1[[#This Row],[SaleDate]],"MMM")</f>
        <v>Aug</v>
      </c>
    </row>
    <row r="2025" spans="1:15">
      <c r="A2025" s="1">
        <v>45158</v>
      </c>
      <c r="B2025" t="s">
        <v>25</v>
      </c>
      <c r="C2025" t="s">
        <v>21</v>
      </c>
      <c r="D2025">
        <v>2</v>
      </c>
      <c r="E2025" t="s">
        <v>7</v>
      </c>
      <c r="F2025">
        <v>33000</v>
      </c>
      <c r="G2025">
        <v>18000</v>
      </c>
      <c r="H2025">
        <f>Table1[[#This Row],[Qty]]*Table1[[#This Row],[SellingPrice]]</f>
        <v>66000</v>
      </c>
      <c r="I2025">
        <f>Table1[[#This Row],[Qty]]*Table1[[#This Row],[CostPrice]]</f>
        <v>36000</v>
      </c>
      <c r="J2025">
        <v>29790</v>
      </c>
      <c r="K2025">
        <v>209.99999999999997</v>
      </c>
      <c r="L2025" t="s">
        <v>13</v>
      </c>
      <c r="M2025" t="s">
        <v>30</v>
      </c>
      <c r="N2025">
        <f>MONTH(Table1[[#This Row],[SaleDate]])</f>
        <v>8</v>
      </c>
      <c r="O2025" t="str">
        <f>TEXT(Table1[[#This Row],[SaleDate]],"MMM")</f>
        <v>Aug</v>
      </c>
    </row>
    <row r="2026" spans="1:15">
      <c r="A2026" s="1">
        <v>45158</v>
      </c>
      <c r="B2026" t="s">
        <v>25</v>
      </c>
      <c r="C2026" t="s">
        <v>21</v>
      </c>
      <c r="D2026">
        <v>2</v>
      </c>
      <c r="E2026" t="s">
        <v>9</v>
      </c>
      <c r="F2026">
        <v>60000</v>
      </c>
      <c r="G2026">
        <v>31000</v>
      </c>
      <c r="H2026">
        <f>Table1[[#This Row],[Qty]]*Table1[[#This Row],[SellingPrice]]</f>
        <v>120000</v>
      </c>
      <c r="I2026">
        <f>Table1[[#This Row],[Qty]]*Table1[[#This Row],[CostPrice]]</f>
        <v>62000</v>
      </c>
      <c r="J2026">
        <v>57594</v>
      </c>
      <c r="K2026">
        <v>405.99999999999994</v>
      </c>
      <c r="L2026" t="s">
        <v>13</v>
      </c>
      <c r="M2026" t="s">
        <v>28</v>
      </c>
      <c r="N2026">
        <f>MONTH(Table1[[#This Row],[SaleDate]])</f>
        <v>8</v>
      </c>
      <c r="O2026" t="str">
        <f>TEXT(Table1[[#This Row],[SaleDate]],"MMM")</f>
        <v>Aug</v>
      </c>
    </row>
    <row r="2027" spans="1:15">
      <c r="A2027" s="1">
        <v>45158</v>
      </c>
      <c r="B2027" t="s">
        <v>25</v>
      </c>
      <c r="C2027" t="s">
        <v>21</v>
      </c>
      <c r="D2027">
        <v>2</v>
      </c>
      <c r="E2027" t="s">
        <v>10</v>
      </c>
      <c r="F2027">
        <v>89000</v>
      </c>
      <c r="G2027">
        <v>65000</v>
      </c>
      <c r="H2027">
        <f>Table1[[#This Row],[Qty]]*Table1[[#This Row],[SellingPrice]]</f>
        <v>178000</v>
      </c>
      <c r="I2027">
        <f>Table1[[#This Row],[Qty]]*Table1[[#This Row],[CostPrice]]</f>
        <v>130000</v>
      </c>
      <c r="J2027">
        <v>47664</v>
      </c>
      <c r="K2027">
        <v>335.99999999999994</v>
      </c>
      <c r="L2027" t="s">
        <v>13</v>
      </c>
      <c r="M2027" t="s">
        <v>27</v>
      </c>
      <c r="N2027">
        <f>MONTH(Table1[[#This Row],[SaleDate]])</f>
        <v>8</v>
      </c>
      <c r="O2027" t="str">
        <f>TEXT(Table1[[#This Row],[SaleDate]],"MMM")</f>
        <v>Aug</v>
      </c>
    </row>
    <row r="2028" spans="1:15">
      <c r="A2028" s="1">
        <v>45159</v>
      </c>
      <c r="B2028" t="s">
        <v>23</v>
      </c>
      <c r="C2028" t="s">
        <v>19</v>
      </c>
      <c r="D2028">
        <v>2</v>
      </c>
      <c r="E2028" t="s">
        <v>7</v>
      </c>
      <c r="F2028">
        <v>33000</v>
      </c>
      <c r="G2028">
        <v>18000</v>
      </c>
      <c r="H2028">
        <f>Table1[[#This Row],[Qty]]*Table1[[#This Row],[SellingPrice]]</f>
        <v>66000</v>
      </c>
      <c r="I2028">
        <f>Table1[[#This Row],[Qty]]*Table1[[#This Row],[CostPrice]]</f>
        <v>36000</v>
      </c>
      <c r="J2028">
        <v>29790</v>
      </c>
      <c r="K2028">
        <v>209.99999999999997</v>
      </c>
      <c r="L2028" t="s">
        <v>8</v>
      </c>
      <c r="M2028" t="s">
        <v>27</v>
      </c>
      <c r="N2028">
        <f>MONTH(Table1[[#This Row],[SaleDate]])</f>
        <v>8</v>
      </c>
      <c r="O2028" t="str">
        <f>TEXT(Table1[[#This Row],[SaleDate]],"MMM")</f>
        <v>Aug</v>
      </c>
    </row>
    <row r="2029" spans="1:15">
      <c r="A2029" s="1">
        <v>45159</v>
      </c>
      <c r="B2029" t="s">
        <v>23</v>
      </c>
      <c r="C2029" t="s">
        <v>19</v>
      </c>
      <c r="D2029">
        <v>2</v>
      </c>
      <c r="E2029" t="s">
        <v>9</v>
      </c>
      <c r="F2029">
        <v>60000</v>
      </c>
      <c r="G2029">
        <v>31000</v>
      </c>
      <c r="H2029">
        <f>Table1[[#This Row],[Qty]]*Table1[[#This Row],[SellingPrice]]</f>
        <v>120000</v>
      </c>
      <c r="I2029">
        <f>Table1[[#This Row],[Qty]]*Table1[[#This Row],[CostPrice]]</f>
        <v>62000</v>
      </c>
      <c r="J2029">
        <v>57594</v>
      </c>
      <c r="K2029">
        <v>405.99999999999994</v>
      </c>
      <c r="L2029" t="s">
        <v>8</v>
      </c>
      <c r="M2029" t="s">
        <v>30</v>
      </c>
      <c r="N2029">
        <f>MONTH(Table1[[#This Row],[SaleDate]])</f>
        <v>8</v>
      </c>
      <c r="O2029" t="str">
        <f>TEXT(Table1[[#This Row],[SaleDate]],"MMM")</f>
        <v>Aug</v>
      </c>
    </row>
    <row r="2030" spans="1:15">
      <c r="A2030" s="1">
        <v>45159</v>
      </c>
      <c r="B2030" t="s">
        <v>23</v>
      </c>
      <c r="C2030" t="s">
        <v>19</v>
      </c>
      <c r="D2030">
        <v>2</v>
      </c>
      <c r="E2030" t="s">
        <v>10</v>
      </c>
      <c r="F2030">
        <v>89000</v>
      </c>
      <c r="G2030">
        <v>65000</v>
      </c>
      <c r="H2030">
        <f>Table1[[#This Row],[Qty]]*Table1[[#This Row],[SellingPrice]]</f>
        <v>178000</v>
      </c>
      <c r="I2030">
        <f>Table1[[#This Row],[Qty]]*Table1[[#This Row],[CostPrice]]</f>
        <v>130000</v>
      </c>
      <c r="J2030">
        <v>47664</v>
      </c>
      <c r="K2030">
        <v>335.99999999999994</v>
      </c>
      <c r="L2030" t="s">
        <v>8</v>
      </c>
      <c r="M2030" t="s">
        <v>30</v>
      </c>
      <c r="N2030">
        <f>MONTH(Table1[[#This Row],[SaleDate]])</f>
        <v>8</v>
      </c>
      <c r="O2030" t="str">
        <f>TEXT(Table1[[#This Row],[SaleDate]],"MMM")</f>
        <v>Aug</v>
      </c>
    </row>
    <row r="2031" spans="1:15">
      <c r="A2031" s="1">
        <v>45159</v>
      </c>
      <c r="B2031" t="s">
        <v>26</v>
      </c>
      <c r="C2031" t="s">
        <v>20</v>
      </c>
      <c r="D2031">
        <v>2</v>
      </c>
      <c r="E2031" t="s">
        <v>9</v>
      </c>
      <c r="F2031">
        <v>60000</v>
      </c>
      <c r="G2031">
        <v>31000</v>
      </c>
      <c r="H2031">
        <f>Table1[[#This Row],[Qty]]*Table1[[#This Row],[SellingPrice]]</f>
        <v>120000</v>
      </c>
      <c r="I2031">
        <f>Table1[[#This Row],[Qty]]*Table1[[#This Row],[CostPrice]]</f>
        <v>62000</v>
      </c>
      <c r="J2031">
        <v>57594</v>
      </c>
      <c r="K2031">
        <v>405.99999999999994</v>
      </c>
      <c r="L2031" t="s">
        <v>11</v>
      </c>
      <c r="M2031" t="s">
        <v>27</v>
      </c>
      <c r="N2031">
        <f>MONTH(Table1[[#This Row],[SaleDate]])</f>
        <v>8</v>
      </c>
      <c r="O2031" t="str">
        <f>TEXT(Table1[[#This Row],[SaleDate]],"MMM")</f>
        <v>Aug</v>
      </c>
    </row>
    <row r="2032" spans="1:15">
      <c r="A2032" s="1">
        <v>45159</v>
      </c>
      <c r="B2032" t="s">
        <v>24</v>
      </c>
      <c r="C2032" t="s">
        <v>22</v>
      </c>
      <c r="D2032">
        <v>2</v>
      </c>
      <c r="E2032" t="s">
        <v>7</v>
      </c>
      <c r="F2032">
        <v>33000</v>
      </c>
      <c r="G2032">
        <v>18000</v>
      </c>
      <c r="H2032">
        <f>Table1[[#This Row],[Qty]]*Table1[[#This Row],[SellingPrice]]</f>
        <v>66000</v>
      </c>
      <c r="I2032">
        <f>Table1[[#This Row],[Qty]]*Table1[[#This Row],[CostPrice]]</f>
        <v>36000</v>
      </c>
      <c r="J2032">
        <v>29790</v>
      </c>
      <c r="K2032">
        <v>209.99999999999997</v>
      </c>
      <c r="L2032" t="s">
        <v>12</v>
      </c>
      <c r="M2032" t="s">
        <v>30</v>
      </c>
      <c r="N2032">
        <f>MONTH(Table1[[#This Row],[SaleDate]])</f>
        <v>8</v>
      </c>
      <c r="O2032" t="str">
        <f>TEXT(Table1[[#This Row],[SaleDate]],"MMM")</f>
        <v>Aug</v>
      </c>
    </row>
    <row r="2033" spans="1:15">
      <c r="A2033" s="1">
        <v>45159</v>
      </c>
      <c r="B2033" t="s">
        <v>24</v>
      </c>
      <c r="C2033" t="s">
        <v>22</v>
      </c>
      <c r="D2033">
        <v>2</v>
      </c>
      <c r="E2033" t="s">
        <v>10</v>
      </c>
      <c r="F2033">
        <v>89000</v>
      </c>
      <c r="G2033">
        <v>65000</v>
      </c>
      <c r="H2033">
        <f>Table1[[#This Row],[Qty]]*Table1[[#This Row],[SellingPrice]]</f>
        <v>178000</v>
      </c>
      <c r="I2033">
        <f>Table1[[#This Row],[Qty]]*Table1[[#This Row],[CostPrice]]</f>
        <v>130000</v>
      </c>
      <c r="J2033">
        <v>47664</v>
      </c>
      <c r="K2033">
        <v>335.99999999999994</v>
      </c>
      <c r="L2033" t="s">
        <v>12</v>
      </c>
      <c r="M2033" t="s">
        <v>29</v>
      </c>
      <c r="N2033">
        <f>MONTH(Table1[[#This Row],[SaleDate]])</f>
        <v>8</v>
      </c>
      <c r="O2033" t="str">
        <f>TEXT(Table1[[#This Row],[SaleDate]],"MMM")</f>
        <v>Aug</v>
      </c>
    </row>
    <row r="2034" spans="1:15">
      <c r="A2034" s="1">
        <v>45159</v>
      </c>
      <c r="B2034" t="s">
        <v>25</v>
      </c>
      <c r="C2034" t="s">
        <v>21</v>
      </c>
      <c r="D2034">
        <v>2</v>
      </c>
      <c r="E2034" t="s">
        <v>7</v>
      </c>
      <c r="F2034">
        <v>33000</v>
      </c>
      <c r="G2034">
        <v>18000</v>
      </c>
      <c r="H2034">
        <f>Table1[[#This Row],[Qty]]*Table1[[#This Row],[SellingPrice]]</f>
        <v>66000</v>
      </c>
      <c r="I2034">
        <f>Table1[[#This Row],[Qty]]*Table1[[#This Row],[CostPrice]]</f>
        <v>36000</v>
      </c>
      <c r="J2034">
        <v>29790</v>
      </c>
      <c r="K2034">
        <v>209.99999999999997</v>
      </c>
      <c r="L2034" t="s">
        <v>13</v>
      </c>
      <c r="M2034" t="s">
        <v>29</v>
      </c>
      <c r="N2034">
        <f>MONTH(Table1[[#This Row],[SaleDate]])</f>
        <v>8</v>
      </c>
      <c r="O2034" t="str">
        <f>TEXT(Table1[[#This Row],[SaleDate]],"MMM")</f>
        <v>Aug</v>
      </c>
    </row>
    <row r="2035" spans="1:15">
      <c r="A2035" s="1">
        <v>45159</v>
      </c>
      <c r="B2035" t="s">
        <v>25</v>
      </c>
      <c r="C2035" t="s">
        <v>21</v>
      </c>
      <c r="D2035">
        <v>2</v>
      </c>
      <c r="E2035" t="s">
        <v>9</v>
      </c>
      <c r="F2035">
        <v>60000</v>
      </c>
      <c r="G2035">
        <v>31000</v>
      </c>
      <c r="H2035">
        <f>Table1[[#This Row],[Qty]]*Table1[[#This Row],[SellingPrice]]</f>
        <v>120000</v>
      </c>
      <c r="I2035">
        <f>Table1[[#This Row],[Qty]]*Table1[[#This Row],[CostPrice]]</f>
        <v>62000</v>
      </c>
      <c r="J2035">
        <v>57594</v>
      </c>
      <c r="K2035">
        <v>405.99999999999994</v>
      </c>
      <c r="L2035" t="s">
        <v>13</v>
      </c>
      <c r="M2035" t="s">
        <v>30</v>
      </c>
      <c r="N2035">
        <f>MONTH(Table1[[#This Row],[SaleDate]])</f>
        <v>8</v>
      </c>
      <c r="O2035" t="str">
        <f>TEXT(Table1[[#This Row],[SaleDate]],"MMM")</f>
        <v>Aug</v>
      </c>
    </row>
    <row r="2036" spans="1:15">
      <c r="A2036" s="1">
        <v>45159</v>
      </c>
      <c r="B2036" t="s">
        <v>25</v>
      </c>
      <c r="C2036" t="s">
        <v>21</v>
      </c>
      <c r="D2036">
        <v>2</v>
      </c>
      <c r="E2036" t="s">
        <v>10</v>
      </c>
      <c r="F2036">
        <v>89000</v>
      </c>
      <c r="G2036">
        <v>65000</v>
      </c>
      <c r="H2036">
        <f>Table1[[#This Row],[Qty]]*Table1[[#This Row],[SellingPrice]]</f>
        <v>178000</v>
      </c>
      <c r="I2036">
        <f>Table1[[#This Row],[Qty]]*Table1[[#This Row],[CostPrice]]</f>
        <v>130000</v>
      </c>
      <c r="J2036">
        <v>47664</v>
      </c>
      <c r="K2036">
        <v>335.99999999999994</v>
      </c>
      <c r="L2036" t="s">
        <v>13</v>
      </c>
      <c r="M2036" t="s">
        <v>27</v>
      </c>
      <c r="N2036">
        <f>MONTH(Table1[[#This Row],[SaleDate]])</f>
        <v>8</v>
      </c>
      <c r="O2036" t="str">
        <f>TEXT(Table1[[#This Row],[SaleDate]],"MMM")</f>
        <v>Aug</v>
      </c>
    </row>
    <row r="2037" spans="1:15">
      <c r="A2037" s="1">
        <v>45160</v>
      </c>
      <c r="B2037" t="s">
        <v>23</v>
      </c>
      <c r="C2037" t="s">
        <v>19</v>
      </c>
      <c r="D2037">
        <v>2</v>
      </c>
      <c r="E2037" t="s">
        <v>7</v>
      </c>
      <c r="F2037">
        <v>33000</v>
      </c>
      <c r="G2037">
        <v>18000</v>
      </c>
      <c r="H2037">
        <f>Table1[[#This Row],[Qty]]*Table1[[#This Row],[SellingPrice]]</f>
        <v>66000</v>
      </c>
      <c r="I2037">
        <f>Table1[[#This Row],[Qty]]*Table1[[#This Row],[CostPrice]]</f>
        <v>36000</v>
      </c>
      <c r="J2037">
        <v>29790</v>
      </c>
      <c r="K2037">
        <v>209.99999999999997</v>
      </c>
      <c r="L2037" t="s">
        <v>8</v>
      </c>
      <c r="M2037" t="s">
        <v>30</v>
      </c>
      <c r="N2037">
        <f>MONTH(Table1[[#This Row],[SaleDate]])</f>
        <v>8</v>
      </c>
      <c r="O2037" t="str">
        <f>TEXT(Table1[[#This Row],[SaleDate]],"MMM")</f>
        <v>Aug</v>
      </c>
    </row>
    <row r="2038" spans="1:15">
      <c r="A2038" s="1">
        <v>45160</v>
      </c>
      <c r="B2038" t="s">
        <v>23</v>
      </c>
      <c r="C2038" t="s">
        <v>19</v>
      </c>
      <c r="D2038">
        <v>2</v>
      </c>
      <c r="E2038" t="s">
        <v>9</v>
      </c>
      <c r="F2038">
        <v>60000</v>
      </c>
      <c r="G2038">
        <v>31000</v>
      </c>
      <c r="H2038">
        <f>Table1[[#This Row],[Qty]]*Table1[[#This Row],[SellingPrice]]</f>
        <v>120000</v>
      </c>
      <c r="I2038">
        <f>Table1[[#This Row],[Qty]]*Table1[[#This Row],[CostPrice]]</f>
        <v>62000</v>
      </c>
      <c r="J2038">
        <v>57594</v>
      </c>
      <c r="K2038">
        <v>405.99999999999994</v>
      </c>
      <c r="L2038" t="s">
        <v>8</v>
      </c>
      <c r="M2038" t="s">
        <v>30</v>
      </c>
      <c r="N2038">
        <f>MONTH(Table1[[#This Row],[SaleDate]])</f>
        <v>8</v>
      </c>
      <c r="O2038" t="str">
        <f>TEXT(Table1[[#This Row],[SaleDate]],"MMM")</f>
        <v>Aug</v>
      </c>
    </row>
    <row r="2039" spans="1:15">
      <c r="A2039" s="1">
        <v>45160</v>
      </c>
      <c r="B2039" t="s">
        <v>23</v>
      </c>
      <c r="C2039" t="s">
        <v>19</v>
      </c>
      <c r="D2039">
        <v>2</v>
      </c>
      <c r="E2039" t="s">
        <v>10</v>
      </c>
      <c r="F2039">
        <v>89000</v>
      </c>
      <c r="G2039">
        <v>65000</v>
      </c>
      <c r="H2039">
        <f>Table1[[#This Row],[Qty]]*Table1[[#This Row],[SellingPrice]]</f>
        <v>178000</v>
      </c>
      <c r="I2039">
        <f>Table1[[#This Row],[Qty]]*Table1[[#This Row],[CostPrice]]</f>
        <v>130000</v>
      </c>
      <c r="J2039">
        <v>47664</v>
      </c>
      <c r="K2039">
        <v>335.99999999999994</v>
      </c>
      <c r="L2039" t="s">
        <v>8</v>
      </c>
      <c r="M2039" t="s">
        <v>30</v>
      </c>
      <c r="N2039">
        <f>MONTH(Table1[[#This Row],[SaleDate]])</f>
        <v>8</v>
      </c>
      <c r="O2039" t="str">
        <f>TEXT(Table1[[#This Row],[SaleDate]],"MMM")</f>
        <v>Aug</v>
      </c>
    </row>
    <row r="2040" spans="1:15">
      <c r="A2040" s="1">
        <v>45160</v>
      </c>
      <c r="B2040" t="s">
        <v>26</v>
      </c>
      <c r="C2040" t="s">
        <v>20</v>
      </c>
      <c r="D2040">
        <v>2</v>
      </c>
      <c r="E2040" t="s">
        <v>9</v>
      </c>
      <c r="F2040">
        <v>60000</v>
      </c>
      <c r="G2040">
        <v>31000</v>
      </c>
      <c r="H2040">
        <f>Table1[[#This Row],[Qty]]*Table1[[#This Row],[SellingPrice]]</f>
        <v>120000</v>
      </c>
      <c r="I2040">
        <f>Table1[[#This Row],[Qty]]*Table1[[#This Row],[CostPrice]]</f>
        <v>62000</v>
      </c>
      <c r="J2040">
        <v>57594</v>
      </c>
      <c r="K2040">
        <v>405.99999999999994</v>
      </c>
      <c r="L2040" t="s">
        <v>11</v>
      </c>
      <c r="M2040" t="s">
        <v>30</v>
      </c>
      <c r="N2040">
        <f>MONTH(Table1[[#This Row],[SaleDate]])</f>
        <v>8</v>
      </c>
      <c r="O2040" t="str">
        <f>TEXT(Table1[[#This Row],[SaleDate]],"MMM")</f>
        <v>Aug</v>
      </c>
    </row>
    <row r="2041" spans="1:15">
      <c r="A2041" s="1">
        <v>45160</v>
      </c>
      <c r="B2041" t="s">
        <v>24</v>
      </c>
      <c r="C2041" t="s">
        <v>22</v>
      </c>
      <c r="D2041">
        <v>2</v>
      </c>
      <c r="E2041" t="s">
        <v>7</v>
      </c>
      <c r="F2041">
        <v>33000</v>
      </c>
      <c r="G2041">
        <v>18000</v>
      </c>
      <c r="H2041">
        <f>Table1[[#This Row],[Qty]]*Table1[[#This Row],[SellingPrice]]</f>
        <v>66000</v>
      </c>
      <c r="I2041">
        <f>Table1[[#This Row],[Qty]]*Table1[[#This Row],[CostPrice]]</f>
        <v>36000</v>
      </c>
      <c r="J2041">
        <v>29790</v>
      </c>
      <c r="K2041">
        <v>209.99999999999997</v>
      </c>
      <c r="L2041" t="s">
        <v>12</v>
      </c>
      <c r="M2041" t="s">
        <v>30</v>
      </c>
      <c r="N2041">
        <f>MONTH(Table1[[#This Row],[SaleDate]])</f>
        <v>8</v>
      </c>
      <c r="O2041" t="str">
        <f>TEXT(Table1[[#This Row],[SaleDate]],"MMM")</f>
        <v>Aug</v>
      </c>
    </row>
    <row r="2042" spans="1:15">
      <c r="A2042" s="1">
        <v>45160</v>
      </c>
      <c r="B2042" t="s">
        <v>24</v>
      </c>
      <c r="C2042" t="s">
        <v>22</v>
      </c>
      <c r="D2042">
        <v>2</v>
      </c>
      <c r="E2042" t="s">
        <v>9</v>
      </c>
      <c r="F2042">
        <v>60000</v>
      </c>
      <c r="G2042">
        <v>31000</v>
      </c>
      <c r="H2042">
        <f>Table1[[#This Row],[Qty]]*Table1[[#This Row],[SellingPrice]]</f>
        <v>120000</v>
      </c>
      <c r="I2042">
        <f>Table1[[#This Row],[Qty]]*Table1[[#This Row],[CostPrice]]</f>
        <v>62000</v>
      </c>
      <c r="J2042">
        <v>57594</v>
      </c>
      <c r="K2042">
        <v>405.99999999999994</v>
      </c>
      <c r="L2042" t="s">
        <v>12</v>
      </c>
      <c r="M2042" t="s">
        <v>29</v>
      </c>
      <c r="N2042">
        <f>MONTH(Table1[[#This Row],[SaleDate]])</f>
        <v>8</v>
      </c>
      <c r="O2042" t="str">
        <f>TEXT(Table1[[#This Row],[SaleDate]],"MMM")</f>
        <v>Aug</v>
      </c>
    </row>
    <row r="2043" spans="1:15">
      <c r="A2043" s="1">
        <v>45160</v>
      </c>
      <c r="B2043" t="s">
        <v>24</v>
      </c>
      <c r="C2043" t="s">
        <v>22</v>
      </c>
      <c r="D2043">
        <v>2</v>
      </c>
      <c r="E2043" t="s">
        <v>10</v>
      </c>
      <c r="F2043">
        <v>89000</v>
      </c>
      <c r="G2043">
        <v>65000</v>
      </c>
      <c r="H2043">
        <f>Table1[[#This Row],[Qty]]*Table1[[#This Row],[SellingPrice]]</f>
        <v>178000</v>
      </c>
      <c r="I2043">
        <f>Table1[[#This Row],[Qty]]*Table1[[#This Row],[CostPrice]]</f>
        <v>130000</v>
      </c>
      <c r="J2043">
        <v>47664</v>
      </c>
      <c r="K2043">
        <v>335.99999999999994</v>
      </c>
      <c r="L2043" t="s">
        <v>12</v>
      </c>
      <c r="M2043" t="s">
        <v>30</v>
      </c>
      <c r="N2043">
        <f>MONTH(Table1[[#This Row],[SaleDate]])</f>
        <v>8</v>
      </c>
      <c r="O2043" t="str">
        <f>TEXT(Table1[[#This Row],[SaleDate]],"MMM")</f>
        <v>Aug</v>
      </c>
    </row>
    <row r="2044" spans="1:15">
      <c r="A2044" s="1">
        <v>45160</v>
      </c>
      <c r="B2044" t="s">
        <v>25</v>
      </c>
      <c r="C2044" t="s">
        <v>21</v>
      </c>
      <c r="D2044">
        <v>2</v>
      </c>
      <c r="E2044" t="s">
        <v>7</v>
      </c>
      <c r="F2044">
        <v>33000</v>
      </c>
      <c r="G2044">
        <v>18000</v>
      </c>
      <c r="H2044">
        <f>Table1[[#This Row],[Qty]]*Table1[[#This Row],[SellingPrice]]</f>
        <v>66000</v>
      </c>
      <c r="I2044">
        <f>Table1[[#This Row],[Qty]]*Table1[[#This Row],[CostPrice]]</f>
        <v>36000</v>
      </c>
      <c r="J2044">
        <v>29790</v>
      </c>
      <c r="K2044">
        <v>209.99999999999997</v>
      </c>
      <c r="L2044" t="s">
        <v>13</v>
      </c>
      <c r="M2044" t="s">
        <v>30</v>
      </c>
      <c r="N2044">
        <f>MONTH(Table1[[#This Row],[SaleDate]])</f>
        <v>8</v>
      </c>
      <c r="O2044" t="str">
        <f>TEXT(Table1[[#This Row],[SaleDate]],"MMM")</f>
        <v>Aug</v>
      </c>
    </row>
    <row r="2045" spans="1:15">
      <c r="A2045" s="1">
        <v>45160</v>
      </c>
      <c r="B2045" t="s">
        <v>25</v>
      </c>
      <c r="C2045" t="s">
        <v>21</v>
      </c>
      <c r="D2045">
        <v>2</v>
      </c>
      <c r="E2045" t="s">
        <v>9</v>
      </c>
      <c r="F2045">
        <v>60000</v>
      </c>
      <c r="G2045">
        <v>31000</v>
      </c>
      <c r="H2045">
        <f>Table1[[#This Row],[Qty]]*Table1[[#This Row],[SellingPrice]]</f>
        <v>120000</v>
      </c>
      <c r="I2045">
        <f>Table1[[#This Row],[Qty]]*Table1[[#This Row],[CostPrice]]</f>
        <v>62000</v>
      </c>
      <c r="J2045">
        <v>57594</v>
      </c>
      <c r="K2045">
        <v>405.99999999999994</v>
      </c>
      <c r="L2045" t="s">
        <v>13</v>
      </c>
      <c r="M2045" t="s">
        <v>28</v>
      </c>
      <c r="N2045">
        <f>MONTH(Table1[[#This Row],[SaleDate]])</f>
        <v>8</v>
      </c>
      <c r="O2045" t="str">
        <f>TEXT(Table1[[#This Row],[SaleDate]],"MMM")</f>
        <v>Aug</v>
      </c>
    </row>
    <row r="2046" spans="1:15">
      <c r="A2046" s="1">
        <v>45160</v>
      </c>
      <c r="B2046" t="s">
        <v>25</v>
      </c>
      <c r="C2046" t="s">
        <v>21</v>
      </c>
      <c r="D2046">
        <v>2</v>
      </c>
      <c r="E2046" t="s">
        <v>10</v>
      </c>
      <c r="F2046">
        <v>89000</v>
      </c>
      <c r="G2046">
        <v>65000</v>
      </c>
      <c r="H2046">
        <f>Table1[[#This Row],[Qty]]*Table1[[#This Row],[SellingPrice]]</f>
        <v>178000</v>
      </c>
      <c r="I2046">
        <f>Table1[[#This Row],[Qty]]*Table1[[#This Row],[CostPrice]]</f>
        <v>130000</v>
      </c>
      <c r="J2046">
        <v>47664</v>
      </c>
      <c r="K2046">
        <v>335.99999999999994</v>
      </c>
      <c r="L2046" t="s">
        <v>13</v>
      </c>
      <c r="M2046" t="s">
        <v>27</v>
      </c>
      <c r="N2046">
        <f>MONTH(Table1[[#This Row],[SaleDate]])</f>
        <v>8</v>
      </c>
      <c r="O2046" t="str">
        <f>TEXT(Table1[[#This Row],[SaleDate]],"MMM")</f>
        <v>Aug</v>
      </c>
    </row>
    <row r="2047" spans="1:15">
      <c r="A2047" s="1">
        <v>45161</v>
      </c>
      <c r="B2047" t="s">
        <v>23</v>
      </c>
      <c r="C2047" t="s">
        <v>19</v>
      </c>
      <c r="D2047">
        <v>2</v>
      </c>
      <c r="E2047" t="s">
        <v>7</v>
      </c>
      <c r="F2047">
        <v>33000</v>
      </c>
      <c r="G2047">
        <v>18000</v>
      </c>
      <c r="H2047">
        <f>Table1[[#This Row],[Qty]]*Table1[[#This Row],[SellingPrice]]</f>
        <v>66000</v>
      </c>
      <c r="I2047">
        <f>Table1[[#This Row],[Qty]]*Table1[[#This Row],[CostPrice]]</f>
        <v>36000</v>
      </c>
      <c r="J2047">
        <v>29790</v>
      </c>
      <c r="K2047">
        <v>209.99999999999997</v>
      </c>
      <c r="L2047" t="s">
        <v>8</v>
      </c>
      <c r="M2047" t="s">
        <v>30</v>
      </c>
      <c r="N2047">
        <f>MONTH(Table1[[#This Row],[SaleDate]])</f>
        <v>8</v>
      </c>
      <c r="O2047" t="str">
        <f>TEXT(Table1[[#This Row],[SaleDate]],"MMM")</f>
        <v>Aug</v>
      </c>
    </row>
    <row r="2048" spans="1:15">
      <c r="A2048" s="1">
        <v>45161</v>
      </c>
      <c r="B2048" t="s">
        <v>23</v>
      </c>
      <c r="C2048" t="s">
        <v>19</v>
      </c>
      <c r="D2048">
        <v>2</v>
      </c>
      <c r="E2048" t="s">
        <v>9</v>
      </c>
      <c r="F2048">
        <v>60000</v>
      </c>
      <c r="G2048">
        <v>31000</v>
      </c>
      <c r="H2048">
        <f>Table1[[#This Row],[Qty]]*Table1[[#This Row],[SellingPrice]]</f>
        <v>120000</v>
      </c>
      <c r="I2048">
        <f>Table1[[#This Row],[Qty]]*Table1[[#This Row],[CostPrice]]</f>
        <v>62000</v>
      </c>
      <c r="J2048">
        <v>57594</v>
      </c>
      <c r="K2048">
        <v>405.99999999999994</v>
      </c>
      <c r="L2048" t="s">
        <v>8</v>
      </c>
      <c r="M2048" t="s">
        <v>30</v>
      </c>
      <c r="N2048">
        <f>MONTH(Table1[[#This Row],[SaleDate]])</f>
        <v>8</v>
      </c>
      <c r="O2048" t="str">
        <f>TEXT(Table1[[#This Row],[SaleDate]],"MMM")</f>
        <v>Aug</v>
      </c>
    </row>
    <row r="2049" spans="1:15">
      <c r="A2049" s="1">
        <v>45161</v>
      </c>
      <c r="B2049" t="s">
        <v>23</v>
      </c>
      <c r="C2049" t="s">
        <v>19</v>
      </c>
      <c r="D2049">
        <v>2</v>
      </c>
      <c r="E2049" t="s">
        <v>10</v>
      </c>
      <c r="F2049">
        <v>89000</v>
      </c>
      <c r="G2049">
        <v>65000</v>
      </c>
      <c r="H2049">
        <f>Table1[[#This Row],[Qty]]*Table1[[#This Row],[SellingPrice]]</f>
        <v>178000</v>
      </c>
      <c r="I2049">
        <f>Table1[[#This Row],[Qty]]*Table1[[#This Row],[CostPrice]]</f>
        <v>130000</v>
      </c>
      <c r="J2049">
        <v>47664</v>
      </c>
      <c r="K2049">
        <v>335.99999999999994</v>
      </c>
      <c r="L2049" t="s">
        <v>8</v>
      </c>
      <c r="M2049" t="s">
        <v>29</v>
      </c>
      <c r="N2049">
        <f>MONTH(Table1[[#This Row],[SaleDate]])</f>
        <v>8</v>
      </c>
      <c r="O2049" t="str">
        <f>TEXT(Table1[[#This Row],[SaleDate]],"MMM")</f>
        <v>Aug</v>
      </c>
    </row>
    <row r="2050" spans="1:15">
      <c r="A2050" s="1">
        <v>45161</v>
      </c>
      <c r="B2050" t="s">
        <v>26</v>
      </c>
      <c r="C2050" t="s">
        <v>20</v>
      </c>
      <c r="D2050">
        <v>2</v>
      </c>
      <c r="E2050" t="s">
        <v>9</v>
      </c>
      <c r="F2050">
        <v>60000</v>
      </c>
      <c r="G2050">
        <v>31000</v>
      </c>
      <c r="H2050">
        <f>Table1[[#This Row],[Qty]]*Table1[[#This Row],[SellingPrice]]</f>
        <v>120000</v>
      </c>
      <c r="I2050">
        <f>Table1[[#This Row],[Qty]]*Table1[[#This Row],[CostPrice]]</f>
        <v>62000</v>
      </c>
      <c r="J2050">
        <v>57594</v>
      </c>
      <c r="K2050">
        <v>405.99999999999994</v>
      </c>
      <c r="L2050" t="s">
        <v>11</v>
      </c>
      <c r="M2050" t="s">
        <v>30</v>
      </c>
      <c r="N2050">
        <f>MONTH(Table1[[#This Row],[SaleDate]])</f>
        <v>8</v>
      </c>
      <c r="O2050" t="str">
        <f>TEXT(Table1[[#This Row],[SaleDate]],"MMM")</f>
        <v>Aug</v>
      </c>
    </row>
    <row r="2051" spans="1:15">
      <c r="A2051" s="1">
        <v>45161</v>
      </c>
      <c r="B2051" t="s">
        <v>24</v>
      </c>
      <c r="C2051" t="s">
        <v>22</v>
      </c>
      <c r="D2051">
        <v>2</v>
      </c>
      <c r="E2051" t="s">
        <v>7</v>
      </c>
      <c r="F2051">
        <v>33000</v>
      </c>
      <c r="G2051">
        <v>18000</v>
      </c>
      <c r="H2051">
        <f>Table1[[#This Row],[Qty]]*Table1[[#This Row],[SellingPrice]]</f>
        <v>66000</v>
      </c>
      <c r="I2051">
        <f>Table1[[#This Row],[Qty]]*Table1[[#This Row],[CostPrice]]</f>
        <v>36000</v>
      </c>
      <c r="J2051">
        <v>29790</v>
      </c>
      <c r="K2051">
        <v>209.99999999999997</v>
      </c>
      <c r="L2051" t="s">
        <v>12</v>
      </c>
      <c r="M2051" t="s">
        <v>29</v>
      </c>
      <c r="N2051">
        <f>MONTH(Table1[[#This Row],[SaleDate]])</f>
        <v>8</v>
      </c>
      <c r="O2051" t="str">
        <f>TEXT(Table1[[#This Row],[SaleDate]],"MMM")</f>
        <v>Aug</v>
      </c>
    </row>
    <row r="2052" spans="1:15">
      <c r="A2052" s="1">
        <v>45161</v>
      </c>
      <c r="B2052" t="s">
        <v>24</v>
      </c>
      <c r="C2052" t="s">
        <v>22</v>
      </c>
      <c r="D2052">
        <v>2</v>
      </c>
      <c r="E2052" t="s">
        <v>9</v>
      </c>
      <c r="F2052">
        <v>60000</v>
      </c>
      <c r="G2052">
        <v>31000</v>
      </c>
      <c r="H2052">
        <f>Table1[[#This Row],[Qty]]*Table1[[#This Row],[SellingPrice]]</f>
        <v>120000</v>
      </c>
      <c r="I2052">
        <f>Table1[[#This Row],[Qty]]*Table1[[#This Row],[CostPrice]]</f>
        <v>62000</v>
      </c>
      <c r="J2052">
        <v>57594</v>
      </c>
      <c r="K2052">
        <v>405.99999999999994</v>
      </c>
      <c r="L2052" t="s">
        <v>12</v>
      </c>
      <c r="M2052" t="s">
        <v>30</v>
      </c>
      <c r="N2052">
        <f>MONTH(Table1[[#This Row],[SaleDate]])</f>
        <v>8</v>
      </c>
      <c r="O2052" t="str">
        <f>TEXT(Table1[[#This Row],[SaleDate]],"MMM")</f>
        <v>Aug</v>
      </c>
    </row>
    <row r="2053" spans="1:15">
      <c r="A2053" s="1">
        <v>45161</v>
      </c>
      <c r="B2053" t="s">
        <v>24</v>
      </c>
      <c r="C2053" t="s">
        <v>22</v>
      </c>
      <c r="D2053">
        <v>2</v>
      </c>
      <c r="E2053" t="s">
        <v>10</v>
      </c>
      <c r="F2053">
        <v>89000</v>
      </c>
      <c r="G2053">
        <v>65000</v>
      </c>
      <c r="H2053">
        <f>Table1[[#This Row],[Qty]]*Table1[[#This Row],[SellingPrice]]</f>
        <v>178000</v>
      </c>
      <c r="I2053">
        <f>Table1[[#This Row],[Qty]]*Table1[[#This Row],[CostPrice]]</f>
        <v>130000</v>
      </c>
      <c r="J2053">
        <v>47664</v>
      </c>
      <c r="K2053">
        <v>335.99999999999994</v>
      </c>
      <c r="L2053" t="s">
        <v>12</v>
      </c>
      <c r="M2053" t="s">
        <v>29</v>
      </c>
      <c r="N2053">
        <f>MONTH(Table1[[#This Row],[SaleDate]])</f>
        <v>8</v>
      </c>
      <c r="O2053" t="str">
        <f>TEXT(Table1[[#This Row],[SaleDate]],"MMM")</f>
        <v>Aug</v>
      </c>
    </row>
    <row r="2054" spans="1:15">
      <c r="A2054" s="1">
        <v>45161</v>
      </c>
      <c r="B2054" t="s">
        <v>25</v>
      </c>
      <c r="C2054" t="s">
        <v>21</v>
      </c>
      <c r="D2054">
        <v>2</v>
      </c>
      <c r="E2054" t="s">
        <v>7</v>
      </c>
      <c r="F2054">
        <v>33000</v>
      </c>
      <c r="G2054">
        <v>18000</v>
      </c>
      <c r="H2054">
        <f>Table1[[#This Row],[Qty]]*Table1[[#This Row],[SellingPrice]]</f>
        <v>66000</v>
      </c>
      <c r="I2054">
        <f>Table1[[#This Row],[Qty]]*Table1[[#This Row],[CostPrice]]</f>
        <v>36000</v>
      </c>
      <c r="J2054">
        <v>29790</v>
      </c>
      <c r="K2054">
        <v>209.99999999999997</v>
      </c>
      <c r="L2054" t="s">
        <v>13</v>
      </c>
      <c r="M2054" t="s">
        <v>29</v>
      </c>
      <c r="N2054">
        <f>MONTH(Table1[[#This Row],[SaleDate]])</f>
        <v>8</v>
      </c>
      <c r="O2054" t="str">
        <f>TEXT(Table1[[#This Row],[SaleDate]],"MMM")</f>
        <v>Aug</v>
      </c>
    </row>
    <row r="2055" spans="1:15">
      <c r="A2055" s="1">
        <v>45161</v>
      </c>
      <c r="B2055" t="s">
        <v>25</v>
      </c>
      <c r="C2055" t="s">
        <v>21</v>
      </c>
      <c r="D2055">
        <v>2</v>
      </c>
      <c r="E2055" t="s">
        <v>9</v>
      </c>
      <c r="F2055">
        <v>60000</v>
      </c>
      <c r="G2055">
        <v>31000</v>
      </c>
      <c r="H2055">
        <f>Table1[[#This Row],[Qty]]*Table1[[#This Row],[SellingPrice]]</f>
        <v>120000</v>
      </c>
      <c r="I2055">
        <f>Table1[[#This Row],[Qty]]*Table1[[#This Row],[CostPrice]]</f>
        <v>62000</v>
      </c>
      <c r="J2055">
        <v>57594</v>
      </c>
      <c r="K2055">
        <v>405.99999999999994</v>
      </c>
      <c r="L2055" t="s">
        <v>13</v>
      </c>
      <c r="M2055" t="s">
        <v>30</v>
      </c>
      <c r="N2055">
        <f>MONTH(Table1[[#This Row],[SaleDate]])</f>
        <v>8</v>
      </c>
      <c r="O2055" t="str">
        <f>TEXT(Table1[[#This Row],[SaleDate]],"MMM")</f>
        <v>Aug</v>
      </c>
    </row>
    <row r="2056" spans="1:15">
      <c r="A2056" s="1">
        <v>45161</v>
      </c>
      <c r="B2056" t="s">
        <v>25</v>
      </c>
      <c r="C2056" t="s">
        <v>21</v>
      </c>
      <c r="D2056">
        <v>2</v>
      </c>
      <c r="E2056" t="s">
        <v>10</v>
      </c>
      <c r="F2056">
        <v>89000</v>
      </c>
      <c r="G2056">
        <v>65000</v>
      </c>
      <c r="H2056">
        <f>Table1[[#This Row],[Qty]]*Table1[[#This Row],[SellingPrice]]</f>
        <v>178000</v>
      </c>
      <c r="I2056">
        <f>Table1[[#This Row],[Qty]]*Table1[[#This Row],[CostPrice]]</f>
        <v>130000</v>
      </c>
      <c r="J2056">
        <v>47664</v>
      </c>
      <c r="K2056">
        <v>335.99999999999994</v>
      </c>
      <c r="L2056" t="s">
        <v>13</v>
      </c>
      <c r="M2056" t="s">
        <v>30</v>
      </c>
      <c r="N2056">
        <f>MONTH(Table1[[#This Row],[SaleDate]])</f>
        <v>8</v>
      </c>
      <c r="O2056" t="str">
        <f>TEXT(Table1[[#This Row],[SaleDate]],"MMM")</f>
        <v>Aug</v>
      </c>
    </row>
    <row r="2057" spans="1:15">
      <c r="A2057" s="1">
        <v>45162</v>
      </c>
      <c r="B2057" t="s">
        <v>23</v>
      </c>
      <c r="C2057" t="s">
        <v>19</v>
      </c>
      <c r="D2057">
        <v>1</v>
      </c>
      <c r="E2057" t="s">
        <v>7</v>
      </c>
      <c r="F2057">
        <v>33000</v>
      </c>
      <c r="G2057">
        <v>18000</v>
      </c>
      <c r="H2057">
        <f>Table1[[#This Row],[Qty]]*Table1[[#This Row],[SellingPrice]]</f>
        <v>33000</v>
      </c>
      <c r="I2057">
        <f>Table1[[#This Row],[Qty]]*Table1[[#This Row],[CostPrice]]</f>
        <v>18000</v>
      </c>
      <c r="J2057">
        <v>14895</v>
      </c>
      <c r="K2057">
        <v>104.99999999999999</v>
      </c>
      <c r="L2057" t="s">
        <v>8</v>
      </c>
      <c r="M2057" t="s">
        <v>30</v>
      </c>
      <c r="N2057">
        <f>MONTH(Table1[[#This Row],[SaleDate]])</f>
        <v>8</v>
      </c>
      <c r="O2057" t="str">
        <f>TEXT(Table1[[#This Row],[SaleDate]],"MMM")</f>
        <v>Aug</v>
      </c>
    </row>
    <row r="2058" spans="1:15">
      <c r="A2058" s="1">
        <v>45162</v>
      </c>
      <c r="B2058" t="s">
        <v>23</v>
      </c>
      <c r="C2058" t="s">
        <v>19</v>
      </c>
      <c r="D2058">
        <v>1</v>
      </c>
      <c r="E2058" t="s">
        <v>9</v>
      </c>
      <c r="F2058">
        <v>60000</v>
      </c>
      <c r="G2058">
        <v>31000</v>
      </c>
      <c r="H2058">
        <f>Table1[[#This Row],[Qty]]*Table1[[#This Row],[SellingPrice]]</f>
        <v>60000</v>
      </c>
      <c r="I2058">
        <f>Table1[[#This Row],[Qty]]*Table1[[#This Row],[CostPrice]]</f>
        <v>31000</v>
      </c>
      <c r="J2058">
        <v>28797</v>
      </c>
      <c r="K2058">
        <v>202.99999999999997</v>
      </c>
      <c r="L2058" t="s">
        <v>8</v>
      </c>
      <c r="M2058" t="s">
        <v>29</v>
      </c>
      <c r="N2058">
        <f>MONTH(Table1[[#This Row],[SaleDate]])</f>
        <v>8</v>
      </c>
      <c r="O2058" t="str">
        <f>TEXT(Table1[[#This Row],[SaleDate]],"MMM")</f>
        <v>Aug</v>
      </c>
    </row>
    <row r="2059" spans="1:15">
      <c r="A2059" s="1">
        <v>45162</v>
      </c>
      <c r="B2059" t="s">
        <v>23</v>
      </c>
      <c r="C2059" t="s">
        <v>19</v>
      </c>
      <c r="D2059">
        <v>1</v>
      </c>
      <c r="E2059" t="s">
        <v>10</v>
      </c>
      <c r="F2059">
        <v>89000</v>
      </c>
      <c r="G2059">
        <v>65000</v>
      </c>
      <c r="H2059">
        <f>Table1[[#This Row],[Qty]]*Table1[[#This Row],[SellingPrice]]</f>
        <v>89000</v>
      </c>
      <c r="I2059">
        <f>Table1[[#This Row],[Qty]]*Table1[[#This Row],[CostPrice]]</f>
        <v>65000</v>
      </c>
      <c r="J2059">
        <v>23832</v>
      </c>
      <c r="K2059">
        <v>167.99999999999997</v>
      </c>
      <c r="L2059" t="s">
        <v>8</v>
      </c>
      <c r="M2059" t="s">
        <v>29</v>
      </c>
      <c r="N2059">
        <f>MONTH(Table1[[#This Row],[SaleDate]])</f>
        <v>8</v>
      </c>
      <c r="O2059" t="str">
        <f>TEXT(Table1[[#This Row],[SaleDate]],"MMM")</f>
        <v>Aug</v>
      </c>
    </row>
    <row r="2060" spans="1:15">
      <c r="A2060" s="1">
        <v>45162</v>
      </c>
      <c r="B2060" t="s">
        <v>26</v>
      </c>
      <c r="C2060" t="s">
        <v>20</v>
      </c>
      <c r="D2060">
        <v>1</v>
      </c>
      <c r="E2060" t="s">
        <v>9</v>
      </c>
      <c r="F2060">
        <v>60000</v>
      </c>
      <c r="G2060">
        <v>31000</v>
      </c>
      <c r="H2060">
        <f>Table1[[#This Row],[Qty]]*Table1[[#This Row],[SellingPrice]]</f>
        <v>60000</v>
      </c>
      <c r="I2060">
        <f>Table1[[#This Row],[Qty]]*Table1[[#This Row],[CostPrice]]</f>
        <v>31000</v>
      </c>
      <c r="J2060">
        <v>28797</v>
      </c>
      <c r="K2060">
        <v>202.99999999999997</v>
      </c>
      <c r="L2060" t="s">
        <v>11</v>
      </c>
      <c r="M2060" t="s">
        <v>30</v>
      </c>
      <c r="N2060">
        <f>MONTH(Table1[[#This Row],[SaleDate]])</f>
        <v>8</v>
      </c>
      <c r="O2060" t="str">
        <f>TEXT(Table1[[#This Row],[SaleDate]],"MMM")</f>
        <v>Aug</v>
      </c>
    </row>
    <row r="2061" spans="1:15">
      <c r="A2061" s="1">
        <v>45162</v>
      </c>
      <c r="B2061" t="s">
        <v>24</v>
      </c>
      <c r="C2061" t="s">
        <v>22</v>
      </c>
      <c r="D2061">
        <v>1</v>
      </c>
      <c r="E2061" t="s">
        <v>7</v>
      </c>
      <c r="F2061">
        <v>33000</v>
      </c>
      <c r="G2061">
        <v>18000</v>
      </c>
      <c r="H2061">
        <f>Table1[[#This Row],[Qty]]*Table1[[#This Row],[SellingPrice]]</f>
        <v>33000</v>
      </c>
      <c r="I2061">
        <f>Table1[[#This Row],[Qty]]*Table1[[#This Row],[CostPrice]]</f>
        <v>18000</v>
      </c>
      <c r="J2061">
        <v>14895</v>
      </c>
      <c r="K2061">
        <v>104.99999999999999</v>
      </c>
      <c r="L2061" t="s">
        <v>12</v>
      </c>
      <c r="M2061" t="s">
        <v>29</v>
      </c>
      <c r="N2061">
        <f>MONTH(Table1[[#This Row],[SaleDate]])</f>
        <v>8</v>
      </c>
      <c r="O2061" t="str">
        <f>TEXT(Table1[[#This Row],[SaleDate]],"MMM")</f>
        <v>Aug</v>
      </c>
    </row>
    <row r="2062" spans="1:15">
      <c r="A2062" s="1">
        <v>45162</v>
      </c>
      <c r="B2062" t="s">
        <v>24</v>
      </c>
      <c r="C2062" t="s">
        <v>22</v>
      </c>
      <c r="D2062">
        <v>1</v>
      </c>
      <c r="E2062" t="s">
        <v>9</v>
      </c>
      <c r="F2062">
        <v>60000</v>
      </c>
      <c r="G2062">
        <v>31000</v>
      </c>
      <c r="H2062">
        <f>Table1[[#This Row],[Qty]]*Table1[[#This Row],[SellingPrice]]</f>
        <v>60000</v>
      </c>
      <c r="I2062">
        <f>Table1[[#This Row],[Qty]]*Table1[[#This Row],[CostPrice]]</f>
        <v>31000</v>
      </c>
      <c r="J2062">
        <v>28797</v>
      </c>
      <c r="K2062">
        <v>202.99999999999997</v>
      </c>
      <c r="L2062" t="s">
        <v>12</v>
      </c>
      <c r="M2062" t="s">
        <v>29</v>
      </c>
      <c r="N2062">
        <f>MONTH(Table1[[#This Row],[SaleDate]])</f>
        <v>8</v>
      </c>
      <c r="O2062" t="str">
        <f>TEXT(Table1[[#This Row],[SaleDate]],"MMM")</f>
        <v>Aug</v>
      </c>
    </row>
    <row r="2063" spans="1:15">
      <c r="A2063" s="1">
        <v>45162</v>
      </c>
      <c r="B2063" t="s">
        <v>24</v>
      </c>
      <c r="C2063" t="s">
        <v>22</v>
      </c>
      <c r="D2063">
        <v>1</v>
      </c>
      <c r="E2063" t="s">
        <v>10</v>
      </c>
      <c r="F2063">
        <v>89000</v>
      </c>
      <c r="G2063">
        <v>65000</v>
      </c>
      <c r="H2063">
        <f>Table1[[#This Row],[Qty]]*Table1[[#This Row],[SellingPrice]]</f>
        <v>89000</v>
      </c>
      <c r="I2063">
        <f>Table1[[#This Row],[Qty]]*Table1[[#This Row],[CostPrice]]</f>
        <v>65000</v>
      </c>
      <c r="J2063">
        <v>23832</v>
      </c>
      <c r="K2063">
        <v>167.99999999999997</v>
      </c>
      <c r="L2063" t="s">
        <v>12</v>
      </c>
      <c r="M2063" t="s">
        <v>30</v>
      </c>
      <c r="N2063">
        <f>MONTH(Table1[[#This Row],[SaleDate]])</f>
        <v>8</v>
      </c>
      <c r="O2063" t="str">
        <f>TEXT(Table1[[#This Row],[SaleDate]],"MMM")</f>
        <v>Aug</v>
      </c>
    </row>
    <row r="2064" spans="1:15">
      <c r="A2064" s="1">
        <v>45162</v>
      </c>
      <c r="B2064" t="s">
        <v>25</v>
      </c>
      <c r="C2064" t="s">
        <v>21</v>
      </c>
      <c r="D2064">
        <v>1</v>
      </c>
      <c r="E2064" t="s">
        <v>7</v>
      </c>
      <c r="F2064">
        <v>33000</v>
      </c>
      <c r="G2064">
        <v>18000</v>
      </c>
      <c r="H2064">
        <f>Table1[[#This Row],[Qty]]*Table1[[#This Row],[SellingPrice]]</f>
        <v>33000</v>
      </c>
      <c r="I2064">
        <f>Table1[[#This Row],[Qty]]*Table1[[#This Row],[CostPrice]]</f>
        <v>18000</v>
      </c>
      <c r="J2064">
        <v>14895</v>
      </c>
      <c r="K2064">
        <v>104.99999999999999</v>
      </c>
      <c r="L2064" t="s">
        <v>13</v>
      </c>
      <c r="M2064" t="s">
        <v>29</v>
      </c>
      <c r="N2064">
        <f>MONTH(Table1[[#This Row],[SaleDate]])</f>
        <v>8</v>
      </c>
      <c r="O2064" t="str">
        <f>TEXT(Table1[[#This Row],[SaleDate]],"MMM")</f>
        <v>Aug</v>
      </c>
    </row>
    <row r="2065" spans="1:15">
      <c r="A2065" s="1">
        <v>45162</v>
      </c>
      <c r="B2065" t="s">
        <v>25</v>
      </c>
      <c r="C2065" t="s">
        <v>21</v>
      </c>
      <c r="D2065">
        <v>1</v>
      </c>
      <c r="E2065" t="s">
        <v>9</v>
      </c>
      <c r="F2065">
        <v>60000</v>
      </c>
      <c r="G2065">
        <v>31000</v>
      </c>
      <c r="H2065">
        <f>Table1[[#This Row],[Qty]]*Table1[[#This Row],[SellingPrice]]</f>
        <v>60000</v>
      </c>
      <c r="I2065">
        <f>Table1[[#This Row],[Qty]]*Table1[[#This Row],[CostPrice]]</f>
        <v>31000</v>
      </c>
      <c r="J2065">
        <v>28797</v>
      </c>
      <c r="K2065">
        <v>202.99999999999997</v>
      </c>
      <c r="L2065" t="s">
        <v>13</v>
      </c>
      <c r="M2065" t="s">
        <v>30</v>
      </c>
      <c r="N2065">
        <f>MONTH(Table1[[#This Row],[SaleDate]])</f>
        <v>8</v>
      </c>
      <c r="O2065" t="str">
        <f>TEXT(Table1[[#This Row],[SaleDate]],"MMM")</f>
        <v>Aug</v>
      </c>
    </row>
    <row r="2066" spans="1:15">
      <c r="A2066" s="1">
        <v>45162</v>
      </c>
      <c r="B2066" t="s">
        <v>25</v>
      </c>
      <c r="C2066" t="s">
        <v>21</v>
      </c>
      <c r="D2066">
        <v>1</v>
      </c>
      <c r="E2066" t="s">
        <v>10</v>
      </c>
      <c r="F2066">
        <v>89000</v>
      </c>
      <c r="G2066">
        <v>65000</v>
      </c>
      <c r="H2066">
        <f>Table1[[#This Row],[Qty]]*Table1[[#This Row],[SellingPrice]]</f>
        <v>89000</v>
      </c>
      <c r="I2066">
        <f>Table1[[#This Row],[Qty]]*Table1[[#This Row],[CostPrice]]</f>
        <v>65000</v>
      </c>
      <c r="J2066">
        <v>23832</v>
      </c>
      <c r="K2066">
        <v>167.99999999999997</v>
      </c>
      <c r="L2066" t="s">
        <v>13</v>
      </c>
      <c r="M2066" t="s">
        <v>29</v>
      </c>
      <c r="N2066">
        <f>MONTH(Table1[[#This Row],[SaleDate]])</f>
        <v>8</v>
      </c>
      <c r="O2066" t="str">
        <f>TEXT(Table1[[#This Row],[SaleDate]],"MMM")</f>
        <v>Aug</v>
      </c>
    </row>
    <row r="2067" spans="1:15">
      <c r="A2067" s="1">
        <v>45163</v>
      </c>
      <c r="B2067" t="s">
        <v>23</v>
      </c>
      <c r="C2067" t="s">
        <v>19</v>
      </c>
      <c r="D2067">
        <v>1</v>
      </c>
      <c r="E2067" t="s">
        <v>7</v>
      </c>
      <c r="F2067">
        <v>33000</v>
      </c>
      <c r="G2067">
        <v>18000</v>
      </c>
      <c r="H2067">
        <f>Table1[[#This Row],[Qty]]*Table1[[#This Row],[SellingPrice]]</f>
        <v>33000</v>
      </c>
      <c r="I2067">
        <f>Table1[[#This Row],[Qty]]*Table1[[#This Row],[CostPrice]]</f>
        <v>18000</v>
      </c>
      <c r="J2067">
        <v>14895</v>
      </c>
      <c r="K2067">
        <v>104.99999999999999</v>
      </c>
      <c r="L2067" t="s">
        <v>8</v>
      </c>
      <c r="M2067" t="s">
        <v>28</v>
      </c>
      <c r="N2067">
        <f>MONTH(Table1[[#This Row],[SaleDate]])</f>
        <v>8</v>
      </c>
      <c r="O2067" t="str">
        <f>TEXT(Table1[[#This Row],[SaleDate]],"MMM")</f>
        <v>Aug</v>
      </c>
    </row>
    <row r="2068" spans="1:15">
      <c r="A2068" s="1">
        <v>45163</v>
      </c>
      <c r="B2068" t="s">
        <v>23</v>
      </c>
      <c r="C2068" t="s">
        <v>19</v>
      </c>
      <c r="D2068">
        <v>1</v>
      </c>
      <c r="E2068" t="s">
        <v>9</v>
      </c>
      <c r="F2068">
        <v>60000</v>
      </c>
      <c r="G2068">
        <v>31000</v>
      </c>
      <c r="H2068">
        <f>Table1[[#This Row],[Qty]]*Table1[[#This Row],[SellingPrice]]</f>
        <v>60000</v>
      </c>
      <c r="I2068">
        <f>Table1[[#This Row],[Qty]]*Table1[[#This Row],[CostPrice]]</f>
        <v>31000</v>
      </c>
      <c r="J2068">
        <v>28797</v>
      </c>
      <c r="K2068">
        <v>202.99999999999997</v>
      </c>
      <c r="L2068" t="s">
        <v>8</v>
      </c>
      <c r="M2068" t="s">
        <v>30</v>
      </c>
      <c r="N2068">
        <f>MONTH(Table1[[#This Row],[SaleDate]])</f>
        <v>8</v>
      </c>
      <c r="O2068" t="str">
        <f>TEXT(Table1[[#This Row],[SaleDate]],"MMM")</f>
        <v>Aug</v>
      </c>
    </row>
    <row r="2069" spans="1:15">
      <c r="A2069" s="1">
        <v>45163</v>
      </c>
      <c r="B2069" t="s">
        <v>23</v>
      </c>
      <c r="C2069" t="s">
        <v>19</v>
      </c>
      <c r="D2069">
        <v>1</v>
      </c>
      <c r="E2069" t="s">
        <v>10</v>
      </c>
      <c r="F2069">
        <v>89000</v>
      </c>
      <c r="G2069">
        <v>65000</v>
      </c>
      <c r="H2069">
        <f>Table1[[#This Row],[Qty]]*Table1[[#This Row],[SellingPrice]]</f>
        <v>89000</v>
      </c>
      <c r="I2069">
        <f>Table1[[#This Row],[Qty]]*Table1[[#This Row],[CostPrice]]</f>
        <v>65000</v>
      </c>
      <c r="J2069">
        <v>23832</v>
      </c>
      <c r="K2069">
        <v>167.99999999999997</v>
      </c>
      <c r="L2069" t="s">
        <v>8</v>
      </c>
      <c r="M2069" t="s">
        <v>28</v>
      </c>
      <c r="N2069">
        <f>MONTH(Table1[[#This Row],[SaleDate]])</f>
        <v>8</v>
      </c>
      <c r="O2069" t="str">
        <f>TEXT(Table1[[#This Row],[SaleDate]],"MMM")</f>
        <v>Aug</v>
      </c>
    </row>
    <row r="2070" spans="1:15">
      <c r="A2070" s="1">
        <v>45163</v>
      </c>
      <c r="B2070" t="s">
        <v>26</v>
      </c>
      <c r="C2070" t="s">
        <v>20</v>
      </c>
      <c r="D2070">
        <v>1</v>
      </c>
      <c r="E2070" t="s">
        <v>9</v>
      </c>
      <c r="F2070">
        <v>60000</v>
      </c>
      <c r="G2070">
        <v>31000</v>
      </c>
      <c r="H2070">
        <f>Table1[[#This Row],[Qty]]*Table1[[#This Row],[SellingPrice]]</f>
        <v>60000</v>
      </c>
      <c r="I2070">
        <f>Table1[[#This Row],[Qty]]*Table1[[#This Row],[CostPrice]]</f>
        <v>31000</v>
      </c>
      <c r="J2070">
        <v>28797</v>
      </c>
      <c r="K2070">
        <v>202.99999999999997</v>
      </c>
      <c r="L2070" t="s">
        <v>11</v>
      </c>
      <c r="M2070" t="s">
        <v>30</v>
      </c>
      <c r="N2070">
        <f>MONTH(Table1[[#This Row],[SaleDate]])</f>
        <v>8</v>
      </c>
      <c r="O2070" t="str">
        <f>TEXT(Table1[[#This Row],[SaleDate]],"MMM")</f>
        <v>Aug</v>
      </c>
    </row>
    <row r="2071" spans="1:15">
      <c r="A2071" s="1">
        <v>45163</v>
      </c>
      <c r="B2071" t="s">
        <v>24</v>
      </c>
      <c r="C2071" t="s">
        <v>22</v>
      </c>
      <c r="D2071">
        <v>1</v>
      </c>
      <c r="E2071" t="s">
        <v>7</v>
      </c>
      <c r="F2071">
        <v>33000</v>
      </c>
      <c r="G2071">
        <v>18000</v>
      </c>
      <c r="H2071">
        <f>Table1[[#This Row],[Qty]]*Table1[[#This Row],[SellingPrice]]</f>
        <v>33000</v>
      </c>
      <c r="I2071">
        <f>Table1[[#This Row],[Qty]]*Table1[[#This Row],[CostPrice]]</f>
        <v>18000</v>
      </c>
      <c r="J2071">
        <v>14895</v>
      </c>
      <c r="K2071">
        <v>104.99999999999999</v>
      </c>
      <c r="L2071" t="s">
        <v>12</v>
      </c>
      <c r="M2071" t="s">
        <v>29</v>
      </c>
      <c r="N2071">
        <f>MONTH(Table1[[#This Row],[SaleDate]])</f>
        <v>8</v>
      </c>
      <c r="O2071" t="str">
        <f>TEXT(Table1[[#This Row],[SaleDate]],"MMM")</f>
        <v>Aug</v>
      </c>
    </row>
    <row r="2072" spans="1:15">
      <c r="A2072" s="1">
        <v>45163</v>
      </c>
      <c r="B2072" t="s">
        <v>24</v>
      </c>
      <c r="C2072" t="s">
        <v>22</v>
      </c>
      <c r="D2072">
        <v>1</v>
      </c>
      <c r="E2072" t="s">
        <v>9</v>
      </c>
      <c r="F2072">
        <v>60000</v>
      </c>
      <c r="G2072">
        <v>31000</v>
      </c>
      <c r="H2072">
        <f>Table1[[#This Row],[Qty]]*Table1[[#This Row],[SellingPrice]]</f>
        <v>60000</v>
      </c>
      <c r="I2072">
        <f>Table1[[#This Row],[Qty]]*Table1[[#This Row],[CostPrice]]</f>
        <v>31000</v>
      </c>
      <c r="J2072">
        <v>28797</v>
      </c>
      <c r="K2072">
        <v>202.99999999999997</v>
      </c>
      <c r="L2072" t="s">
        <v>12</v>
      </c>
      <c r="M2072" t="s">
        <v>28</v>
      </c>
      <c r="N2072">
        <f>MONTH(Table1[[#This Row],[SaleDate]])</f>
        <v>8</v>
      </c>
      <c r="O2072" t="str">
        <f>TEXT(Table1[[#This Row],[SaleDate]],"MMM")</f>
        <v>Aug</v>
      </c>
    </row>
    <row r="2073" spans="1:15">
      <c r="A2073" s="1">
        <v>45163</v>
      </c>
      <c r="B2073" t="s">
        <v>24</v>
      </c>
      <c r="C2073" t="s">
        <v>22</v>
      </c>
      <c r="D2073">
        <v>1</v>
      </c>
      <c r="E2073" t="s">
        <v>10</v>
      </c>
      <c r="F2073">
        <v>89000</v>
      </c>
      <c r="G2073">
        <v>65000</v>
      </c>
      <c r="H2073">
        <f>Table1[[#This Row],[Qty]]*Table1[[#This Row],[SellingPrice]]</f>
        <v>89000</v>
      </c>
      <c r="I2073">
        <f>Table1[[#This Row],[Qty]]*Table1[[#This Row],[CostPrice]]</f>
        <v>65000</v>
      </c>
      <c r="J2073">
        <v>23832</v>
      </c>
      <c r="K2073">
        <v>167.99999999999997</v>
      </c>
      <c r="L2073" t="s">
        <v>12</v>
      </c>
      <c r="M2073" t="s">
        <v>29</v>
      </c>
      <c r="N2073">
        <f>MONTH(Table1[[#This Row],[SaleDate]])</f>
        <v>8</v>
      </c>
      <c r="O2073" t="str">
        <f>TEXT(Table1[[#This Row],[SaleDate]],"MMM")</f>
        <v>Aug</v>
      </c>
    </row>
    <row r="2074" spans="1:15">
      <c r="A2074" s="1">
        <v>45163</v>
      </c>
      <c r="B2074" t="s">
        <v>25</v>
      </c>
      <c r="C2074" t="s">
        <v>21</v>
      </c>
      <c r="D2074">
        <v>1</v>
      </c>
      <c r="E2074" t="s">
        <v>7</v>
      </c>
      <c r="F2074">
        <v>33000</v>
      </c>
      <c r="G2074">
        <v>18000</v>
      </c>
      <c r="H2074">
        <f>Table1[[#This Row],[Qty]]*Table1[[#This Row],[SellingPrice]]</f>
        <v>33000</v>
      </c>
      <c r="I2074">
        <f>Table1[[#This Row],[Qty]]*Table1[[#This Row],[CostPrice]]</f>
        <v>18000</v>
      </c>
      <c r="J2074">
        <v>14895</v>
      </c>
      <c r="K2074">
        <v>104.99999999999999</v>
      </c>
      <c r="L2074" t="s">
        <v>13</v>
      </c>
      <c r="M2074" t="s">
        <v>30</v>
      </c>
      <c r="N2074">
        <f>MONTH(Table1[[#This Row],[SaleDate]])</f>
        <v>8</v>
      </c>
      <c r="O2074" t="str">
        <f>TEXT(Table1[[#This Row],[SaleDate]],"MMM")</f>
        <v>Aug</v>
      </c>
    </row>
    <row r="2075" spans="1:15">
      <c r="A2075" s="1">
        <v>45163</v>
      </c>
      <c r="B2075" t="s">
        <v>25</v>
      </c>
      <c r="C2075" t="s">
        <v>21</v>
      </c>
      <c r="D2075">
        <v>1</v>
      </c>
      <c r="E2075" t="s">
        <v>9</v>
      </c>
      <c r="F2075">
        <v>60000</v>
      </c>
      <c r="G2075">
        <v>31000</v>
      </c>
      <c r="H2075">
        <f>Table1[[#This Row],[Qty]]*Table1[[#This Row],[SellingPrice]]</f>
        <v>60000</v>
      </c>
      <c r="I2075">
        <f>Table1[[#This Row],[Qty]]*Table1[[#This Row],[CostPrice]]</f>
        <v>31000</v>
      </c>
      <c r="J2075">
        <v>28797</v>
      </c>
      <c r="K2075">
        <v>202.99999999999997</v>
      </c>
      <c r="L2075" t="s">
        <v>13</v>
      </c>
      <c r="M2075" t="s">
        <v>30</v>
      </c>
      <c r="N2075">
        <f>MONTH(Table1[[#This Row],[SaleDate]])</f>
        <v>8</v>
      </c>
      <c r="O2075" t="str">
        <f>TEXT(Table1[[#This Row],[SaleDate]],"MMM")</f>
        <v>Aug</v>
      </c>
    </row>
    <row r="2076" spans="1:15">
      <c r="A2076" s="1">
        <v>45163</v>
      </c>
      <c r="B2076" t="s">
        <v>25</v>
      </c>
      <c r="C2076" t="s">
        <v>21</v>
      </c>
      <c r="D2076">
        <v>1</v>
      </c>
      <c r="E2076" t="s">
        <v>10</v>
      </c>
      <c r="F2076">
        <v>89000</v>
      </c>
      <c r="G2076">
        <v>65000</v>
      </c>
      <c r="H2076">
        <f>Table1[[#This Row],[Qty]]*Table1[[#This Row],[SellingPrice]]</f>
        <v>89000</v>
      </c>
      <c r="I2076">
        <f>Table1[[#This Row],[Qty]]*Table1[[#This Row],[CostPrice]]</f>
        <v>65000</v>
      </c>
      <c r="J2076">
        <v>23832</v>
      </c>
      <c r="K2076">
        <v>167.99999999999997</v>
      </c>
      <c r="L2076" t="s">
        <v>13</v>
      </c>
      <c r="M2076" t="s">
        <v>27</v>
      </c>
      <c r="N2076">
        <f>MONTH(Table1[[#This Row],[SaleDate]])</f>
        <v>8</v>
      </c>
      <c r="O2076" t="str">
        <f>TEXT(Table1[[#This Row],[SaleDate]],"MMM")</f>
        <v>Aug</v>
      </c>
    </row>
    <row r="2077" spans="1:15">
      <c r="A2077" s="1">
        <v>45164</v>
      </c>
      <c r="B2077" t="s">
        <v>23</v>
      </c>
      <c r="C2077" t="s">
        <v>19</v>
      </c>
      <c r="D2077">
        <v>1</v>
      </c>
      <c r="E2077" t="s">
        <v>7</v>
      </c>
      <c r="F2077">
        <v>33000</v>
      </c>
      <c r="G2077">
        <v>18000</v>
      </c>
      <c r="H2077">
        <f>Table1[[#This Row],[Qty]]*Table1[[#This Row],[SellingPrice]]</f>
        <v>33000</v>
      </c>
      <c r="I2077">
        <f>Table1[[#This Row],[Qty]]*Table1[[#This Row],[CostPrice]]</f>
        <v>18000</v>
      </c>
      <c r="J2077">
        <v>14895</v>
      </c>
      <c r="K2077">
        <v>104.99999999999999</v>
      </c>
      <c r="L2077" t="s">
        <v>8</v>
      </c>
      <c r="M2077" t="s">
        <v>30</v>
      </c>
      <c r="N2077">
        <f>MONTH(Table1[[#This Row],[SaleDate]])</f>
        <v>8</v>
      </c>
      <c r="O2077" t="str">
        <f>TEXT(Table1[[#This Row],[SaleDate]],"MMM")</f>
        <v>Aug</v>
      </c>
    </row>
    <row r="2078" spans="1:15">
      <c r="A2078" s="1">
        <v>45164</v>
      </c>
      <c r="B2078" t="s">
        <v>23</v>
      </c>
      <c r="C2078" t="s">
        <v>19</v>
      </c>
      <c r="D2078">
        <v>1</v>
      </c>
      <c r="E2078" t="s">
        <v>9</v>
      </c>
      <c r="F2078">
        <v>60000</v>
      </c>
      <c r="G2078">
        <v>31000</v>
      </c>
      <c r="H2078">
        <f>Table1[[#This Row],[Qty]]*Table1[[#This Row],[SellingPrice]]</f>
        <v>60000</v>
      </c>
      <c r="I2078">
        <f>Table1[[#This Row],[Qty]]*Table1[[#This Row],[CostPrice]]</f>
        <v>31000</v>
      </c>
      <c r="J2078">
        <v>28797</v>
      </c>
      <c r="K2078">
        <v>202.99999999999997</v>
      </c>
      <c r="L2078" t="s">
        <v>8</v>
      </c>
      <c r="M2078" t="s">
        <v>30</v>
      </c>
      <c r="N2078">
        <f>MONTH(Table1[[#This Row],[SaleDate]])</f>
        <v>8</v>
      </c>
      <c r="O2078" t="str">
        <f>TEXT(Table1[[#This Row],[SaleDate]],"MMM")</f>
        <v>Aug</v>
      </c>
    </row>
    <row r="2079" spans="1:15">
      <c r="A2079" s="1">
        <v>45164</v>
      </c>
      <c r="B2079" t="s">
        <v>23</v>
      </c>
      <c r="C2079" t="s">
        <v>19</v>
      </c>
      <c r="D2079">
        <v>1</v>
      </c>
      <c r="E2079" t="s">
        <v>10</v>
      </c>
      <c r="F2079">
        <v>89000</v>
      </c>
      <c r="G2079">
        <v>65000</v>
      </c>
      <c r="H2079">
        <f>Table1[[#This Row],[Qty]]*Table1[[#This Row],[SellingPrice]]</f>
        <v>89000</v>
      </c>
      <c r="I2079">
        <f>Table1[[#This Row],[Qty]]*Table1[[#This Row],[CostPrice]]</f>
        <v>65000</v>
      </c>
      <c r="J2079">
        <v>23832</v>
      </c>
      <c r="K2079">
        <v>167.99999999999997</v>
      </c>
      <c r="L2079" t="s">
        <v>8</v>
      </c>
      <c r="M2079" t="s">
        <v>30</v>
      </c>
      <c r="N2079">
        <f>MONTH(Table1[[#This Row],[SaleDate]])</f>
        <v>8</v>
      </c>
      <c r="O2079" t="str">
        <f>TEXT(Table1[[#This Row],[SaleDate]],"MMM")</f>
        <v>Aug</v>
      </c>
    </row>
    <row r="2080" spans="1:15">
      <c r="A2080" s="1">
        <v>45164</v>
      </c>
      <c r="B2080" t="s">
        <v>26</v>
      </c>
      <c r="C2080" t="s">
        <v>20</v>
      </c>
      <c r="D2080">
        <v>1</v>
      </c>
      <c r="E2080" t="s">
        <v>9</v>
      </c>
      <c r="F2080">
        <v>60000</v>
      </c>
      <c r="G2080">
        <v>31000</v>
      </c>
      <c r="H2080">
        <f>Table1[[#This Row],[Qty]]*Table1[[#This Row],[SellingPrice]]</f>
        <v>60000</v>
      </c>
      <c r="I2080">
        <f>Table1[[#This Row],[Qty]]*Table1[[#This Row],[CostPrice]]</f>
        <v>31000</v>
      </c>
      <c r="J2080">
        <v>28797</v>
      </c>
      <c r="K2080">
        <v>202.99999999999997</v>
      </c>
      <c r="L2080" t="s">
        <v>11</v>
      </c>
      <c r="M2080" t="s">
        <v>30</v>
      </c>
      <c r="N2080">
        <f>MONTH(Table1[[#This Row],[SaleDate]])</f>
        <v>8</v>
      </c>
      <c r="O2080" t="str">
        <f>TEXT(Table1[[#This Row],[SaleDate]],"MMM")</f>
        <v>Aug</v>
      </c>
    </row>
    <row r="2081" spans="1:15">
      <c r="A2081" s="1">
        <v>45164</v>
      </c>
      <c r="B2081" t="s">
        <v>24</v>
      </c>
      <c r="C2081" t="s">
        <v>22</v>
      </c>
      <c r="D2081">
        <v>1</v>
      </c>
      <c r="E2081" t="s">
        <v>7</v>
      </c>
      <c r="F2081">
        <v>33000</v>
      </c>
      <c r="G2081">
        <v>18000</v>
      </c>
      <c r="H2081">
        <f>Table1[[#This Row],[Qty]]*Table1[[#This Row],[SellingPrice]]</f>
        <v>33000</v>
      </c>
      <c r="I2081">
        <f>Table1[[#This Row],[Qty]]*Table1[[#This Row],[CostPrice]]</f>
        <v>18000</v>
      </c>
      <c r="J2081">
        <v>14895</v>
      </c>
      <c r="K2081">
        <v>104.99999999999999</v>
      </c>
      <c r="L2081" t="s">
        <v>12</v>
      </c>
      <c r="M2081" t="s">
        <v>30</v>
      </c>
      <c r="N2081">
        <f>MONTH(Table1[[#This Row],[SaleDate]])</f>
        <v>8</v>
      </c>
      <c r="O2081" t="str">
        <f>TEXT(Table1[[#This Row],[SaleDate]],"MMM")</f>
        <v>Aug</v>
      </c>
    </row>
    <row r="2082" spans="1:15">
      <c r="A2082" s="1">
        <v>45164</v>
      </c>
      <c r="B2082" t="s">
        <v>24</v>
      </c>
      <c r="C2082" t="s">
        <v>22</v>
      </c>
      <c r="D2082">
        <v>1</v>
      </c>
      <c r="E2082" t="s">
        <v>9</v>
      </c>
      <c r="F2082">
        <v>60000</v>
      </c>
      <c r="G2082">
        <v>31000</v>
      </c>
      <c r="H2082">
        <f>Table1[[#This Row],[Qty]]*Table1[[#This Row],[SellingPrice]]</f>
        <v>60000</v>
      </c>
      <c r="I2082">
        <f>Table1[[#This Row],[Qty]]*Table1[[#This Row],[CostPrice]]</f>
        <v>31000</v>
      </c>
      <c r="J2082">
        <v>28797</v>
      </c>
      <c r="K2082">
        <v>202.99999999999997</v>
      </c>
      <c r="L2082" t="s">
        <v>12</v>
      </c>
      <c r="M2082" t="s">
        <v>29</v>
      </c>
      <c r="N2082">
        <f>MONTH(Table1[[#This Row],[SaleDate]])</f>
        <v>8</v>
      </c>
      <c r="O2082" t="str">
        <f>TEXT(Table1[[#This Row],[SaleDate]],"MMM")</f>
        <v>Aug</v>
      </c>
    </row>
    <row r="2083" spans="1:15">
      <c r="A2083" s="1">
        <v>45164</v>
      </c>
      <c r="B2083" t="s">
        <v>24</v>
      </c>
      <c r="C2083" t="s">
        <v>22</v>
      </c>
      <c r="D2083">
        <v>1</v>
      </c>
      <c r="E2083" t="s">
        <v>10</v>
      </c>
      <c r="F2083">
        <v>89000</v>
      </c>
      <c r="G2083">
        <v>65000</v>
      </c>
      <c r="H2083">
        <f>Table1[[#This Row],[Qty]]*Table1[[#This Row],[SellingPrice]]</f>
        <v>89000</v>
      </c>
      <c r="I2083">
        <f>Table1[[#This Row],[Qty]]*Table1[[#This Row],[CostPrice]]</f>
        <v>65000</v>
      </c>
      <c r="J2083">
        <v>23832</v>
      </c>
      <c r="K2083">
        <v>167.99999999999997</v>
      </c>
      <c r="L2083" t="s">
        <v>12</v>
      </c>
      <c r="M2083" t="s">
        <v>29</v>
      </c>
      <c r="N2083">
        <f>MONTH(Table1[[#This Row],[SaleDate]])</f>
        <v>8</v>
      </c>
      <c r="O2083" t="str">
        <f>TEXT(Table1[[#This Row],[SaleDate]],"MMM")</f>
        <v>Aug</v>
      </c>
    </row>
    <row r="2084" spans="1:15">
      <c r="A2084" s="1">
        <v>45164</v>
      </c>
      <c r="B2084" t="s">
        <v>25</v>
      </c>
      <c r="C2084" t="s">
        <v>21</v>
      </c>
      <c r="D2084">
        <v>1</v>
      </c>
      <c r="E2084" t="s">
        <v>7</v>
      </c>
      <c r="F2084">
        <v>33000</v>
      </c>
      <c r="G2084">
        <v>18000</v>
      </c>
      <c r="H2084">
        <f>Table1[[#This Row],[Qty]]*Table1[[#This Row],[SellingPrice]]</f>
        <v>33000</v>
      </c>
      <c r="I2084">
        <f>Table1[[#This Row],[Qty]]*Table1[[#This Row],[CostPrice]]</f>
        <v>18000</v>
      </c>
      <c r="J2084">
        <v>14895</v>
      </c>
      <c r="K2084">
        <v>104.99999999999999</v>
      </c>
      <c r="L2084" t="s">
        <v>13</v>
      </c>
      <c r="M2084" t="s">
        <v>27</v>
      </c>
      <c r="N2084">
        <f>MONTH(Table1[[#This Row],[SaleDate]])</f>
        <v>8</v>
      </c>
      <c r="O2084" t="str">
        <f>TEXT(Table1[[#This Row],[SaleDate]],"MMM")</f>
        <v>Aug</v>
      </c>
    </row>
    <row r="2085" spans="1:15">
      <c r="A2085" s="1">
        <v>45164</v>
      </c>
      <c r="B2085" t="s">
        <v>25</v>
      </c>
      <c r="C2085" t="s">
        <v>21</v>
      </c>
      <c r="D2085">
        <v>1</v>
      </c>
      <c r="E2085" t="s">
        <v>9</v>
      </c>
      <c r="F2085">
        <v>60000</v>
      </c>
      <c r="G2085">
        <v>31000</v>
      </c>
      <c r="H2085">
        <f>Table1[[#This Row],[Qty]]*Table1[[#This Row],[SellingPrice]]</f>
        <v>60000</v>
      </c>
      <c r="I2085">
        <f>Table1[[#This Row],[Qty]]*Table1[[#This Row],[CostPrice]]</f>
        <v>31000</v>
      </c>
      <c r="J2085">
        <v>28797</v>
      </c>
      <c r="K2085">
        <v>202.99999999999997</v>
      </c>
      <c r="L2085" t="s">
        <v>13</v>
      </c>
      <c r="M2085" t="s">
        <v>28</v>
      </c>
      <c r="N2085">
        <f>MONTH(Table1[[#This Row],[SaleDate]])</f>
        <v>8</v>
      </c>
      <c r="O2085" t="str">
        <f>TEXT(Table1[[#This Row],[SaleDate]],"MMM")</f>
        <v>Aug</v>
      </c>
    </row>
    <row r="2086" spans="1:15">
      <c r="A2086" s="1">
        <v>45164</v>
      </c>
      <c r="B2086" t="s">
        <v>25</v>
      </c>
      <c r="C2086" t="s">
        <v>21</v>
      </c>
      <c r="D2086">
        <v>1</v>
      </c>
      <c r="E2086" t="s">
        <v>10</v>
      </c>
      <c r="F2086">
        <v>89000</v>
      </c>
      <c r="G2086">
        <v>65000</v>
      </c>
      <c r="H2086">
        <f>Table1[[#This Row],[Qty]]*Table1[[#This Row],[SellingPrice]]</f>
        <v>89000</v>
      </c>
      <c r="I2086">
        <f>Table1[[#This Row],[Qty]]*Table1[[#This Row],[CostPrice]]</f>
        <v>65000</v>
      </c>
      <c r="J2086">
        <v>23832</v>
      </c>
      <c r="K2086">
        <v>167.99999999999997</v>
      </c>
      <c r="L2086" t="s">
        <v>13</v>
      </c>
      <c r="M2086" t="s">
        <v>30</v>
      </c>
      <c r="N2086">
        <f>MONTH(Table1[[#This Row],[SaleDate]])</f>
        <v>8</v>
      </c>
      <c r="O2086" t="str">
        <f>TEXT(Table1[[#This Row],[SaleDate]],"MMM")</f>
        <v>Aug</v>
      </c>
    </row>
    <row r="2087" spans="1:15">
      <c r="A2087" s="1">
        <v>45165</v>
      </c>
      <c r="B2087" t="s">
        <v>23</v>
      </c>
      <c r="C2087" t="s">
        <v>19</v>
      </c>
      <c r="D2087">
        <v>1</v>
      </c>
      <c r="E2087" t="s">
        <v>7</v>
      </c>
      <c r="F2087">
        <v>33000</v>
      </c>
      <c r="G2087">
        <v>18000</v>
      </c>
      <c r="H2087">
        <f>Table1[[#This Row],[Qty]]*Table1[[#This Row],[SellingPrice]]</f>
        <v>33000</v>
      </c>
      <c r="I2087">
        <f>Table1[[#This Row],[Qty]]*Table1[[#This Row],[CostPrice]]</f>
        <v>18000</v>
      </c>
      <c r="J2087">
        <v>14895</v>
      </c>
      <c r="K2087">
        <v>104.99999999999999</v>
      </c>
      <c r="L2087" t="s">
        <v>8</v>
      </c>
      <c r="M2087" t="s">
        <v>29</v>
      </c>
      <c r="N2087">
        <f>MONTH(Table1[[#This Row],[SaleDate]])</f>
        <v>8</v>
      </c>
      <c r="O2087" t="str">
        <f>TEXT(Table1[[#This Row],[SaleDate]],"MMM")</f>
        <v>Aug</v>
      </c>
    </row>
    <row r="2088" spans="1:15">
      <c r="A2088" s="1">
        <v>45165</v>
      </c>
      <c r="B2088" t="s">
        <v>23</v>
      </c>
      <c r="C2088" t="s">
        <v>19</v>
      </c>
      <c r="D2088">
        <v>1</v>
      </c>
      <c r="E2088" t="s">
        <v>9</v>
      </c>
      <c r="F2088">
        <v>60000</v>
      </c>
      <c r="G2088">
        <v>31000</v>
      </c>
      <c r="H2088">
        <f>Table1[[#This Row],[Qty]]*Table1[[#This Row],[SellingPrice]]</f>
        <v>60000</v>
      </c>
      <c r="I2088">
        <f>Table1[[#This Row],[Qty]]*Table1[[#This Row],[CostPrice]]</f>
        <v>31000</v>
      </c>
      <c r="J2088">
        <v>28797</v>
      </c>
      <c r="K2088">
        <v>202.99999999999997</v>
      </c>
      <c r="L2088" t="s">
        <v>8</v>
      </c>
      <c r="M2088" t="s">
        <v>30</v>
      </c>
      <c r="N2088">
        <f>MONTH(Table1[[#This Row],[SaleDate]])</f>
        <v>8</v>
      </c>
      <c r="O2088" t="str">
        <f>TEXT(Table1[[#This Row],[SaleDate]],"MMM")</f>
        <v>Aug</v>
      </c>
    </row>
    <row r="2089" spans="1:15">
      <c r="A2089" s="1">
        <v>45165</v>
      </c>
      <c r="B2089" t="s">
        <v>23</v>
      </c>
      <c r="C2089" t="s">
        <v>19</v>
      </c>
      <c r="D2089">
        <v>1</v>
      </c>
      <c r="E2089" t="s">
        <v>10</v>
      </c>
      <c r="F2089">
        <v>89000</v>
      </c>
      <c r="G2089">
        <v>65000</v>
      </c>
      <c r="H2089">
        <f>Table1[[#This Row],[Qty]]*Table1[[#This Row],[SellingPrice]]</f>
        <v>89000</v>
      </c>
      <c r="I2089">
        <f>Table1[[#This Row],[Qty]]*Table1[[#This Row],[CostPrice]]</f>
        <v>65000</v>
      </c>
      <c r="J2089">
        <v>23832</v>
      </c>
      <c r="K2089">
        <v>167.99999999999997</v>
      </c>
      <c r="L2089" t="s">
        <v>8</v>
      </c>
      <c r="M2089" t="s">
        <v>30</v>
      </c>
      <c r="N2089">
        <f>MONTH(Table1[[#This Row],[SaleDate]])</f>
        <v>8</v>
      </c>
      <c r="O2089" t="str">
        <f>TEXT(Table1[[#This Row],[SaleDate]],"MMM")</f>
        <v>Aug</v>
      </c>
    </row>
    <row r="2090" spans="1:15">
      <c r="A2090" s="1">
        <v>45165</v>
      </c>
      <c r="B2090" t="s">
        <v>26</v>
      </c>
      <c r="C2090" t="s">
        <v>20</v>
      </c>
      <c r="D2090">
        <v>1</v>
      </c>
      <c r="E2090" t="s">
        <v>9</v>
      </c>
      <c r="F2090">
        <v>60000</v>
      </c>
      <c r="G2090">
        <v>31000</v>
      </c>
      <c r="H2090">
        <f>Table1[[#This Row],[Qty]]*Table1[[#This Row],[SellingPrice]]</f>
        <v>60000</v>
      </c>
      <c r="I2090">
        <f>Table1[[#This Row],[Qty]]*Table1[[#This Row],[CostPrice]]</f>
        <v>31000</v>
      </c>
      <c r="J2090">
        <v>28797</v>
      </c>
      <c r="K2090">
        <v>202.99999999999997</v>
      </c>
      <c r="L2090" t="s">
        <v>11</v>
      </c>
      <c r="M2090" t="s">
        <v>30</v>
      </c>
      <c r="N2090">
        <f>MONTH(Table1[[#This Row],[SaleDate]])</f>
        <v>8</v>
      </c>
      <c r="O2090" t="str">
        <f>TEXT(Table1[[#This Row],[SaleDate]],"MMM")</f>
        <v>Aug</v>
      </c>
    </row>
    <row r="2091" spans="1:15">
      <c r="A2091" s="1">
        <v>45165</v>
      </c>
      <c r="B2091" t="s">
        <v>24</v>
      </c>
      <c r="C2091" t="s">
        <v>22</v>
      </c>
      <c r="D2091">
        <v>1</v>
      </c>
      <c r="E2091" t="s">
        <v>7</v>
      </c>
      <c r="F2091">
        <v>33000</v>
      </c>
      <c r="G2091">
        <v>18000</v>
      </c>
      <c r="H2091">
        <f>Table1[[#This Row],[Qty]]*Table1[[#This Row],[SellingPrice]]</f>
        <v>33000</v>
      </c>
      <c r="I2091">
        <f>Table1[[#This Row],[Qty]]*Table1[[#This Row],[CostPrice]]</f>
        <v>18000</v>
      </c>
      <c r="J2091">
        <v>14895</v>
      </c>
      <c r="K2091">
        <v>104.99999999999999</v>
      </c>
      <c r="L2091" t="s">
        <v>12</v>
      </c>
      <c r="M2091" t="s">
        <v>27</v>
      </c>
      <c r="N2091">
        <f>MONTH(Table1[[#This Row],[SaleDate]])</f>
        <v>8</v>
      </c>
      <c r="O2091" t="str">
        <f>TEXT(Table1[[#This Row],[SaleDate]],"MMM")</f>
        <v>Aug</v>
      </c>
    </row>
    <row r="2092" spans="1:15">
      <c r="A2092" s="1">
        <v>45165</v>
      </c>
      <c r="B2092" t="s">
        <v>24</v>
      </c>
      <c r="C2092" t="s">
        <v>22</v>
      </c>
      <c r="D2092">
        <v>1</v>
      </c>
      <c r="E2092" t="s">
        <v>9</v>
      </c>
      <c r="F2092">
        <v>60000</v>
      </c>
      <c r="G2092">
        <v>31000</v>
      </c>
      <c r="H2092">
        <f>Table1[[#This Row],[Qty]]*Table1[[#This Row],[SellingPrice]]</f>
        <v>60000</v>
      </c>
      <c r="I2092">
        <f>Table1[[#This Row],[Qty]]*Table1[[#This Row],[CostPrice]]</f>
        <v>31000</v>
      </c>
      <c r="J2092">
        <v>28797</v>
      </c>
      <c r="K2092">
        <v>202.99999999999997</v>
      </c>
      <c r="L2092" t="s">
        <v>12</v>
      </c>
      <c r="M2092" t="s">
        <v>30</v>
      </c>
      <c r="N2092">
        <f>MONTH(Table1[[#This Row],[SaleDate]])</f>
        <v>8</v>
      </c>
      <c r="O2092" t="str">
        <f>TEXT(Table1[[#This Row],[SaleDate]],"MMM")</f>
        <v>Aug</v>
      </c>
    </row>
    <row r="2093" spans="1:15">
      <c r="A2093" s="1">
        <v>45165</v>
      </c>
      <c r="B2093" t="s">
        <v>24</v>
      </c>
      <c r="C2093" t="s">
        <v>22</v>
      </c>
      <c r="D2093">
        <v>1</v>
      </c>
      <c r="E2093" t="s">
        <v>10</v>
      </c>
      <c r="F2093">
        <v>89000</v>
      </c>
      <c r="G2093">
        <v>65000</v>
      </c>
      <c r="H2093">
        <f>Table1[[#This Row],[Qty]]*Table1[[#This Row],[SellingPrice]]</f>
        <v>89000</v>
      </c>
      <c r="I2093">
        <f>Table1[[#This Row],[Qty]]*Table1[[#This Row],[CostPrice]]</f>
        <v>65000</v>
      </c>
      <c r="J2093">
        <v>23832</v>
      </c>
      <c r="K2093">
        <v>167.99999999999997</v>
      </c>
      <c r="L2093" t="s">
        <v>12</v>
      </c>
      <c r="M2093" t="s">
        <v>30</v>
      </c>
      <c r="N2093">
        <f>MONTH(Table1[[#This Row],[SaleDate]])</f>
        <v>8</v>
      </c>
      <c r="O2093" t="str">
        <f>TEXT(Table1[[#This Row],[SaleDate]],"MMM")</f>
        <v>Aug</v>
      </c>
    </row>
    <row r="2094" spans="1:15">
      <c r="A2094" s="1">
        <v>45165</v>
      </c>
      <c r="B2094" t="s">
        <v>25</v>
      </c>
      <c r="C2094" t="s">
        <v>21</v>
      </c>
      <c r="D2094">
        <v>1</v>
      </c>
      <c r="E2094" t="s">
        <v>7</v>
      </c>
      <c r="F2094">
        <v>33000</v>
      </c>
      <c r="G2094">
        <v>18000</v>
      </c>
      <c r="H2094">
        <f>Table1[[#This Row],[Qty]]*Table1[[#This Row],[SellingPrice]]</f>
        <v>33000</v>
      </c>
      <c r="I2094">
        <f>Table1[[#This Row],[Qty]]*Table1[[#This Row],[CostPrice]]</f>
        <v>18000</v>
      </c>
      <c r="J2094">
        <v>14895</v>
      </c>
      <c r="K2094">
        <v>104.99999999999999</v>
      </c>
      <c r="L2094" t="s">
        <v>13</v>
      </c>
      <c r="M2094" t="s">
        <v>29</v>
      </c>
      <c r="N2094">
        <f>MONTH(Table1[[#This Row],[SaleDate]])</f>
        <v>8</v>
      </c>
      <c r="O2094" t="str">
        <f>TEXT(Table1[[#This Row],[SaleDate]],"MMM")</f>
        <v>Aug</v>
      </c>
    </row>
    <row r="2095" spans="1:15">
      <c r="A2095" s="1">
        <v>45165</v>
      </c>
      <c r="B2095" t="s">
        <v>25</v>
      </c>
      <c r="C2095" t="s">
        <v>21</v>
      </c>
      <c r="D2095">
        <v>1</v>
      </c>
      <c r="E2095" t="s">
        <v>9</v>
      </c>
      <c r="F2095">
        <v>60000</v>
      </c>
      <c r="G2095">
        <v>31000</v>
      </c>
      <c r="H2095">
        <f>Table1[[#This Row],[Qty]]*Table1[[#This Row],[SellingPrice]]</f>
        <v>60000</v>
      </c>
      <c r="I2095">
        <f>Table1[[#This Row],[Qty]]*Table1[[#This Row],[CostPrice]]</f>
        <v>31000</v>
      </c>
      <c r="J2095">
        <v>28797</v>
      </c>
      <c r="K2095">
        <v>202.99999999999997</v>
      </c>
      <c r="L2095" t="s">
        <v>13</v>
      </c>
      <c r="M2095" t="s">
        <v>30</v>
      </c>
      <c r="N2095">
        <f>MONTH(Table1[[#This Row],[SaleDate]])</f>
        <v>8</v>
      </c>
      <c r="O2095" t="str">
        <f>TEXT(Table1[[#This Row],[SaleDate]],"MMM")</f>
        <v>Aug</v>
      </c>
    </row>
    <row r="2096" spans="1:15">
      <c r="A2096" s="1">
        <v>45165</v>
      </c>
      <c r="B2096" t="s">
        <v>25</v>
      </c>
      <c r="C2096" t="s">
        <v>21</v>
      </c>
      <c r="D2096">
        <v>1</v>
      </c>
      <c r="E2096" t="s">
        <v>10</v>
      </c>
      <c r="F2096">
        <v>89000</v>
      </c>
      <c r="G2096">
        <v>65000</v>
      </c>
      <c r="H2096">
        <f>Table1[[#This Row],[Qty]]*Table1[[#This Row],[SellingPrice]]</f>
        <v>89000</v>
      </c>
      <c r="I2096">
        <f>Table1[[#This Row],[Qty]]*Table1[[#This Row],[CostPrice]]</f>
        <v>65000</v>
      </c>
      <c r="J2096">
        <v>23832</v>
      </c>
      <c r="K2096">
        <v>167.99999999999997</v>
      </c>
      <c r="L2096" t="s">
        <v>13</v>
      </c>
      <c r="M2096" t="s">
        <v>30</v>
      </c>
      <c r="N2096">
        <f>MONTH(Table1[[#This Row],[SaleDate]])</f>
        <v>8</v>
      </c>
      <c r="O2096" t="str">
        <f>TEXT(Table1[[#This Row],[SaleDate]],"MMM")</f>
        <v>Aug</v>
      </c>
    </row>
    <row r="2097" spans="1:15">
      <c r="A2097" s="1">
        <v>45166</v>
      </c>
      <c r="B2097" t="s">
        <v>23</v>
      </c>
      <c r="C2097" t="s">
        <v>19</v>
      </c>
      <c r="D2097">
        <v>2</v>
      </c>
      <c r="E2097" t="s">
        <v>7</v>
      </c>
      <c r="F2097">
        <v>33000</v>
      </c>
      <c r="G2097">
        <v>18000</v>
      </c>
      <c r="H2097">
        <f>Table1[[#This Row],[Qty]]*Table1[[#This Row],[SellingPrice]]</f>
        <v>66000</v>
      </c>
      <c r="I2097">
        <f>Table1[[#This Row],[Qty]]*Table1[[#This Row],[CostPrice]]</f>
        <v>36000</v>
      </c>
      <c r="J2097">
        <v>29790</v>
      </c>
      <c r="K2097">
        <v>209.99999999999997</v>
      </c>
      <c r="L2097" t="s">
        <v>8</v>
      </c>
      <c r="M2097" t="s">
        <v>30</v>
      </c>
      <c r="N2097">
        <f>MONTH(Table1[[#This Row],[SaleDate]])</f>
        <v>8</v>
      </c>
      <c r="O2097" t="str">
        <f>TEXT(Table1[[#This Row],[SaleDate]],"MMM")</f>
        <v>Aug</v>
      </c>
    </row>
    <row r="2098" spans="1:15">
      <c r="A2098" s="1">
        <v>45166</v>
      </c>
      <c r="B2098" t="s">
        <v>23</v>
      </c>
      <c r="C2098" t="s">
        <v>19</v>
      </c>
      <c r="D2098">
        <v>2</v>
      </c>
      <c r="E2098" t="s">
        <v>9</v>
      </c>
      <c r="F2098">
        <v>60000</v>
      </c>
      <c r="G2098">
        <v>31000</v>
      </c>
      <c r="H2098">
        <f>Table1[[#This Row],[Qty]]*Table1[[#This Row],[SellingPrice]]</f>
        <v>120000</v>
      </c>
      <c r="I2098">
        <f>Table1[[#This Row],[Qty]]*Table1[[#This Row],[CostPrice]]</f>
        <v>62000</v>
      </c>
      <c r="J2098">
        <v>57594</v>
      </c>
      <c r="K2098">
        <v>405.99999999999994</v>
      </c>
      <c r="L2098" t="s">
        <v>8</v>
      </c>
      <c r="M2098" t="s">
        <v>27</v>
      </c>
      <c r="N2098">
        <f>MONTH(Table1[[#This Row],[SaleDate]])</f>
        <v>8</v>
      </c>
      <c r="O2098" t="str">
        <f>TEXT(Table1[[#This Row],[SaleDate]],"MMM")</f>
        <v>Aug</v>
      </c>
    </row>
    <row r="2099" spans="1:15">
      <c r="A2099" s="1">
        <v>45166</v>
      </c>
      <c r="B2099" t="s">
        <v>23</v>
      </c>
      <c r="C2099" t="s">
        <v>19</v>
      </c>
      <c r="D2099">
        <v>2</v>
      </c>
      <c r="E2099" t="s">
        <v>10</v>
      </c>
      <c r="F2099">
        <v>89000</v>
      </c>
      <c r="G2099">
        <v>65000</v>
      </c>
      <c r="H2099">
        <f>Table1[[#This Row],[Qty]]*Table1[[#This Row],[SellingPrice]]</f>
        <v>178000</v>
      </c>
      <c r="I2099">
        <f>Table1[[#This Row],[Qty]]*Table1[[#This Row],[CostPrice]]</f>
        <v>130000</v>
      </c>
      <c r="J2099">
        <v>47664</v>
      </c>
      <c r="K2099">
        <v>335.99999999999994</v>
      </c>
      <c r="L2099" t="s">
        <v>8</v>
      </c>
      <c r="M2099" t="s">
        <v>29</v>
      </c>
      <c r="N2099">
        <f>MONTH(Table1[[#This Row],[SaleDate]])</f>
        <v>8</v>
      </c>
      <c r="O2099" t="str">
        <f>TEXT(Table1[[#This Row],[SaleDate]],"MMM")</f>
        <v>Aug</v>
      </c>
    </row>
    <row r="2100" spans="1:15">
      <c r="A2100" s="1">
        <v>45166</v>
      </c>
      <c r="B2100" t="s">
        <v>26</v>
      </c>
      <c r="C2100" t="s">
        <v>20</v>
      </c>
      <c r="D2100">
        <v>2</v>
      </c>
      <c r="E2100" t="s">
        <v>9</v>
      </c>
      <c r="F2100">
        <v>60000</v>
      </c>
      <c r="G2100">
        <v>31000</v>
      </c>
      <c r="H2100">
        <f>Table1[[#This Row],[Qty]]*Table1[[#This Row],[SellingPrice]]</f>
        <v>120000</v>
      </c>
      <c r="I2100">
        <f>Table1[[#This Row],[Qty]]*Table1[[#This Row],[CostPrice]]</f>
        <v>62000</v>
      </c>
      <c r="J2100">
        <v>57594</v>
      </c>
      <c r="K2100">
        <v>405.99999999999994</v>
      </c>
      <c r="L2100" t="s">
        <v>11</v>
      </c>
      <c r="M2100" t="s">
        <v>29</v>
      </c>
      <c r="N2100">
        <f>MONTH(Table1[[#This Row],[SaleDate]])</f>
        <v>8</v>
      </c>
      <c r="O2100" t="str">
        <f>TEXT(Table1[[#This Row],[SaleDate]],"MMM")</f>
        <v>Aug</v>
      </c>
    </row>
    <row r="2101" spans="1:15">
      <c r="A2101" s="1">
        <v>45166</v>
      </c>
      <c r="B2101" t="s">
        <v>24</v>
      </c>
      <c r="C2101" t="s">
        <v>22</v>
      </c>
      <c r="D2101">
        <v>2</v>
      </c>
      <c r="E2101" t="s">
        <v>7</v>
      </c>
      <c r="F2101">
        <v>33000</v>
      </c>
      <c r="G2101">
        <v>18000</v>
      </c>
      <c r="H2101">
        <f>Table1[[#This Row],[Qty]]*Table1[[#This Row],[SellingPrice]]</f>
        <v>66000</v>
      </c>
      <c r="I2101">
        <f>Table1[[#This Row],[Qty]]*Table1[[#This Row],[CostPrice]]</f>
        <v>36000</v>
      </c>
      <c r="J2101">
        <v>29790</v>
      </c>
      <c r="K2101">
        <v>209.99999999999997</v>
      </c>
      <c r="L2101" t="s">
        <v>12</v>
      </c>
      <c r="M2101" t="s">
        <v>29</v>
      </c>
      <c r="N2101">
        <f>MONTH(Table1[[#This Row],[SaleDate]])</f>
        <v>8</v>
      </c>
      <c r="O2101" t="str">
        <f>TEXT(Table1[[#This Row],[SaleDate]],"MMM")</f>
        <v>Aug</v>
      </c>
    </row>
    <row r="2102" spans="1:15">
      <c r="A2102" s="1">
        <v>45166</v>
      </c>
      <c r="B2102" t="s">
        <v>24</v>
      </c>
      <c r="C2102" t="s">
        <v>22</v>
      </c>
      <c r="D2102">
        <v>2</v>
      </c>
      <c r="E2102" t="s">
        <v>9</v>
      </c>
      <c r="F2102">
        <v>60000</v>
      </c>
      <c r="G2102">
        <v>31000</v>
      </c>
      <c r="H2102">
        <f>Table1[[#This Row],[Qty]]*Table1[[#This Row],[SellingPrice]]</f>
        <v>120000</v>
      </c>
      <c r="I2102">
        <f>Table1[[#This Row],[Qty]]*Table1[[#This Row],[CostPrice]]</f>
        <v>62000</v>
      </c>
      <c r="J2102">
        <v>57594</v>
      </c>
      <c r="K2102">
        <v>405.99999999999994</v>
      </c>
      <c r="L2102" t="s">
        <v>12</v>
      </c>
      <c r="M2102" t="s">
        <v>29</v>
      </c>
      <c r="N2102">
        <f>MONTH(Table1[[#This Row],[SaleDate]])</f>
        <v>8</v>
      </c>
      <c r="O2102" t="str">
        <f>TEXT(Table1[[#This Row],[SaleDate]],"MMM")</f>
        <v>Aug</v>
      </c>
    </row>
    <row r="2103" spans="1:15">
      <c r="A2103" s="1">
        <v>45166</v>
      </c>
      <c r="B2103" t="s">
        <v>24</v>
      </c>
      <c r="C2103" t="s">
        <v>22</v>
      </c>
      <c r="D2103">
        <v>2</v>
      </c>
      <c r="E2103" t="s">
        <v>10</v>
      </c>
      <c r="F2103">
        <v>89000</v>
      </c>
      <c r="G2103">
        <v>65000</v>
      </c>
      <c r="H2103">
        <f>Table1[[#This Row],[Qty]]*Table1[[#This Row],[SellingPrice]]</f>
        <v>178000</v>
      </c>
      <c r="I2103">
        <f>Table1[[#This Row],[Qty]]*Table1[[#This Row],[CostPrice]]</f>
        <v>130000</v>
      </c>
      <c r="J2103">
        <v>47664</v>
      </c>
      <c r="K2103">
        <v>335.99999999999994</v>
      </c>
      <c r="L2103" t="s">
        <v>12</v>
      </c>
      <c r="M2103" t="s">
        <v>27</v>
      </c>
      <c r="N2103">
        <f>MONTH(Table1[[#This Row],[SaleDate]])</f>
        <v>8</v>
      </c>
      <c r="O2103" t="str">
        <f>TEXT(Table1[[#This Row],[SaleDate]],"MMM")</f>
        <v>Aug</v>
      </c>
    </row>
    <row r="2104" spans="1:15">
      <c r="A2104" s="1">
        <v>45166</v>
      </c>
      <c r="B2104" t="s">
        <v>25</v>
      </c>
      <c r="C2104" t="s">
        <v>21</v>
      </c>
      <c r="D2104">
        <v>2</v>
      </c>
      <c r="E2104" t="s">
        <v>7</v>
      </c>
      <c r="F2104">
        <v>33000</v>
      </c>
      <c r="G2104">
        <v>18000</v>
      </c>
      <c r="H2104">
        <f>Table1[[#This Row],[Qty]]*Table1[[#This Row],[SellingPrice]]</f>
        <v>66000</v>
      </c>
      <c r="I2104">
        <f>Table1[[#This Row],[Qty]]*Table1[[#This Row],[CostPrice]]</f>
        <v>36000</v>
      </c>
      <c r="J2104">
        <v>29790</v>
      </c>
      <c r="K2104">
        <v>209.99999999999997</v>
      </c>
      <c r="L2104" t="s">
        <v>13</v>
      </c>
      <c r="M2104" t="s">
        <v>30</v>
      </c>
      <c r="N2104">
        <f>MONTH(Table1[[#This Row],[SaleDate]])</f>
        <v>8</v>
      </c>
      <c r="O2104" t="str">
        <f>TEXT(Table1[[#This Row],[SaleDate]],"MMM")</f>
        <v>Aug</v>
      </c>
    </row>
    <row r="2105" spans="1:15">
      <c r="A2105" s="1">
        <v>45166</v>
      </c>
      <c r="B2105" t="s">
        <v>25</v>
      </c>
      <c r="C2105" t="s">
        <v>21</v>
      </c>
      <c r="D2105">
        <v>2</v>
      </c>
      <c r="E2105" t="s">
        <v>9</v>
      </c>
      <c r="F2105">
        <v>60000</v>
      </c>
      <c r="G2105">
        <v>31000</v>
      </c>
      <c r="H2105">
        <f>Table1[[#This Row],[Qty]]*Table1[[#This Row],[SellingPrice]]</f>
        <v>120000</v>
      </c>
      <c r="I2105">
        <f>Table1[[#This Row],[Qty]]*Table1[[#This Row],[CostPrice]]</f>
        <v>62000</v>
      </c>
      <c r="J2105">
        <v>57594</v>
      </c>
      <c r="K2105">
        <v>405.99999999999994</v>
      </c>
      <c r="L2105" t="s">
        <v>13</v>
      </c>
      <c r="M2105" t="s">
        <v>27</v>
      </c>
      <c r="N2105">
        <f>MONTH(Table1[[#This Row],[SaleDate]])</f>
        <v>8</v>
      </c>
      <c r="O2105" t="str">
        <f>TEXT(Table1[[#This Row],[SaleDate]],"MMM")</f>
        <v>Aug</v>
      </c>
    </row>
    <row r="2106" spans="1:15">
      <c r="A2106" s="1">
        <v>45166</v>
      </c>
      <c r="B2106" t="s">
        <v>25</v>
      </c>
      <c r="C2106" t="s">
        <v>21</v>
      </c>
      <c r="D2106">
        <v>2</v>
      </c>
      <c r="E2106" t="s">
        <v>10</v>
      </c>
      <c r="F2106">
        <v>89000</v>
      </c>
      <c r="G2106">
        <v>65000</v>
      </c>
      <c r="H2106">
        <f>Table1[[#This Row],[Qty]]*Table1[[#This Row],[SellingPrice]]</f>
        <v>178000</v>
      </c>
      <c r="I2106">
        <f>Table1[[#This Row],[Qty]]*Table1[[#This Row],[CostPrice]]</f>
        <v>130000</v>
      </c>
      <c r="J2106">
        <v>47664</v>
      </c>
      <c r="K2106">
        <v>335.99999999999994</v>
      </c>
      <c r="L2106" t="s">
        <v>13</v>
      </c>
      <c r="M2106" t="s">
        <v>29</v>
      </c>
      <c r="N2106">
        <f>MONTH(Table1[[#This Row],[SaleDate]])</f>
        <v>8</v>
      </c>
      <c r="O2106" t="str">
        <f>TEXT(Table1[[#This Row],[SaleDate]],"MMM")</f>
        <v>Aug</v>
      </c>
    </row>
    <row r="2107" spans="1:15">
      <c r="A2107" s="1">
        <v>45167</v>
      </c>
      <c r="B2107" t="s">
        <v>23</v>
      </c>
      <c r="C2107" t="s">
        <v>19</v>
      </c>
      <c r="D2107">
        <v>1</v>
      </c>
      <c r="E2107" t="s">
        <v>7</v>
      </c>
      <c r="F2107">
        <v>33000</v>
      </c>
      <c r="G2107">
        <v>18000</v>
      </c>
      <c r="H2107">
        <f>Table1[[#This Row],[Qty]]*Table1[[#This Row],[SellingPrice]]</f>
        <v>33000</v>
      </c>
      <c r="I2107">
        <f>Table1[[#This Row],[Qty]]*Table1[[#This Row],[CostPrice]]</f>
        <v>18000</v>
      </c>
      <c r="J2107">
        <v>14895</v>
      </c>
      <c r="K2107">
        <v>104.99999999999999</v>
      </c>
      <c r="L2107" t="s">
        <v>8</v>
      </c>
      <c r="M2107" t="s">
        <v>27</v>
      </c>
      <c r="N2107">
        <f>MONTH(Table1[[#This Row],[SaleDate]])</f>
        <v>8</v>
      </c>
      <c r="O2107" t="str">
        <f>TEXT(Table1[[#This Row],[SaleDate]],"MMM")</f>
        <v>Aug</v>
      </c>
    </row>
    <row r="2108" spans="1:15">
      <c r="A2108" s="1">
        <v>45167</v>
      </c>
      <c r="B2108" t="s">
        <v>23</v>
      </c>
      <c r="C2108" t="s">
        <v>19</v>
      </c>
      <c r="D2108">
        <v>1</v>
      </c>
      <c r="E2108" t="s">
        <v>9</v>
      </c>
      <c r="F2108">
        <v>60000</v>
      </c>
      <c r="G2108">
        <v>31000</v>
      </c>
      <c r="H2108">
        <f>Table1[[#This Row],[Qty]]*Table1[[#This Row],[SellingPrice]]</f>
        <v>60000</v>
      </c>
      <c r="I2108">
        <f>Table1[[#This Row],[Qty]]*Table1[[#This Row],[CostPrice]]</f>
        <v>31000</v>
      </c>
      <c r="J2108">
        <v>28797</v>
      </c>
      <c r="K2108">
        <v>202.99999999999997</v>
      </c>
      <c r="L2108" t="s">
        <v>8</v>
      </c>
      <c r="M2108" t="s">
        <v>29</v>
      </c>
      <c r="N2108">
        <f>MONTH(Table1[[#This Row],[SaleDate]])</f>
        <v>8</v>
      </c>
      <c r="O2108" t="str">
        <f>TEXT(Table1[[#This Row],[SaleDate]],"MMM")</f>
        <v>Aug</v>
      </c>
    </row>
    <row r="2109" spans="1:15">
      <c r="A2109" s="1">
        <v>45167</v>
      </c>
      <c r="B2109" t="s">
        <v>23</v>
      </c>
      <c r="C2109" t="s">
        <v>19</v>
      </c>
      <c r="D2109">
        <v>1</v>
      </c>
      <c r="E2109" t="s">
        <v>10</v>
      </c>
      <c r="F2109">
        <v>89000</v>
      </c>
      <c r="G2109">
        <v>65000</v>
      </c>
      <c r="H2109">
        <f>Table1[[#This Row],[Qty]]*Table1[[#This Row],[SellingPrice]]</f>
        <v>89000</v>
      </c>
      <c r="I2109">
        <f>Table1[[#This Row],[Qty]]*Table1[[#This Row],[CostPrice]]</f>
        <v>65000</v>
      </c>
      <c r="J2109">
        <v>23832</v>
      </c>
      <c r="K2109">
        <v>167.99999999999997</v>
      </c>
      <c r="L2109" t="s">
        <v>8</v>
      </c>
      <c r="M2109" t="s">
        <v>27</v>
      </c>
      <c r="N2109">
        <f>MONTH(Table1[[#This Row],[SaleDate]])</f>
        <v>8</v>
      </c>
      <c r="O2109" t="str">
        <f>TEXT(Table1[[#This Row],[SaleDate]],"MMM")</f>
        <v>Aug</v>
      </c>
    </row>
    <row r="2110" spans="1:15">
      <c r="A2110" s="1">
        <v>45167</v>
      </c>
      <c r="B2110" t="s">
        <v>26</v>
      </c>
      <c r="C2110" t="s">
        <v>20</v>
      </c>
      <c r="D2110">
        <v>1</v>
      </c>
      <c r="E2110" t="s">
        <v>9</v>
      </c>
      <c r="F2110">
        <v>60000</v>
      </c>
      <c r="G2110">
        <v>31000</v>
      </c>
      <c r="H2110">
        <f>Table1[[#This Row],[Qty]]*Table1[[#This Row],[SellingPrice]]</f>
        <v>60000</v>
      </c>
      <c r="I2110">
        <f>Table1[[#This Row],[Qty]]*Table1[[#This Row],[CostPrice]]</f>
        <v>31000</v>
      </c>
      <c r="J2110">
        <v>28797</v>
      </c>
      <c r="K2110">
        <v>202.99999999999997</v>
      </c>
      <c r="L2110" t="s">
        <v>11</v>
      </c>
      <c r="M2110" t="s">
        <v>28</v>
      </c>
      <c r="N2110">
        <f>MONTH(Table1[[#This Row],[SaleDate]])</f>
        <v>8</v>
      </c>
      <c r="O2110" t="str">
        <f>TEXT(Table1[[#This Row],[SaleDate]],"MMM")</f>
        <v>Aug</v>
      </c>
    </row>
    <row r="2111" spans="1:15">
      <c r="A2111" s="1">
        <v>45167</v>
      </c>
      <c r="B2111" t="s">
        <v>24</v>
      </c>
      <c r="C2111" t="s">
        <v>22</v>
      </c>
      <c r="D2111">
        <v>1</v>
      </c>
      <c r="E2111" t="s">
        <v>7</v>
      </c>
      <c r="F2111">
        <v>33000</v>
      </c>
      <c r="G2111">
        <v>18000</v>
      </c>
      <c r="H2111">
        <f>Table1[[#This Row],[Qty]]*Table1[[#This Row],[SellingPrice]]</f>
        <v>33000</v>
      </c>
      <c r="I2111">
        <f>Table1[[#This Row],[Qty]]*Table1[[#This Row],[CostPrice]]</f>
        <v>18000</v>
      </c>
      <c r="J2111">
        <v>14895</v>
      </c>
      <c r="K2111">
        <v>104.99999999999999</v>
      </c>
      <c r="L2111" t="s">
        <v>12</v>
      </c>
      <c r="M2111" t="s">
        <v>30</v>
      </c>
      <c r="N2111">
        <f>MONTH(Table1[[#This Row],[SaleDate]])</f>
        <v>8</v>
      </c>
      <c r="O2111" t="str">
        <f>TEXT(Table1[[#This Row],[SaleDate]],"MMM")</f>
        <v>Aug</v>
      </c>
    </row>
    <row r="2112" spans="1:15">
      <c r="A2112" s="1">
        <v>45167</v>
      </c>
      <c r="B2112" t="s">
        <v>24</v>
      </c>
      <c r="C2112" t="s">
        <v>22</v>
      </c>
      <c r="D2112">
        <v>1</v>
      </c>
      <c r="E2112" t="s">
        <v>9</v>
      </c>
      <c r="F2112">
        <v>60000</v>
      </c>
      <c r="G2112">
        <v>31000</v>
      </c>
      <c r="H2112">
        <f>Table1[[#This Row],[Qty]]*Table1[[#This Row],[SellingPrice]]</f>
        <v>60000</v>
      </c>
      <c r="I2112">
        <f>Table1[[#This Row],[Qty]]*Table1[[#This Row],[CostPrice]]</f>
        <v>31000</v>
      </c>
      <c r="J2112">
        <v>28797</v>
      </c>
      <c r="K2112">
        <v>202.99999999999997</v>
      </c>
      <c r="L2112" t="s">
        <v>12</v>
      </c>
      <c r="M2112" t="s">
        <v>29</v>
      </c>
      <c r="N2112">
        <f>MONTH(Table1[[#This Row],[SaleDate]])</f>
        <v>8</v>
      </c>
      <c r="O2112" t="str">
        <f>TEXT(Table1[[#This Row],[SaleDate]],"MMM")</f>
        <v>Aug</v>
      </c>
    </row>
    <row r="2113" spans="1:15">
      <c r="A2113" s="1">
        <v>45167</v>
      </c>
      <c r="B2113" t="s">
        <v>24</v>
      </c>
      <c r="C2113" t="s">
        <v>22</v>
      </c>
      <c r="D2113">
        <v>1</v>
      </c>
      <c r="E2113" t="s">
        <v>10</v>
      </c>
      <c r="F2113">
        <v>89000</v>
      </c>
      <c r="G2113">
        <v>65000</v>
      </c>
      <c r="H2113">
        <f>Table1[[#This Row],[Qty]]*Table1[[#This Row],[SellingPrice]]</f>
        <v>89000</v>
      </c>
      <c r="I2113">
        <f>Table1[[#This Row],[Qty]]*Table1[[#This Row],[CostPrice]]</f>
        <v>65000</v>
      </c>
      <c r="J2113">
        <v>23832</v>
      </c>
      <c r="K2113">
        <v>167.99999999999997</v>
      </c>
      <c r="L2113" t="s">
        <v>12</v>
      </c>
      <c r="M2113" t="s">
        <v>27</v>
      </c>
      <c r="N2113">
        <f>MONTH(Table1[[#This Row],[SaleDate]])</f>
        <v>8</v>
      </c>
      <c r="O2113" t="str">
        <f>TEXT(Table1[[#This Row],[SaleDate]],"MMM")</f>
        <v>Aug</v>
      </c>
    </row>
    <row r="2114" spans="1:15">
      <c r="A2114" s="1">
        <v>45167</v>
      </c>
      <c r="B2114" t="s">
        <v>25</v>
      </c>
      <c r="C2114" t="s">
        <v>21</v>
      </c>
      <c r="D2114">
        <v>1</v>
      </c>
      <c r="E2114" t="s">
        <v>7</v>
      </c>
      <c r="F2114">
        <v>33000</v>
      </c>
      <c r="G2114">
        <v>18000</v>
      </c>
      <c r="H2114">
        <f>Table1[[#This Row],[Qty]]*Table1[[#This Row],[SellingPrice]]</f>
        <v>33000</v>
      </c>
      <c r="I2114">
        <f>Table1[[#This Row],[Qty]]*Table1[[#This Row],[CostPrice]]</f>
        <v>18000</v>
      </c>
      <c r="J2114">
        <v>14895</v>
      </c>
      <c r="K2114">
        <v>104.99999999999999</v>
      </c>
      <c r="L2114" t="s">
        <v>13</v>
      </c>
      <c r="M2114" t="s">
        <v>30</v>
      </c>
      <c r="N2114">
        <f>MONTH(Table1[[#This Row],[SaleDate]])</f>
        <v>8</v>
      </c>
      <c r="O2114" t="str">
        <f>TEXT(Table1[[#This Row],[SaleDate]],"MMM")</f>
        <v>Aug</v>
      </c>
    </row>
    <row r="2115" spans="1:15">
      <c r="A2115" s="1">
        <v>45167</v>
      </c>
      <c r="B2115" t="s">
        <v>25</v>
      </c>
      <c r="C2115" t="s">
        <v>21</v>
      </c>
      <c r="D2115">
        <v>1</v>
      </c>
      <c r="E2115" t="s">
        <v>9</v>
      </c>
      <c r="F2115">
        <v>60000</v>
      </c>
      <c r="G2115">
        <v>31000</v>
      </c>
      <c r="H2115">
        <f>Table1[[#This Row],[Qty]]*Table1[[#This Row],[SellingPrice]]</f>
        <v>60000</v>
      </c>
      <c r="I2115">
        <f>Table1[[#This Row],[Qty]]*Table1[[#This Row],[CostPrice]]</f>
        <v>31000</v>
      </c>
      <c r="J2115">
        <v>28797</v>
      </c>
      <c r="K2115">
        <v>202.99999999999997</v>
      </c>
      <c r="L2115" t="s">
        <v>13</v>
      </c>
      <c r="M2115" t="s">
        <v>27</v>
      </c>
      <c r="N2115">
        <f>MONTH(Table1[[#This Row],[SaleDate]])</f>
        <v>8</v>
      </c>
      <c r="O2115" t="str">
        <f>TEXT(Table1[[#This Row],[SaleDate]],"MMM")</f>
        <v>Aug</v>
      </c>
    </row>
    <row r="2116" spans="1:15">
      <c r="A2116" s="1">
        <v>45167</v>
      </c>
      <c r="B2116" t="s">
        <v>25</v>
      </c>
      <c r="C2116" t="s">
        <v>21</v>
      </c>
      <c r="D2116">
        <v>1</v>
      </c>
      <c r="E2116" t="s">
        <v>10</v>
      </c>
      <c r="F2116">
        <v>89000</v>
      </c>
      <c r="G2116">
        <v>65000</v>
      </c>
      <c r="H2116">
        <f>Table1[[#This Row],[Qty]]*Table1[[#This Row],[SellingPrice]]</f>
        <v>89000</v>
      </c>
      <c r="I2116">
        <f>Table1[[#This Row],[Qty]]*Table1[[#This Row],[CostPrice]]</f>
        <v>65000</v>
      </c>
      <c r="J2116">
        <v>23832</v>
      </c>
      <c r="K2116">
        <v>167.99999999999997</v>
      </c>
      <c r="L2116" t="s">
        <v>13</v>
      </c>
      <c r="M2116" t="s">
        <v>30</v>
      </c>
      <c r="N2116">
        <f>MONTH(Table1[[#This Row],[SaleDate]])</f>
        <v>8</v>
      </c>
      <c r="O2116" t="str">
        <f>TEXT(Table1[[#This Row],[SaleDate]],"MMM")</f>
        <v>Aug</v>
      </c>
    </row>
    <row r="2117" spans="1:15">
      <c r="A2117" s="1">
        <v>45168</v>
      </c>
      <c r="B2117" t="s">
        <v>23</v>
      </c>
      <c r="C2117" t="s">
        <v>19</v>
      </c>
      <c r="D2117">
        <v>1</v>
      </c>
      <c r="E2117" t="s">
        <v>7</v>
      </c>
      <c r="F2117">
        <v>33000</v>
      </c>
      <c r="G2117">
        <v>18000</v>
      </c>
      <c r="H2117">
        <f>Table1[[#This Row],[Qty]]*Table1[[#This Row],[SellingPrice]]</f>
        <v>33000</v>
      </c>
      <c r="I2117">
        <f>Table1[[#This Row],[Qty]]*Table1[[#This Row],[CostPrice]]</f>
        <v>18000</v>
      </c>
      <c r="J2117">
        <v>14895</v>
      </c>
      <c r="K2117">
        <v>104.99999999999999</v>
      </c>
      <c r="L2117" t="s">
        <v>8</v>
      </c>
      <c r="M2117" t="s">
        <v>28</v>
      </c>
      <c r="N2117">
        <f>MONTH(Table1[[#This Row],[SaleDate]])</f>
        <v>8</v>
      </c>
      <c r="O2117" t="str">
        <f>TEXT(Table1[[#This Row],[SaleDate]],"MMM")</f>
        <v>Aug</v>
      </c>
    </row>
    <row r="2118" spans="1:15">
      <c r="A2118" s="1">
        <v>45168</v>
      </c>
      <c r="B2118" t="s">
        <v>23</v>
      </c>
      <c r="C2118" t="s">
        <v>19</v>
      </c>
      <c r="D2118">
        <v>1</v>
      </c>
      <c r="E2118" t="s">
        <v>9</v>
      </c>
      <c r="F2118">
        <v>60000</v>
      </c>
      <c r="G2118">
        <v>31000</v>
      </c>
      <c r="H2118">
        <f>Table1[[#This Row],[Qty]]*Table1[[#This Row],[SellingPrice]]</f>
        <v>60000</v>
      </c>
      <c r="I2118">
        <f>Table1[[#This Row],[Qty]]*Table1[[#This Row],[CostPrice]]</f>
        <v>31000</v>
      </c>
      <c r="J2118">
        <v>28797</v>
      </c>
      <c r="K2118">
        <v>202.99999999999997</v>
      </c>
      <c r="L2118" t="s">
        <v>8</v>
      </c>
      <c r="M2118" t="s">
        <v>27</v>
      </c>
      <c r="N2118">
        <f>MONTH(Table1[[#This Row],[SaleDate]])</f>
        <v>8</v>
      </c>
      <c r="O2118" t="str">
        <f>TEXT(Table1[[#This Row],[SaleDate]],"MMM")</f>
        <v>Aug</v>
      </c>
    </row>
    <row r="2119" spans="1:15">
      <c r="A2119" s="1">
        <v>45168</v>
      </c>
      <c r="B2119" t="s">
        <v>23</v>
      </c>
      <c r="C2119" t="s">
        <v>19</v>
      </c>
      <c r="D2119">
        <v>1</v>
      </c>
      <c r="E2119" t="s">
        <v>10</v>
      </c>
      <c r="F2119">
        <v>89000</v>
      </c>
      <c r="G2119">
        <v>65000</v>
      </c>
      <c r="H2119">
        <f>Table1[[#This Row],[Qty]]*Table1[[#This Row],[SellingPrice]]</f>
        <v>89000</v>
      </c>
      <c r="I2119">
        <f>Table1[[#This Row],[Qty]]*Table1[[#This Row],[CostPrice]]</f>
        <v>65000</v>
      </c>
      <c r="J2119">
        <v>23832</v>
      </c>
      <c r="K2119">
        <v>167.99999999999997</v>
      </c>
      <c r="L2119" t="s">
        <v>8</v>
      </c>
      <c r="M2119" t="s">
        <v>30</v>
      </c>
      <c r="N2119">
        <f>MONTH(Table1[[#This Row],[SaleDate]])</f>
        <v>8</v>
      </c>
      <c r="O2119" t="str">
        <f>TEXT(Table1[[#This Row],[SaleDate]],"MMM")</f>
        <v>Aug</v>
      </c>
    </row>
    <row r="2120" spans="1:15">
      <c r="A2120" s="1">
        <v>45168</v>
      </c>
      <c r="B2120" t="s">
        <v>26</v>
      </c>
      <c r="C2120" t="s">
        <v>20</v>
      </c>
      <c r="D2120">
        <v>1</v>
      </c>
      <c r="E2120" t="s">
        <v>9</v>
      </c>
      <c r="F2120">
        <v>60000</v>
      </c>
      <c r="G2120">
        <v>31000</v>
      </c>
      <c r="H2120">
        <f>Table1[[#This Row],[Qty]]*Table1[[#This Row],[SellingPrice]]</f>
        <v>60000</v>
      </c>
      <c r="I2120">
        <f>Table1[[#This Row],[Qty]]*Table1[[#This Row],[CostPrice]]</f>
        <v>31000</v>
      </c>
      <c r="J2120">
        <v>28797</v>
      </c>
      <c r="K2120">
        <v>202.99999999999997</v>
      </c>
      <c r="L2120" t="s">
        <v>11</v>
      </c>
      <c r="M2120" t="s">
        <v>30</v>
      </c>
      <c r="N2120">
        <f>MONTH(Table1[[#This Row],[SaleDate]])</f>
        <v>8</v>
      </c>
      <c r="O2120" t="str">
        <f>TEXT(Table1[[#This Row],[SaleDate]],"MMM")</f>
        <v>Aug</v>
      </c>
    </row>
    <row r="2121" spans="1:15">
      <c r="A2121" s="1">
        <v>45168</v>
      </c>
      <c r="B2121" t="s">
        <v>24</v>
      </c>
      <c r="C2121" t="s">
        <v>22</v>
      </c>
      <c r="D2121">
        <v>1</v>
      </c>
      <c r="E2121" t="s">
        <v>7</v>
      </c>
      <c r="F2121">
        <v>33000</v>
      </c>
      <c r="G2121">
        <v>18000</v>
      </c>
      <c r="H2121">
        <f>Table1[[#This Row],[Qty]]*Table1[[#This Row],[SellingPrice]]</f>
        <v>33000</v>
      </c>
      <c r="I2121">
        <f>Table1[[#This Row],[Qty]]*Table1[[#This Row],[CostPrice]]</f>
        <v>18000</v>
      </c>
      <c r="J2121">
        <v>14895</v>
      </c>
      <c r="K2121">
        <v>104.99999999999999</v>
      </c>
      <c r="L2121" t="s">
        <v>12</v>
      </c>
      <c r="M2121" t="s">
        <v>27</v>
      </c>
      <c r="N2121">
        <f>MONTH(Table1[[#This Row],[SaleDate]])</f>
        <v>8</v>
      </c>
      <c r="O2121" t="str">
        <f>TEXT(Table1[[#This Row],[SaleDate]],"MMM")</f>
        <v>Aug</v>
      </c>
    </row>
    <row r="2122" spans="1:15">
      <c r="A2122" s="1">
        <v>45168</v>
      </c>
      <c r="B2122" t="s">
        <v>24</v>
      </c>
      <c r="C2122" t="s">
        <v>22</v>
      </c>
      <c r="D2122">
        <v>1</v>
      </c>
      <c r="E2122" t="s">
        <v>9</v>
      </c>
      <c r="F2122">
        <v>60000</v>
      </c>
      <c r="G2122">
        <v>31000</v>
      </c>
      <c r="H2122">
        <f>Table1[[#This Row],[Qty]]*Table1[[#This Row],[SellingPrice]]</f>
        <v>60000</v>
      </c>
      <c r="I2122">
        <f>Table1[[#This Row],[Qty]]*Table1[[#This Row],[CostPrice]]</f>
        <v>31000</v>
      </c>
      <c r="J2122">
        <v>28797</v>
      </c>
      <c r="K2122">
        <v>202.99999999999997</v>
      </c>
      <c r="L2122" t="s">
        <v>12</v>
      </c>
      <c r="M2122" t="s">
        <v>29</v>
      </c>
      <c r="N2122">
        <f>MONTH(Table1[[#This Row],[SaleDate]])</f>
        <v>8</v>
      </c>
      <c r="O2122" t="str">
        <f>TEXT(Table1[[#This Row],[SaleDate]],"MMM")</f>
        <v>Aug</v>
      </c>
    </row>
    <row r="2123" spans="1:15">
      <c r="A2123" s="1">
        <v>45168</v>
      </c>
      <c r="B2123" t="s">
        <v>24</v>
      </c>
      <c r="C2123" t="s">
        <v>22</v>
      </c>
      <c r="D2123">
        <v>1</v>
      </c>
      <c r="E2123" t="s">
        <v>10</v>
      </c>
      <c r="F2123">
        <v>89000</v>
      </c>
      <c r="G2123">
        <v>65000</v>
      </c>
      <c r="H2123">
        <f>Table1[[#This Row],[Qty]]*Table1[[#This Row],[SellingPrice]]</f>
        <v>89000</v>
      </c>
      <c r="I2123">
        <f>Table1[[#This Row],[Qty]]*Table1[[#This Row],[CostPrice]]</f>
        <v>65000</v>
      </c>
      <c r="J2123">
        <v>23832</v>
      </c>
      <c r="K2123">
        <v>167.99999999999997</v>
      </c>
      <c r="L2123" t="s">
        <v>12</v>
      </c>
      <c r="M2123" t="s">
        <v>29</v>
      </c>
      <c r="N2123">
        <f>MONTH(Table1[[#This Row],[SaleDate]])</f>
        <v>8</v>
      </c>
      <c r="O2123" t="str">
        <f>TEXT(Table1[[#This Row],[SaleDate]],"MMM")</f>
        <v>Aug</v>
      </c>
    </row>
    <row r="2124" spans="1:15">
      <c r="A2124" s="1">
        <v>45168</v>
      </c>
      <c r="B2124" t="s">
        <v>25</v>
      </c>
      <c r="C2124" t="s">
        <v>21</v>
      </c>
      <c r="D2124">
        <v>1</v>
      </c>
      <c r="E2124" t="s">
        <v>7</v>
      </c>
      <c r="F2124">
        <v>33000</v>
      </c>
      <c r="G2124">
        <v>18000</v>
      </c>
      <c r="H2124">
        <f>Table1[[#This Row],[Qty]]*Table1[[#This Row],[SellingPrice]]</f>
        <v>33000</v>
      </c>
      <c r="I2124">
        <f>Table1[[#This Row],[Qty]]*Table1[[#This Row],[CostPrice]]</f>
        <v>18000</v>
      </c>
      <c r="J2124">
        <v>14895</v>
      </c>
      <c r="K2124">
        <v>104.99999999999999</v>
      </c>
      <c r="L2124" t="s">
        <v>13</v>
      </c>
      <c r="M2124" t="s">
        <v>30</v>
      </c>
      <c r="N2124">
        <f>MONTH(Table1[[#This Row],[SaleDate]])</f>
        <v>8</v>
      </c>
      <c r="O2124" t="str">
        <f>TEXT(Table1[[#This Row],[SaleDate]],"MMM")</f>
        <v>Aug</v>
      </c>
    </row>
    <row r="2125" spans="1:15">
      <c r="A2125" s="1">
        <v>45168</v>
      </c>
      <c r="B2125" t="s">
        <v>25</v>
      </c>
      <c r="C2125" t="s">
        <v>21</v>
      </c>
      <c r="D2125">
        <v>1</v>
      </c>
      <c r="E2125" t="s">
        <v>9</v>
      </c>
      <c r="F2125">
        <v>60000</v>
      </c>
      <c r="G2125">
        <v>31000</v>
      </c>
      <c r="H2125">
        <f>Table1[[#This Row],[Qty]]*Table1[[#This Row],[SellingPrice]]</f>
        <v>60000</v>
      </c>
      <c r="I2125">
        <f>Table1[[#This Row],[Qty]]*Table1[[#This Row],[CostPrice]]</f>
        <v>31000</v>
      </c>
      <c r="J2125">
        <v>28797</v>
      </c>
      <c r="K2125">
        <v>202.99999999999997</v>
      </c>
      <c r="L2125" t="s">
        <v>13</v>
      </c>
      <c r="M2125" t="s">
        <v>29</v>
      </c>
      <c r="N2125">
        <f>MONTH(Table1[[#This Row],[SaleDate]])</f>
        <v>8</v>
      </c>
      <c r="O2125" t="str">
        <f>TEXT(Table1[[#This Row],[SaleDate]],"MMM")</f>
        <v>Aug</v>
      </c>
    </row>
    <row r="2126" spans="1:15">
      <c r="A2126" s="1">
        <v>45168</v>
      </c>
      <c r="B2126" t="s">
        <v>25</v>
      </c>
      <c r="C2126" t="s">
        <v>21</v>
      </c>
      <c r="D2126">
        <v>1</v>
      </c>
      <c r="E2126" t="s">
        <v>10</v>
      </c>
      <c r="F2126">
        <v>89000</v>
      </c>
      <c r="G2126">
        <v>65000</v>
      </c>
      <c r="H2126">
        <f>Table1[[#This Row],[Qty]]*Table1[[#This Row],[SellingPrice]]</f>
        <v>89000</v>
      </c>
      <c r="I2126">
        <f>Table1[[#This Row],[Qty]]*Table1[[#This Row],[CostPrice]]</f>
        <v>65000</v>
      </c>
      <c r="J2126">
        <v>23832</v>
      </c>
      <c r="K2126">
        <v>167.99999999999997</v>
      </c>
      <c r="L2126" t="s">
        <v>13</v>
      </c>
      <c r="M2126" t="s">
        <v>30</v>
      </c>
      <c r="N2126">
        <f>MONTH(Table1[[#This Row],[SaleDate]])</f>
        <v>8</v>
      </c>
      <c r="O2126" t="str">
        <f>TEXT(Table1[[#This Row],[SaleDate]],"MMM")</f>
        <v>Aug</v>
      </c>
    </row>
    <row r="2127" spans="1:15">
      <c r="A2127" s="1">
        <v>45169</v>
      </c>
      <c r="B2127" t="s">
        <v>23</v>
      </c>
      <c r="C2127" t="s">
        <v>19</v>
      </c>
      <c r="D2127">
        <v>1</v>
      </c>
      <c r="E2127" t="s">
        <v>7</v>
      </c>
      <c r="F2127">
        <v>33000</v>
      </c>
      <c r="G2127">
        <v>18000</v>
      </c>
      <c r="H2127">
        <f>Table1[[#This Row],[Qty]]*Table1[[#This Row],[SellingPrice]]</f>
        <v>33000</v>
      </c>
      <c r="I2127">
        <f>Table1[[#This Row],[Qty]]*Table1[[#This Row],[CostPrice]]</f>
        <v>18000</v>
      </c>
      <c r="J2127">
        <v>14895</v>
      </c>
      <c r="K2127">
        <v>104.99999999999999</v>
      </c>
      <c r="L2127" t="s">
        <v>8</v>
      </c>
      <c r="M2127" t="s">
        <v>29</v>
      </c>
      <c r="N2127">
        <f>MONTH(Table1[[#This Row],[SaleDate]])</f>
        <v>8</v>
      </c>
      <c r="O2127" t="str">
        <f>TEXT(Table1[[#This Row],[SaleDate]],"MMM")</f>
        <v>Aug</v>
      </c>
    </row>
    <row r="2128" spans="1:15">
      <c r="A2128" s="1">
        <v>45169</v>
      </c>
      <c r="B2128" t="s">
        <v>23</v>
      </c>
      <c r="C2128" t="s">
        <v>19</v>
      </c>
      <c r="D2128">
        <v>1</v>
      </c>
      <c r="E2128" t="s">
        <v>9</v>
      </c>
      <c r="F2128">
        <v>60000</v>
      </c>
      <c r="G2128">
        <v>31000</v>
      </c>
      <c r="H2128">
        <f>Table1[[#This Row],[Qty]]*Table1[[#This Row],[SellingPrice]]</f>
        <v>60000</v>
      </c>
      <c r="I2128">
        <f>Table1[[#This Row],[Qty]]*Table1[[#This Row],[CostPrice]]</f>
        <v>31000</v>
      </c>
      <c r="J2128">
        <v>28797</v>
      </c>
      <c r="K2128">
        <v>202.99999999999997</v>
      </c>
      <c r="L2128" t="s">
        <v>8</v>
      </c>
      <c r="M2128" t="s">
        <v>27</v>
      </c>
      <c r="N2128">
        <f>MONTH(Table1[[#This Row],[SaleDate]])</f>
        <v>8</v>
      </c>
      <c r="O2128" t="str">
        <f>TEXT(Table1[[#This Row],[SaleDate]],"MMM")</f>
        <v>Aug</v>
      </c>
    </row>
    <row r="2129" spans="1:15">
      <c r="A2129" s="1">
        <v>45169</v>
      </c>
      <c r="B2129" t="s">
        <v>23</v>
      </c>
      <c r="C2129" t="s">
        <v>19</v>
      </c>
      <c r="D2129">
        <v>1</v>
      </c>
      <c r="E2129" t="s">
        <v>10</v>
      </c>
      <c r="F2129">
        <v>89000</v>
      </c>
      <c r="G2129">
        <v>65000</v>
      </c>
      <c r="H2129">
        <f>Table1[[#This Row],[Qty]]*Table1[[#This Row],[SellingPrice]]</f>
        <v>89000</v>
      </c>
      <c r="I2129">
        <f>Table1[[#This Row],[Qty]]*Table1[[#This Row],[CostPrice]]</f>
        <v>65000</v>
      </c>
      <c r="J2129">
        <v>23832</v>
      </c>
      <c r="K2129">
        <v>167.99999999999997</v>
      </c>
      <c r="L2129" t="s">
        <v>8</v>
      </c>
      <c r="M2129" t="s">
        <v>30</v>
      </c>
      <c r="N2129">
        <f>MONTH(Table1[[#This Row],[SaleDate]])</f>
        <v>8</v>
      </c>
      <c r="O2129" t="str">
        <f>TEXT(Table1[[#This Row],[SaleDate]],"MMM")</f>
        <v>Aug</v>
      </c>
    </row>
    <row r="2130" spans="1:15">
      <c r="A2130" s="1">
        <v>45169</v>
      </c>
      <c r="B2130" t="s">
        <v>26</v>
      </c>
      <c r="C2130" t="s">
        <v>20</v>
      </c>
      <c r="D2130">
        <v>1</v>
      </c>
      <c r="E2130" t="s">
        <v>9</v>
      </c>
      <c r="F2130">
        <v>60000</v>
      </c>
      <c r="G2130">
        <v>31000</v>
      </c>
      <c r="H2130">
        <f>Table1[[#This Row],[Qty]]*Table1[[#This Row],[SellingPrice]]</f>
        <v>60000</v>
      </c>
      <c r="I2130">
        <f>Table1[[#This Row],[Qty]]*Table1[[#This Row],[CostPrice]]</f>
        <v>31000</v>
      </c>
      <c r="J2130">
        <v>28797</v>
      </c>
      <c r="K2130">
        <v>202.99999999999997</v>
      </c>
      <c r="L2130" t="s">
        <v>11</v>
      </c>
      <c r="M2130" t="s">
        <v>27</v>
      </c>
      <c r="N2130">
        <f>MONTH(Table1[[#This Row],[SaleDate]])</f>
        <v>8</v>
      </c>
      <c r="O2130" t="str">
        <f>TEXT(Table1[[#This Row],[SaleDate]],"MMM")</f>
        <v>Aug</v>
      </c>
    </row>
    <row r="2131" spans="1:15">
      <c r="A2131" s="1">
        <v>45169</v>
      </c>
      <c r="B2131" t="s">
        <v>24</v>
      </c>
      <c r="C2131" t="s">
        <v>22</v>
      </c>
      <c r="D2131">
        <v>1</v>
      </c>
      <c r="E2131" t="s">
        <v>7</v>
      </c>
      <c r="F2131">
        <v>33000</v>
      </c>
      <c r="G2131">
        <v>18000</v>
      </c>
      <c r="H2131">
        <f>Table1[[#This Row],[Qty]]*Table1[[#This Row],[SellingPrice]]</f>
        <v>33000</v>
      </c>
      <c r="I2131">
        <f>Table1[[#This Row],[Qty]]*Table1[[#This Row],[CostPrice]]</f>
        <v>18000</v>
      </c>
      <c r="J2131">
        <v>14895</v>
      </c>
      <c r="K2131">
        <v>104.99999999999999</v>
      </c>
      <c r="L2131" t="s">
        <v>12</v>
      </c>
      <c r="M2131" t="s">
        <v>29</v>
      </c>
      <c r="N2131">
        <f>MONTH(Table1[[#This Row],[SaleDate]])</f>
        <v>8</v>
      </c>
      <c r="O2131" t="str">
        <f>TEXT(Table1[[#This Row],[SaleDate]],"MMM")</f>
        <v>Aug</v>
      </c>
    </row>
    <row r="2132" spans="1:15">
      <c r="A2132" s="1">
        <v>45169</v>
      </c>
      <c r="B2132" t="s">
        <v>24</v>
      </c>
      <c r="C2132" t="s">
        <v>22</v>
      </c>
      <c r="D2132">
        <v>1</v>
      </c>
      <c r="E2132" t="s">
        <v>9</v>
      </c>
      <c r="F2132">
        <v>60000</v>
      </c>
      <c r="G2132">
        <v>31000</v>
      </c>
      <c r="H2132">
        <f>Table1[[#This Row],[Qty]]*Table1[[#This Row],[SellingPrice]]</f>
        <v>60000</v>
      </c>
      <c r="I2132">
        <f>Table1[[#This Row],[Qty]]*Table1[[#This Row],[CostPrice]]</f>
        <v>31000</v>
      </c>
      <c r="J2132">
        <v>28797</v>
      </c>
      <c r="K2132">
        <v>202.99999999999997</v>
      </c>
      <c r="L2132" t="s">
        <v>12</v>
      </c>
      <c r="M2132" t="s">
        <v>30</v>
      </c>
      <c r="N2132">
        <f>MONTH(Table1[[#This Row],[SaleDate]])</f>
        <v>8</v>
      </c>
      <c r="O2132" t="str">
        <f>TEXT(Table1[[#This Row],[SaleDate]],"MMM")</f>
        <v>Aug</v>
      </c>
    </row>
    <row r="2133" spans="1:15">
      <c r="A2133" s="1">
        <v>45169</v>
      </c>
      <c r="B2133" t="s">
        <v>24</v>
      </c>
      <c r="C2133" t="s">
        <v>22</v>
      </c>
      <c r="D2133">
        <v>1</v>
      </c>
      <c r="E2133" t="s">
        <v>10</v>
      </c>
      <c r="F2133">
        <v>89000</v>
      </c>
      <c r="G2133">
        <v>65000</v>
      </c>
      <c r="H2133">
        <f>Table1[[#This Row],[Qty]]*Table1[[#This Row],[SellingPrice]]</f>
        <v>89000</v>
      </c>
      <c r="I2133">
        <f>Table1[[#This Row],[Qty]]*Table1[[#This Row],[CostPrice]]</f>
        <v>65000</v>
      </c>
      <c r="J2133">
        <v>23832</v>
      </c>
      <c r="K2133">
        <v>167.99999999999997</v>
      </c>
      <c r="L2133" t="s">
        <v>12</v>
      </c>
      <c r="M2133" t="s">
        <v>30</v>
      </c>
      <c r="N2133">
        <f>MONTH(Table1[[#This Row],[SaleDate]])</f>
        <v>8</v>
      </c>
      <c r="O2133" t="str">
        <f>TEXT(Table1[[#This Row],[SaleDate]],"MMM")</f>
        <v>Aug</v>
      </c>
    </row>
    <row r="2134" spans="1:15">
      <c r="A2134" s="1">
        <v>45169</v>
      </c>
      <c r="B2134" t="s">
        <v>25</v>
      </c>
      <c r="C2134" t="s">
        <v>21</v>
      </c>
      <c r="D2134">
        <v>1</v>
      </c>
      <c r="E2134" t="s">
        <v>7</v>
      </c>
      <c r="F2134">
        <v>33000</v>
      </c>
      <c r="G2134">
        <v>18000</v>
      </c>
      <c r="H2134">
        <f>Table1[[#This Row],[Qty]]*Table1[[#This Row],[SellingPrice]]</f>
        <v>33000</v>
      </c>
      <c r="I2134">
        <f>Table1[[#This Row],[Qty]]*Table1[[#This Row],[CostPrice]]</f>
        <v>18000</v>
      </c>
      <c r="J2134">
        <v>14895</v>
      </c>
      <c r="K2134">
        <v>104.99999999999999</v>
      </c>
      <c r="L2134" t="s">
        <v>13</v>
      </c>
      <c r="M2134" t="s">
        <v>30</v>
      </c>
      <c r="N2134">
        <f>MONTH(Table1[[#This Row],[SaleDate]])</f>
        <v>8</v>
      </c>
      <c r="O2134" t="str">
        <f>TEXT(Table1[[#This Row],[SaleDate]],"MMM")</f>
        <v>Aug</v>
      </c>
    </row>
    <row r="2135" spans="1:15">
      <c r="A2135" s="1">
        <v>45169</v>
      </c>
      <c r="B2135" t="s">
        <v>25</v>
      </c>
      <c r="C2135" t="s">
        <v>21</v>
      </c>
      <c r="D2135">
        <v>1</v>
      </c>
      <c r="E2135" t="s">
        <v>9</v>
      </c>
      <c r="F2135">
        <v>60000</v>
      </c>
      <c r="G2135">
        <v>31000</v>
      </c>
      <c r="H2135">
        <f>Table1[[#This Row],[Qty]]*Table1[[#This Row],[SellingPrice]]</f>
        <v>60000</v>
      </c>
      <c r="I2135">
        <f>Table1[[#This Row],[Qty]]*Table1[[#This Row],[CostPrice]]</f>
        <v>31000</v>
      </c>
      <c r="J2135">
        <v>28797</v>
      </c>
      <c r="K2135">
        <v>202.99999999999997</v>
      </c>
      <c r="L2135" t="s">
        <v>13</v>
      </c>
      <c r="M2135" t="s">
        <v>27</v>
      </c>
      <c r="N2135">
        <f>MONTH(Table1[[#This Row],[SaleDate]])</f>
        <v>8</v>
      </c>
      <c r="O2135" t="str">
        <f>TEXT(Table1[[#This Row],[SaleDate]],"MMM")</f>
        <v>Aug</v>
      </c>
    </row>
    <row r="2136" spans="1:15">
      <c r="A2136" s="1">
        <v>45169</v>
      </c>
      <c r="B2136" t="s">
        <v>25</v>
      </c>
      <c r="C2136" t="s">
        <v>21</v>
      </c>
      <c r="D2136">
        <v>1</v>
      </c>
      <c r="E2136" t="s">
        <v>10</v>
      </c>
      <c r="F2136">
        <v>89000</v>
      </c>
      <c r="G2136">
        <v>65000</v>
      </c>
      <c r="H2136">
        <f>Table1[[#This Row],[Qty]]*Table1[[#This Row],[SellingPrice]]</f>
        <v>89000</v>
      </c>
      <c r="I2136">
        <f>Table1[[#This Row],[Qty]]*Table1[[#This Row],[CostPrice]]</f>
        <v>65000</v>
      </c>
      <c r="J2136">
        <v>23832</v>
      </c>
      <c r="K2136">
        <v>167.99999999999997</v>
      </c>
      <c r="L2136" t="s">
        <v>13</v>
      </c>
      <c r="M2136" t="s">
        <v>27</v>
      </c>
      <c r="N2136">
        <f>MONTH(Table1[[#This Row],[SaleDate]])</f>
        <v>8</v>
      </c>
      <c r="O2136" t="str">
        <f>TEXT(Table1[[#This Row],[SaleDate]],"MMM")</f>
        <v>Aug</v>
      </c>
    </row>
    <row r="2137" spans="1:15">
      <c r="A2137" s="1">
        <v>45170</v>
      </c>
      <c r="B2137" t="s">
        <v>23</v>
      </c>
      <c r="C2137" t="s">
        <v>19</v>
      </c>
      <c r="D2137">
        <v>1</v>
      </c>
      <c r="E2137" t="s">
        <v>7</v>
      </c>
      <c r="F2137">
        <v>33000</v>
      </c>
      <c r="G2137">
        <v>18000</v>
      </c>
      <c r="H2137">
        <f>Table1[[#This Row],[Qty]]*Table1[[#This Row],[SellingPrice]]</f>
        <v>33000</v>
      </c>
      <c r="I2137">
        <f>Table1[[#This Row],[Qty]]*Table1[[#This Row],[CostPrice]]</f>
        <v>18000</v>
      </c>
      <c r="J2137">
        <v>14895</v>
      </c>
      <c r="K2137">
        <v>104.99999999999999</v>
      </c>
      <c r="L2137" t="s">
        <v>8</v>
      </c>
      <c r="M2137" t="s">
        <v>30</v>
      </c>
      <c r="N2137">
        <f>MONTH(Table1[[#This Row],[SaleDate]])</f>
        <v>9</v>
      </c>
      <c r="O2137" t="str">
        <f>TEXT(Table1[[#This Row],[SaleDate]],"MMM")</f>
        <v>Sep</v>
      </c>
    </row>
    <row r="2138" spans="1:15">
      <c r="A2138" s="1">
        <v>45170</v>
      </c>
      <c r="B2138" t="s">
        <v>23</v>
      </c>
      <c r="C2138" t="s">
        <v>19</v>
      </c>
      <c r="D2138">
        <v>1</v>
      </c>
      <c r="E2138" t="s">
        <v>9</v>
      </c>
      <c r="F2138">
        <v>60000</v>
      </c>
      <c r="G2138">
        <v>31000</v>
      </c>
      <c r="H2138">
        <f>Table1[[#This Row],[Qty]]*Table1[[#This Row],[SellingPrice]]</f>
        <v>60000</v>
      </c>
      <c r="I2138">
        <f>Table1[[#This Row],[Qty]]*Table1[[#This Row],[CostPrice]]</f>
        <v>31000</v>
      </c>
      <c r="J2138">
        <v>28797</v>
      </c>
      <c r="K2138">
        <v>202.99999999999997</v>
      </c>
      <c r="L2138" t="s">
        <v>8</v>
      </c>
      <c r="M2138" t="s">
        <v>30</v>
      </c>
      <c r="N2138">
        <f>MONTH(Table1[[#This Row],[SaleDate]])</f>
        <v>9</v>
      </c>
      <c r="O2138" t="str">
        <f>TEXT(Table1[[#This Row],[SaleDate]],"MMM")</f>
        <v>Sep</v>
      </c>
    </row>
    <row r="2139" spans="1:15">
      <c r="A2139" s="1">
        <v>45170</v>
      </c>
      <c r="B2139" t="s">
        <v>23</v>
      </c>
      <c r="C2139" t="s">
        <v>19</v>
      </c>
      <c r="D2139">
        <v>1</v>
      </c>
      <c r="E2139" t="s">
        <v>10</v>
      </c>
      <c r="F2139">
        <v>89000</v>
      </c>
      <c r="G2139">
        <v>65000</v>
      </c>
      <c r="H2139">
        <f>Table1[[#This Row],[Qty]]*Table1[[#This Row],[SellingPrice]]</f>
        <v>89000</v>
      </c>
      <c r="I2139">
        <f>Table1[[#This Row],[Qty]]*Table1[[#This Row],[CostPrice]]</f>
        <v>65000</v>
      </c>
      <c r="J2139">
        <v>23832</v>
      </c>
      <c r="K2139">
        <v>167.99999999999997</v>
      </c>
      <c r="L2139" t="s">
        <v>8</v>
      </c>
      <c r="M2139" t="s">
        <v>30</v>
      </c>
      <c r="N2139">
        <f>MONTH(Table1[[#This Row],[SaleDate]])</f>
        <v>9</v>
      </c>
      <c r="O2139" t="str">
        <f>TEXT(Table1[[#This Row],[SaleDate]],"MMM")</f>
        <v>Sep</v>
      </c>
    </row>
    <row r="2140" spans="1:15">
      <c r="A2140" s="1">
        <v>45170</v>
      </c>
      <c r="B2140" t="s">
        <v>26</v>
      </c>
      <c r="C2140" t="s">
        <v>20</v>
      </c>
      <c r="D2140">
        <v>1</v>
      </c>
      <c r="E2140" t="s">
        <v>9</v>
      </c>
      <c r="F2140">
        <v>60000</v>
      </c>
      <c r="G2140">
        <v>31000</v>
      </c>
      <c r="H2140">
        <f>Table1[[#This Row],[Qty]]*Table1[[#This Row],[SellingPrice]]</f>
        <v>60000</v>
      </c>
      <c r="I2140">
        <f>Table1[[#This Row],[Qty]]*Table1[[#This Row],[CostPrice]]</f>
        <v>31000</v>
      </c>
      <c r="J2140">
        <v>28797</v>
      </c>
      <c r="K2140">
        <v>202.99999999999997</v>
      </c>
      <c r="L2140" t="s">
        <v>11</v>
      </c>
      <c r="M2140" t="s">
        <v>27</v>
      </c>
      <c r="N2140">
        <f>MONTH(Table1[[#This Row],[SaleDate]])</f>
        <v>9</v>
      </c>
      <c r="O2140" t="str">
        <f>TEXT(Table1[[#This Row],[SaleDate]],"MMM")</f>
        <v>Sep</v>
      </c>
    </row>
    <row r="2141" spans="1:15">
      <c r="A2141" s="1">
        <v>45170</v>
      </c>
      <c r="B2141" t="s">
        <v>24</v>
      </c>
      <c r="C2141" t="s">
        <v>22</v>
      </c>
      <c r="D2141">
        <v>1</v>
      </c>
      <c r="E2141" t="s">
        <v>7</v>
      </c>
      <c r="F2141">
        <v>33000</v>
      </c>
      <c r="G2141">
        <v>18000</v>
      </c>
      <c r="H2141">
        <f>Table1[[#This Row],[Qty]]*Table1[[#This Row],[SellingPrice]]</f>
        <v>33000</v>
      </c>
      <c r="I2141">
        <f>Table1[[#This Row],[Qty]]*Table1[[#This Row],[CostPrice]]</f>
        <v>18000</v>
      </c>
      <c r="J2141">
        <v>14895</v>
      </c>
      <c r="K2141">
        <v>104.99999999999999</v>
      </c>
      <c r="L2141" t="s">
        <v>12</v>
      </c>
      <c r="M2141" t="s">
        <v>30</v>
      </c>
      <c r="N2141">
        <f>MONTH(Table1[[#This Row],[SaleDate]])</f>
        <v>9</v>
      </c>
      <c r="O2141" t="str">
        <f>TEXT(Table1[[#This Row],[SaleDate]],"MMM")</f>
        <v>Sep</v>
      </c>
    </row>
    <row r="2142" spans="1:15">
      <c r="A2142" s="1">
        <v>45170</v>
      </c>
      <c r="B2142" t="s">
        <v>24</v>
      </c>
      <c r="C2142" t="s">
        <v>22</v>
      </c>
      <c r="D2142">
        <v>1</v>
      </c>
      <c r="E2142" t="s">
        <v>9</v>
      </c>
      <c r="F2142">
        <v>60000</v>
      </c>
      <c r="G2142">
        <v>31000</v>
      </c>
      <c r="H2142">
        <f>Table1[[#This Row],[Qty]]*Table1[[#This Row],[SellingPrice]]</f>
        <v>60000</v>
      </c>
      <c r="I2142">
        <f>Table1[[#This Row],[Qty]]*Table1[[#This Row],[CostPrice]]</f>
        <v>31000</v>
      </c>
      <c r="J2142">
        <v>28797</v>
      </c>
      <c r="K2142">
        <v>202.99999999999997</v>
      </c>
      <c r="L2142" t="s">
        <v>12</v>
      </c>
      <c r="M2142" t="s">
        <v>28</v>
      </c>
      <c r="N2142">
        <f>MONTH(Table1[[#This Row],[SaleDate]])</f>
        <v>9</v>
      </c>
      <c r="O2142" t="str">
        <f>TEXT(Table1[[#This Row],[SaleDate]],"MMM")</f>
        <v>Sep</v>
      </c>
    </row>
    <row r="2143" spans="1:15">
      <c r="A2143" s="1">
        <v>45170</v>
      </c>
      <c r="B2143" t="s">
        <v>24</v>
      </c>
      <c r="C2143" t="s">
        <v>22</v>
      </c>
      <c r="D2143">
        <v>1</v>
      </c>
      <c r="E2143" t="s">
        <v>10</v>
      </c>
      <c r="F2143">
        <v>89000</v>
      </c>
      <c r="G2143">
        <v>65000</v>
      </c>
      <c r="H2143">
        <f>Table1[[#This Row],[Qty]]*Table1[[#This Row],[SellingPrice]]</f>
        <v>89000</v>
      </c>
      <c r="I2143">
        <f>Table1[[#This Row],[Qty]]*Table1[[#This Row],[CostPrice]]</f>
        <v>65000</v>
      </c>
      <c r="J2143">
        <v>23832</v>
      </c>
      <c r="K2143">
        <v>167.99999999999997</v>
      </c>
      <c r="L2143" t="s">
        <v>12</v>
      </c>
      <c r="M2143" t="s">
        <v>29</v>
      </c>
      <c r="N2143">
        <f>MONTH(Table1[[#This Row],[SaleDate]])</f>
        <v>9</v>
      </c>
      <c r="O2143" t="str">
        <f>TEXT(Table1[[#This Row],[SaleDate]],"MMM")</f>
        <v>Sep</v>
      </c>
    </row>
    <row r="2144" spans="1:15">
      <c r="A2144" s="1">
        <v>45170</v>
      </c>
      <c r="B2144" t="s">
        <v>25</v>
      </c>
      <c r="C2144" t="s">
        <v>21</v>
      </c>
      <c r="D2144">
        <v>1</v>
      </c>
      <c r="E2144" t="s">
        <v>7</v>
      </c>
      <c r="F2144">
        <v>33000</v>
      </c>
      <c r="G2144">
        <v>18000</v>
      </c>
      <c r="H2144">
        <f>Table1[[#This Row],[Qty]]*Table1[[#This Row],[SellingPrice]]</f>
        <v>33000</v>
      </c>
      <c r="I2144">
        <f>Table1[[#This Row],[Qty]]*Table1[[#This Row],[CostPrice]]</f>
        <v>18000</v>
      </c>
      <c r="J2144">
        <v>14895</v>
      </c>
      <c r="K2144">
        <v>104.99999999999999</v>
      </c>
      <c r="L2144" t="s">
        <v>13</v>
      </c>
      <c r="M2144" t="s">
        <v>30</v>
      </c>
      <c r="N2144">
        <f>MONTH(Table1[[#This Row],[SaleDate]])</f>
        <v>9</v>
      </c>
      <c r="O2144" t="str">
        <f>TEXT(Table1[[#This Row],[SaleDate]],"MMM")</f>
        <v>Sep</v>
      </c>
    </row>
    <row r="2145" spans="1:15">
      <c r="A2145" s="1">
        <v>45170</v>
      </c>
      <c r="B2145" t="s">
        <v>25</v>
      </c>
      <c r="C2145" t="s">
        <v>21</v>
      </c>
      <c r="D2145">
        <v>1</v>
      </c>
      <c r="E2145" t="s">
        <v>9</v>
      </c>
      <c r="F2145">
        <v>60000</v>
      </c>
      <c r="G2145">
        <v>31000</v>
      </c>
      <c r="H2145">
        <f>Table1[[#This Row],[Qty]]*Table1[[#This Row],[SellingPrice]]</f>
        <v>60000</v>
      </c>
      <c r="I2145">
        <f>Table1[[#This Row],[Qty]]*Table1[[#This Row],[CostPrice]]</f>
        <v>31000</v>
      </c>
      <c r="J2145">
        <v>28797</v>
      </c>
      <c r="K2145">
        <v>202.99999999999997</v>
      </c>
      <c r="L2145" t="s">
        <v>13</v>
      </c>
      <c r="M2145" t="s">
        <v>27</v>
      </c>
      <c r="N2145">
        <f>MONTH(Table1[[#This Row],[SaleDate]])</f>
        <v>9</v>
      </c>
      <c r="O2145" t="str">
        <f>TEXT(Table1[[#This Row],[SaleDate]],"MMM")</f>
        <v>Sep</v>
      </c>
    </row>
    <row r="2146" spans="1:15">
      <c r="A2146" s="1">
        <v>45170</v>
      </c>
      <c r="B2146" t="s">
        <v>25</v>
      </c>
      <c r="C2146" t="s">
        <v>21</v>
      </c>
      <c r="D2146">
        <v>1</v>
      </c>
      <c r="E2146" t="s">
        <v>10</v>
      </c>
      <c r="F2146">
        <v>89000</v>
      </c>
      <c r="G2146">
        <v>65000</v>
      </c>
      <c r="H2146">
        <f>Table1[[#This Row],[Qty]]*Table1[[#This Row],[SellingPrice]]</f>
        <v>89000</v>
      </c>
      <c r="I2146">
        <f>Table1[[#This Row],[Qty]]*Table1[[#This Row],[CostPrice]]</f>
        <v>65000</v>
      </c>
      <c r="J2146">
        <v>23832</v>
      </c>
      <c r="K2146">
        <v>167.99999999999997</v>
      </c>
      <c r="L2146" t="s">
        <v>13</v>
      </c>
      <c r="M2146" t="s">
        <v>30</v>
      </c>
      <c r="N2146">
        <f>MONTH(Table1[[#This Row],[SaleDate]])</f>
        <v>9</v>
      </c>
      <c r="O2146" t="str">
        <f>TEXT(Table1[[#This Row],[SaleDate]],"MMM")</f>
        <v>Sep</v>
      </c>
    </row>
    <row r="2147" spans="1:15">
      <c r="A2147" s="1">
        <v>45171</v>
      </c>
      <c r="B2147" t="s">
        <v>23</v>
      </c>
      <c r="C2147" t="s">
        <v>19</v>
      </c>
      <c r="D2147">
        <v>1</v>
      </c>
      <c r="E2147" t="s">
        <v>7</v>
      </c>
      <c r="F2147">
        <v>33000</v>
      </c>
      <c r="G2147">
        <v>18000</v>
      </c>
      <c r="H2147">
        <f>Table1[[#This Row],[Qty]]*Table1[[#This Row],[SellingPrice]]</f>
        <v>33000</v>
      </c>
      <c r="I2147">
        <f>Table1[[#This Row],[Qty]]*Table1[[#This Row],[CostPrice]]</f>
        <v>18000</v>
      </c>
      <c r="J2147">
        <v>14895</v>
      </c>
      <c r="K2147">
        <v>104.99999999999999</v>
      </c>
      <c r="L2147" t="s">
        <v>8</v>
      </c>
      <c r="M2147" t="s">
        <v>29</v>
      </c>
      <c r="N2147">
        <f>MONTH(Table1[[#This Row],[SaleDate]])</f>
        <v>9</v>
      </c>
      <c r="O2147" t="str">
        <f>TEXT(Table1[[#This Row],[SaleDate]],"MMM")</f>
        <v>Sep</v>
      </c>
    </row>
    <row r="2148" spans="1:15">
      <c r="A2148" s="1">
        <v>45171</v>
      </c>
      <c r="B2148" t="s">
        <v>23</v>
      </c>
      <c r="C2148" t="s">
        <v>19</v>
      </c>
      <c r="D2148">
        <v>1</v>
      </c>
      <c r="E2148" t="s">
        <v>9</v>
      </c>
      <c r="F2148">
        <v>60000</v>
      </c>
      <c r="G2148">
        <v>31000</v>
      </c>
      <c r="H2148">
        <f>Table1[[#This Row],[Qty]]*Table1[[#This Row],[SellingPrice]]</f>
        <v>60000</v>
      </c>
      <c r="I2148">
        <f>Table1[[#This Row],[Qty]]*Table1[[#This Row],[CostPrice]]</f>
        <v>31000</v>
      </c>
      <c r="J2148">
        <v>28797</v>
      </c>
      <c r="K2148">
        <v>202.99999999999997</v>
      </c>
      <c r="L2148" t="s">
        <v>8</v>
      </c>
      <c r="M2148" t="s">
        <v>27</v>
      </c>
      <c r="N2148">
        <f>MONTH(Table1[[#This Row],[SaleDate]])</f>
        <v>9</v>
      </c>
      <c r="O2148" t="str">
        <f>TEXT(Table1[[#This Row],[SaleDate]],"MMM")</f>
        <v>Sep</v>
      </c>
    </row>
    <row r="2149" spans="1:15">
      <c r="A2149" s="1">
        <v>45171</v>
      </c>
      <c r="B2149" t="s">
        <v>23</v>
      </c>
      <c r="C2149" t="s">
        <v>19</v>
      </c>
      <c r="D2149">
        <v>1</v>
      </c>
      <c r="E2149" t="s">
        <v>10</v>
      </c>
      <c r="F2149">
        <v>89000</v>
      </c>
      <c r="G2149">
        <v>65000</v>
      </c>
      <c r="H2149">
        <f>Table1[[#This Row],[Qty]]*Table1[[#This Row],[SellingPrice]]</f>
        <v>89000</v>
      </c>
      <c r="I2149">
        <f>Table1[[#This Row],[Qty]]*Table1[[#This Row],[CostPrice]]</f>
        <v>65000</v>
      </c>
      <c r="J2149">
        <v>23832</v>
      </c>
      <c r="K2149">
        <v>167.99999999999997</v>
      </c>
      <c r="L2149" t="s">
        <v>8</v>
      </c>
      <c r="M2149" t="s">
        <v>29</v>
      </c>
      <c r="N2149">
        <f>MONTH(Table1[[#This Row],[SaleDate]])</f>
        <v>9</v>
      </c>
      <c r="O2149" t="str">
        <f>TEXT(Table1[[#This Row],[SaleDate]],"MMM")</f>
        <v>Sep</v>
      </c>
    </row>
    <row r="2150" spans="1:15">
      <c r="A2150" s="1">
        <v>45171</v>
      </c>
      <c r="B2150" t="s">
        <v>26</v>
      </c>
      <c r="C2150" t="s">
        <v>20</v>
      </c>
      <c r="D2150">
        <v>1</v>
      </c>
      <c r="E2150" t="s">
        <v>9</v>
      </c>
      <c r="F2150">
        <v>60000</v>
      </c>
      <c r="G2150">
        <v>31000</v>
      </c>
      <c r="H2150">
        <f>Table1[[#This Row],[Qty]]*Table1[[#This Row],[SellingPrice]]</f>
        <v>60000</v>
      </c>
      <c r="I2150">
        <f>Table1[[#This Row],[Qty]]*Table1[[#This Row],[CostPrice]]</f>
        <v>31000</v>
      </c>
      <c r="J2150">
        <v>28797</v>
      </c>
      <c r="K2150">
        <v>202.99999999999997</v>
      </c>
      <c r="L2150" t="s">
        <v>11</v>
      </c>
      <c r="M2150" t="s">
        <v>30</v>
      </c>
      <c r="N2150">
        <f>MONTH(Table1[[#This Row],[SaleDate]])</f>
        <v>9</v>
      </c>
      <c r="O2150" t="str">
        <f>TEXT(Table1[[#This Row],[SaleDate]],"MMM")</f>
        <v>Sep</v>
      </c>
    </row>
    <row r="2151" spans="1:15">
      <c r="A2151" s="1">
        <v>45171</v>
      </c>
      <c r="B2151" t="s">
        <v>24</v>
      </c>
      <c r="C2151" t="s">
        <v>22</v>
      </c>
      <c r="D2151">
        <v>1</v>
      </c>
      <c r="E2151" t="s">
        <v>7</v>
      </c>
      <c r="F2151">
        <v>33000</v>
      </c>
      <c r="G2151">
        <v>18000</v>
      </c>
      <c r="H2151">
        <f>Table1[[#This Row],[Qty]]*Table1[[#This Row],[SellingPrice]]</f>
        <v>33000</v>
      </c>
      <c r="I2151">
        <f>Table1[[#This Row],[Qty]]*Table1[[#This Row],[CostPrice]]</f>
        <v>18000</v>
      </c>
      <c r="J2151">
        <v>14895</v>
      </c>
      <c r="K2151">
        <v>104.99999999999999</v>
      </c>
      <c r="L2151" t="s">
        <v>12</v>
      </c>
      <c r="M2151" t="s">
        <v>30</v>
      </c>
      <c r="N2151">
        <f>MONTH(Table1[[#This Row],[SaleDate]])</f>
        <v>9</v>
      </c>
      <c r="O2151" t="str">
        <f>TEXT(Table1[[#This Row],[SaleDate]],"MMM")</f>
        <v>Sep</v>
      </c>
    </row>
    <row r="2152" spans="1:15">
      <c r="A2152" s="1">
        <v>45171</v>
      </c>
      <c r="B2152" t="s">
        <v>24</v>
      </c>
      <c r="C2152" t="s">
        <v>22</v>
      </c>
      <c r="D2152">
        <v>1</v>
      </c>
      <c r="E2152" t="s">
        <v>9</v>
      </c>
      <c r="F2152">
        <v>60000</v>
      </c>
      <c r="G2152">
        <v>31000</v>
      </c>
      <c r="H2152">
        <f>Table1[[#This Row],[Qty]]*Table1[[#This Row],[SellingPrice]]</f>
        <v>60000</v>
      </c>
      <c r="I2152">
        <f>Table1[[#This Row],[Qty]]*Table1[[#This Row],[CostPrice]]</f>
        <v>31000</v>
      </c>
      <c r="J2152">
        <v>28797</v>
      </c>
      <c r="K2152">
        <v>202.99999999999997</v>
      </c>
      <c r="L2152" t="s">
        <v>12</v>
      </c>
      <c r="M2152" t="s">
        <v>29</v>
      </c>
      <c r="N2152">
        <f>MONTH(Table1[[#This Row],[SaleDate]])</f>
        <v>9</v>
      </c>
      <c r="O2152" t="str">
        <f>TEXT(Table1[[#This Row],[SaleDate]],"MMM")</f>
        <v>Sep</v>
      </c>
    </row>
    <row r="2153" spans="1:15">
      <c r="A2153" s="1">
        <v>45171</v>
      </c>
      <c r="B2153" t="s">
        <v>24</v>
      </c>
      <c r="C2153" t="s">
        <v>22</v>
      </c>
      <c r="D2153">
        <v>1</v>
      </c>
      <c r="E2153" t="s">
        <v>10</v>
      </c>
      <c r="F2153">
        <v>89000</v>
      </c>
      <c r="G2153">
        <v>65000</v>
      </c>
      <c r="H2153">
        <f>Table1[[#This Row],[Qty]]*Table1[[#This Row],[SellingPrice]]</f>
        <v>89000</v>
      </c>
      <c r="I2153">
        <f>Table1[[#This Row],[Qty]]*Table1[[#This Row],[CostPrice]]</f>
        <v>65000</v>
      </c>
      <c r="J2153">
        <v>23832</v>
      </c>
      <c r="K2153">
        <v>167.99999999999997</v>
      </c>
      <c r="L2153" t="s">
        <v>12</v>
      </c>
      <c r="M2153" t="s">
        <v>30</v>
      </c>
      <c r="N2153">
        <f>MONTH(Table1[[#This Row],[SaleDate]])</f>
        <v>9</v>
      </c>
      <c r="O2153" t="str">
        <f>TEXT(Table1[[#This Row],[SaleDate]],"MMM")</f>
        <v>Sep</v>
      </c>
    </row>
    <row r="2154" spans="1:15">
      <c r="A2154" s="1">
        <v>45171</v>
      </c>
      <c r="B2154" t="s">
        <v>25</v>
      </c>
      <c r="C2154" t="s">
        <v>21</v>
      </c>
      <c r="D2154">
        <v>1</v>
      </c>
      <c r="E2154" t="s">
        <v>7</v>
      </c>
      <c r="F2154">
        <v>33000</v>
      </c>
      <c r="G2154">
        <v>18000</v>
      </c>
      <c r="H2154">
        <f>Table1[[#This Row],[Qty]]*Table1[[#This Row],[SellingPrice]]</f>
        <v>33000</v>
      </c>
      <c r="I2154">
        <f>Table1[[#This Row],[Qty]]*Table1[[#This Row],[CostPrice]]</f>
        <v>18000</v>
      </c>
      <c r="J2154">
        <v>14895</v>
      </c>
      <c r="K2154">
        <v>104.99999999999999</v>
      </c>
      <c r="L2154" t="s">
        <v>13</v>
      </c>
      <c r="M2154" t="s">
        <v>30</v>
      </c>
      <c r="N2154">
        <f>MONTH(Table1[[#This Row],[SaleDate]])</f>
        <v>9</v>
      </c>
      <c r="O2154" t="str">
        <f>TEXT(Table1[[#This Row],[SaleDate]],"MMM")</f>
        <v>Sep</v>
      </c>
    </row>
    <row r="2155" spans="1:15">
      <c r="A2155" s="1">
        <v>45171</v>
      </c>
      <c r="B2155" t="s">
        <v>25</v>
      </c>
      <c r="C2155" t="s">
        <v>21</v>
      </c>
      <c r="D2155">
        <v>1</v>
      </c>
      <c r="E2155" t="s">
        <v>9</v>
      </c>
      <c r="F2155">
        <v>60000</v>
      </c>
      <c r="G2155">
        <v>31000</v>
      </c>
      <c r="H2155">
        <f>Table1[[#This Row],[Qty]]*Table1[[#This Row],[SellingPrice]]</f>
        <v>60000</v>
      </c>
      <c r="I2155">
        <f>Table1[[#This Row],[Qty]]*Table1[[#This Row],[CostPrice]]</f>
        <v>31000</v>
      </c>
      <c r="J2155">
        <v>28797</v>
      </c>
      <c r="K2155">
        <v>202.99999999999997</v>
      </c>
      <c r="L2155" t="s">
        <v>13</v>
      </c>
      <c r="M2155" t="s">
        <v>27</v>
      </c>
      <c r="N2155">
        <f>MONTH(Table1[[#This Row],[SaleDate]])</f>
        <v>9</v>
      </c>
      <c r="O2155" t="str">
        <f>TEXT(Table1[[#This Row],[SaleDate]],"MMM")</f>
        <v>Sep</v>
      </c>
    </row>
    <row r="2156" spans="1:15">
      <c r="A2156" s="1">
        <v>45171</v>
      </c>
      <c r="B2156" t="s">
        <v>25</v>
      </c>
      <c r="C2156" t="s">
        <v>21</v>
      </c>
      <c r="D2156">
        <v>1</v>
      </c>
      <c r="E2156" t="s">
        <v>10</v>
      </c>
      <c r="F2156">
        <v>89000</v>
      </c>
      <c r="G2156">
        <v>65000</v>
      </c>
      <c r="H2156">
        <f>Table1[[#This Row],[Qty]]*Table1[[#This Row],[SellingPrice]]</f>
        <v>89000</v>
      </c>
      <c r="I2156">
        <f>Table1[[#This Row],[Qty]]*Table1[[#This Row],[CostPrice]]</f>
        <v>65000</v>
      </c>
      <c r="J2156">
        <v>23832</v>
      </c>
      <c r="K2156">
        <v>167.99999999999997</v>
      </c>
      <c r="L2156" t="s">
        <v>13</v>
      </c>
      <c r="M2156" t="s">
        <v>27</v>
      </c>
      <c r="N2156">
        <f>MONTH(Table1[[#This Row],[SaleDate]])</f>
        <v>9</v>
      </c>
      <c r="O2156" t="str">
        <f>TEXT(Table1[[#This Row],[SaleDate]],"MMM")</f>
        <v>Sep</v>
      </c>
    </row>
    <row r="2157" spans="1:15">
      <c r="A2157" s="1">
        <v>45172</v>
      </c>
      <c r="B2157" t="s">
        <v>23</v>
      </c>
      <c r="C2157" t="s">
        <v>19</v>
      </c>
      <c r="D2157">
        <v>2</v>
      </c>
      <c r="E2157" t="s">
        <v>7</v>
      </c>
      <c r="F2157">
        <v>33000</v>
      </c>
      <c r="G2157">
        <v>18000</v>
      </c>
      <c r="H2157">
        <f>Table1[[#This Row],[Qty]]*Table1[[#This Row],[SellingPrice]]</f>
        <v>66000</v>
      </c>
      <c r="I2157">
        <f>Table1[[#This Row],[Qty]]*Table1[[#This Row],[CostPrice]]</f>
        <v>36000</v>
      </c>
      <c r="J2157">
        <v>29790</v>
      </c>
      <c r="K2157">
        <v>209.99999999999997</v>
      </c>
      <c r="L2157" t="s">
        <v>8</v>
      </c>
      <c r="M2157" t="s">
        <v>30</v>
      </c>
      <c r="N2157">
        <f>MONTH(Table1[[#This Row],[SaleDate]])</f>
        <v>9</v>
      </c>
      <c r="O2157" t="str">
        <f>TEXT(Table1[[#This Row],[SaleDate]],"MMM")</f>
        <v>Sep</v>
      </c>
    </row>
    <row r="2158" spans="1:15">
      <c r="A2158" s="1">
        <v>45172</v>
      </c>
      <c r="B2158" t="s">
        <v>23</v>
      </c>
      <c r="C2158" t="s">
        <v>19</v>
      </c>
      <c r="D2158">
        <v>2</v>
      </c>
      <c r="E2158" t="s">
        <v>9</v>
      </c>
      <c r="F2158">
        <v>60000</v>
      </c>
      <c r="G2158">
        <v>31000</v>
      </c>
      <c r="H2158">
        <f>Table1[[#This Row],[Qty]]*Table1[[#This Row],[SellingPrice]]</f>
        <v>120000</v>
      </c>
      <c r="I2158">
        <f>Table1[[#This Row],[Qty]]*Table1[[#This Row],[CostPrice]]</f>
        <v>62000</v>
      </c>
      <c r="J2158">
        <v>57594</v>
      </c>
      <c r="K2158">
        <v>405.99999999999994</v>
      </c>
      <c r="L2158" t="s">
        <v>8</v>
      </c>
      <c r="M2158" t="s">
        <v>30</v>
      </c>
      <c r="N2158">
        <f>MONTH(Table1[[#This Row],[SaleDate]])</f>
        <v>9</v>
      </c>
      <c r="O2158" t="str">
        <f>TEXT(Table1[[#This Row],[SaleDate]],"MMM")</f>
        <v>Sep</v>
      </c>
    </row>
    <row r="2159" spans="1:15">
      <c r="A2159" s="1">
        <v>45172</v>
      </c>
      <c r="B2159" t="s">
        <v>23</v>
      </c>
      <c r="C2159" t="s">
        <v>19</v>
      </c>
      <c r="D2159">
        <v>2</v>
      </c>
      <c r="E2159" t="s">
        <v>10</v>
      </c>
      <c r="F2159">
        <v>89000</v>
      </c>
      <c r="G2159">
        <v>65000</v>
      </c>
      <c r="H2159">
        <f>Table1[[#This Row],[Qty]]*Table1[[#This Row],[SellingPrice]]</f>
        <v>178000</v>
      </c>
      <c r="I2159">
        <f>Table1[[#This Row],[Qty]]*Table1[[#This Row],[CostPrice]]</f>
        <v>130000</v>
      </c>
      <c r="J2159">
        <v>47664</v>
      </c>
      <c r="K2159">
        <v>335.99999999999994</v>
      </c>
      <c r="L2159" t="s">
        <v>8</v>
      </c>
      <c r="M2159" t="s">
        <v>30</v>
      </c>
      <c r="N2159">
        <f>MONTH(Table1[[#This Row],[SaleDate]])</f>
        <v>9</v>
      </c>
      <c r="O2159" t="str">
        <f>TEXT(Table1[[#This Row],[SaleDate]],"MMM")</f>
        <v>Sep</v>
      </c>
    </row>
    <row r="2160" spans="1:15">
      <c r="A2160" s="1">
        <v>45172</v>
      </c>
      <c r="B2160" t="s">
        <v>26</v>
      </c>
      <c r="C2160" t="s">
        <v>20</v>
      </c>
      <c r="D2160">
        <v>2</v>
      </c>
      <c r="E2160" t="s">
        <v>9</v>
      </c>
      <c r="F2160">
        <v>60000</v>
      </c>
      <c r="G2160">
        <v>31000</v>
      </c>
      <c r="H2160">
        <f>Table1[[#This Row],[Qty]]*Table1[[#This Row],[SellingPrice]]</f>
        <v>120000</v>
      </c>
      <c r="I2160">
        <f>Table1[[#This Row],[Qty]]*Table1[[#This Row],[CostPrice]]</f>
        <v>62000</v>
      </c>
      <c r="J2160">
        <v>57594</v>
      </c>
      <c r="K2160">
        <v>405.99999999999994</v>
      </c>
      <c r="L2160" t="s">
        <v>11</v>
      </c>
      <c r="M2160" t="s">
        <v>28</v>
      </c>
      <c r="N2160">
        <f>MONTH(Table1[[#This Row],[SaleDate]])</f>
        <v>9</v>
      </c>
      <c r="O2160" t="str">
        <f>TEXT(Table1[[#This Row],[SaleDate]],"MMM")</f>
        <v>Sep</v>
      </c>
    </row>
    <row r="2161" spans="1:15">
      <c r="A2161" s="1">
        <v>45172</v>
      </c>
      <c r="B2161" t="s">
        <v>24</v>
      </c>
      <c r="C2161" t="s">
        <v>22</v>
      </c>
      <c r="D2161">
        <v>2</v>
      </c>
      <c r="E2161" t="s">
        <v>7</v>
      </c>
      <c r="F2161">
        <v>33000</v>
      </c>
      <c r="G2161">
        <v>18000</v>
      </c>
      <c r="H2161">
        <f>Table1[[#This Row],[Qty]]*Table1[[#This Row],[SellingPrice]]</f>
        <v>66000</v>
      </c>
      <c r="I2161">
        <f>Table1[[#This Row],[Qty]]*Table1[[#This Row],[CostPrice]]</f>
        <v>36000</v>
      </c>
      <c r="J2161">
        <v>29790</v>
      </c>
      <c r="K2161">
        <v>209.99999999999997</v>
      </c>
      <c r="L2161" t="s">
        <v>12</v>
      </c>
      <c r="M2161" t="s">
        <v>30</v>
      </c>
      <c r="N2161">
        <f>MONTH(Table1[[#This Row],[SaleDate]])</f>
        <v>9</v>
      </c>
      <c r="O2161" t="str">
        <f>TEXT(Table1[[#This Row],[SaleDate]],"MMM")</f>
        <v>Sep</v>
      </c>
    </row>
    <row r="2162" spans="1:15">
      <c r="A2162" s="1">
        <v>45172</v>
      </c>
      <c r="B2162" t="s">
        <v>24</v>
      </c>
      <c r="C2162" t="s">
        <v>22</v>
      </c>
      <c r="D2162">
        <v>2</v>
      </c>
      <c r="E2162" t="s">
        <v>9</v>
      </c>
      <c r="F2162">
        <v>60000</v>
      </c>
      <c r="G2162">
        <v>31000</v>
      </c>
      <c r="H2162">
        <f>Table1[[#This Row],[Qty]]*Table1[[#This Row],[SellingPrice]]</f>
        <v>120000</v>
      </c>
      <c r="I2162">
        <f>Table1[[#This Row],[Qty]]*Table1[[#This Row],[CostPrice]]</f>
        <v>62000</v>
      </c>
      <c r="J2162">
        <v>57594</v>
      </c>
      <c r="K2162">
        <v>405.99999999999994</v>
      </c>
      <c r="L2162" t="s">
        <v>12</v>
      </c>
      <c r="M2162" t="s">
        <v>29</v>
      </c>
      <c r="N2162">
        <f>MONTH(Table1[[#This Row],[SaleDate]])</f>
        <v>9</v>
      </c>
      <c r="O2162" t="str">
        <f>TEXT(Table1[[#This Row],[SaleDate]],"MMM")</f>
        <v>Sep</v>
      </c>
    </row>
    <row r="2163" spans="1:15">
      <c r="A2163" s="1">
        <v>45172</v>
      </c>
      <c r="B2163" t="s">
        <v>24</v>
      </c>
      <c r="C2163" t="s">
        <v>22</v>
      </c>
      <c r="D2163">
        <v>2</v>
      </c>
      <c r="E2163" t="s">
        <v>10</v>
      </c>
      <c r="F2163">
        <v>89000</v>
      </c>
      <c r="G2163">
        <v>65000</v>
      </c>
      <c r="H2163">
        <f>Table1[[#This Row],[Qty]]*Table1[[#This Row],[SellingPrice]]</f>
        <v>178000</v>
      </c>
      <c r="I2163">
        <f>Table1[[#This Row],[Qty]]*Table1[[#This Row],[CostPrice]]</f>
        <v>130000</v>
      </c>
      <c r="J2163">
        <v>47664</v>
      </c>
      <c r="K2163">
        <v>335.99999999999994</v>
      </c>
      <c r="L2163" t="s">
        <v>12</v>
      </c>
      <c r="M2163" t="s">
        <v>30</v>
      </c>
      <c r="N2163">
        <f>MONTH(Table1[[#This Row],[SaleDate]])</f>
        <v>9</v>
      </c>
      <c r="O2163" t="str">
        <f>TEXT(Table1[[#This Row],[SaleDate]],"MMM")</f>
        <v>Sep</v>
      </c>
    </row>
    <row r="2164" spans="1:15">
      <c r="A2164" s="1">
        <v>45172</v>
      </c>
      <c r="B2164" t="s">
        <v>25</v>
      </c>
      <c r="C2164" t="s">
        <v>21</v>
      </c>
      <c r="D2164">
        <v>2</v>
      </c>
      <c r="E2164" t="s">
        <v>7</v>
      </c>
      <c r="F2164">
        <v>33000</v>
      </c>
      <c r="G2164">
        <v>18000</v>
      </c>
      <c r="H2164">
        <f>Table1[[#This Row],[Qty]]*Table1[[#This Row],[SellingPrice]]</f>
        <v>66000</v>
      </c>
      <c r="I2164">
        <f>Table1[[#This Row],[Qty]]*Table1[[#This Row],[CostPrice]]</f>
        <v>36000</v>
      </c>
      <c r="J2164">
        <v>29790</v>
      </c>
      <c r="K2164">
        <v>209.99999999999997</v>
      </c>
      <c r="L2164" t="s">
        <v>13</v>
      </c>
      <c r="M2164" t="s">
        <v>29</v>
      </c>
      <c r="N2164">
        <f>MONTH(Table1[[#This Row],[SaleDate]])</f>
        <v>9</v>
      </c>
      <c r="O2164" t="str">
        <f>TEXT(Table1[[#This Row],[SaleDate]],"MMM")</f>
        <v>Sep</v>
      </c>
    </row>
    <row r="2165" spans="1:15">
      <c r="A2165" s="1">
        <v>45172</v>
      </c>
      <c r="B2165" t="s">
        <v>25</v>
      </c>
      <c r="C2165" t="s">
        <v>21</v>
      </c>
      <c r="D2165">
        <v>2</v>
      </c>
      <c r="E2165" t="s">
        <v>9</v>
      </c>
      <c r="F2165">
        <v>60000</v>
      </c>
      <c r="G2165">
        <v>31000</v>
      </c>
      <c r="H2165">
        <f>Table1[[#This Row],[Qty]]*Table1[[#This Row],[SellingPrice]]</f>
        <v>120000</v>
      </c>
      <c r="I2165">
        <f>Table1[[#This Row],[Qty]]*Table1[[#This Row],[CostPrice]]</f>
        <v>62000</v>
      </c>
      <c r="J2165">
        <v>57594</v>
      </c>
      <c r="K2165">
        <v>405.99999999999994</v>
      </c>
      <c r="L2165" t="s">
        <v>13</v>
      </c>
      <c r="M2165" t="s">
        <v>27</v>
      </c>
      <c r="N2165">
        <f>MONTH(Table1[[#This Row],[SaleDate]])</f>
        <v>9</v>
      </c>
      <c r="O2165" t="str">
        <f>TEXT(Table1[[#This Row],[SaleDate]],"MMM")</f>
        <v>Sep</v>
      </c>
    </row>
    <row r="2166" spans="1:15">
      <c r="A2166" s="1">
        <v>45172</v>
      </c>
      <c r="B2166" t="s">
        <v>25</v>
      </c>
      <c r="C2166" t="s">
        <v>21</v>
      </c>
      <c r="D2166">
        <v>2</v>
      </c>
      <c r="E2166" t="s">
        <v>10</v>
      </c>
      <c r="F2166">
        <v>89000</v>
      </c>
      <c r="G2166">
        <v>65000</v>
      </c>
      <c r="H2166">
        <f>Table1[[#This Row],[Qty]]*Table1[[#This Row],[SellingPrice]]</f>
        <v>178000</v>
      </c>
      <c r="I2166">
        <f>Table1[[#This Row],[Qty]]*Table1[[#This Row],[CostPrice]]</f>
        <v>130000</v>
      </c>
      <c r="J2166">
        <v>47664</v>
      </c>
      <c r="K2166">
        <v>335.99999999999994</v>
      </c>
      <c r="L2166" t="s">
        <v>13</v>
      </c>
      <c r="M2166" t="s">
        <v>27</v>
      </c>
      <c r="N2166">
        <f>MONTH(Table1[[#This Row],[SaleDate]])</f>
        <v>9</v>
      </c>
      <c r="O2166" t="str">
        <f>TEXT(Table1[[#This Row],[SaleDate]],"MMM")</f>
        <v>Sep</v>
      </c>
    </row>
    <row r="2167" spans="1:15">
      <c r="A2167" s="1">
        <v>45173</v>
      </c>
      <c r="B2167" t="s">
        <v>23</v>
      </c>
      <c r="C2167" t="s">
        <v>19</v>
      </c>
      <c r="D2167">
        <v>2</v>
      </c>
      <c r="E2167" t="s">
        <v>7</v>
      </c>
      <c r="F2167">
        <v>33000</v>
      </c>
      <c r="G2167">
        <v>18000</v>
      </c>
      <c r="H2167">
        <f>Table1[[#This Row],[Qty]]*Table1[[#This Row],[SellingPrice]]</f>
        <v>66000</v>
      </c>
      <c r="I2167">
        <f>Table1[[#This Row],[Qty]]*Table1[[#This Row],[CostPrice]]</f>
        <v>36000</v>
      </c>
      <c r="J2167">
        <v>29790</v>
      </c>
      <c r="K2167">
        <v>209.99999999999997</v>
      </c>
      <c r="L2167" t="s">
        <v>8</v>
      </c>
      <c r="M2167" t="s">
        <v>29</v>
      </c>
      <c r="N2167">
        <f>MONTH(Table1[[#This Row],[SaleDate]])</f>
        <v>9</v>
      </c>
      <c r="O2167" t="str">
        <f>TEXT(Table1[[#This Row],[SaleDate]],"MMM")</f>
        <v>Sep</v>
      </c>
    </row>
    <row r="2168" spans="1:15">
      <c r="A2168" s="1">
        <v>45173</v>
      </c>
      <c r="B2168" t="s">
        <v>23</v>
      </c>
      <c r="C2168" t="s">
        <v>19</v>
      </c>
      <c r="D2168">
        <v>2</v>
      </c>
      <c r="E2168" t="s">
        <v>9</v>
      </c>
      <c r="F2168">
        <v>60000</v>
      </c>
      <c r="G2168">
        <v>31000</v>
      </c>
      <c r="H2168">
        <f>Table1[[#This Row],[Qty]]*Table1[[#This Row],[SellingPrice]]</f>
        <v>120000</v>
      </c>
      <c r="I2168">
        <f>Table1[[#This Row],[Qty]]*Table1[[#This Row],[CostPrice]]</f>
        <v>62000</v>
      </c>
      <c r="J2168">
        <v>57594</v>
      </c>
      <c r="K2168">
        <v>405.99999999999994</v>
      </c>
      <c r="L2168" t="s">
        <v>8</v>
      </c>
      <c r="M2168" t="s">
        <v>30</v>
      </c>
      <c r="N2168">
        <f>MONTH(Table1[[#This Row],[SaleDate]])</f>
        <v>9</v>
      </c>
      <c r="O2168" t="str">
        <f>TEXT(Table1[[#This Row],[SaleDate]],"MMM")</f>
        <v>Sep</v>
      </c>
    </row>
    <row r="2169" spans="1:15">
      <c r="A2169" s="1">
        <v>45173</v>
      </c>
      <c r="B2169" t="s">
        <v>23</v>
      </c>
      <c r="C2169" t="s">
        <v>19</v>
      </c>
      <c r="D2169">
        <v>2</v>
      </c>
      <c r="E2169" t="s">
        <v>10</v>
      </c>
      <c r="F2169">
        <v>89000</v>
      </c>
      <c r="G2169">
        <v>65000</v>
      </c>
      <c r="H2169">
        <f>Table1[[#This Row],[Qty]]*Table1[[#This Row],[SellingPrice]]</f>
        <v>178000</v>
      </c>
      <c r="I2169">
        <f>Table1[[#This Row],[Qty]]*Table1[[#This Row],[CostPrice]]</f>
        <v>130000</v>
      </c>
      <c r="J2169">
        <v>47664</v>
      </c>
      <c r="K2169">
        <v>335.99999999999994</v>
      </c>
      <c r="L2169" t="s">
        <v>8</v>
      </c>
      <c r="M2169" t="s">
        <v>27</v>
      </c>
      <c r="N2169">
        <f>MONTH(Table1[[#This Row],[SaleDate]])</f>
        <v>9</v>
      </c>
      <c r="O2169" t="str">
        <f>TEXT(Table1[[#This Row],[SaleDate]],"MMM")</f>
        <v>Sep</v>
      </c>
    </row>
    <row r="2170" spans="1:15">
      <c r="A2170" s="1">
        <v>45173</v>
      </c>
      <c r="B2170" t="s">
        <v>26</v>
      </c>
      <c r="C2170" t="s">
        <v>20</v>
      </c>
      <c r="D2170">
        <v>2</v>
      </c>
      <c r="E2170" t="s">
        <v>9</v>
      </c>
      <c r="F2170">
        <v>60000</v>
      </c>
      <c r="G2170">
        <v>31000</v>
      </c>
      <c r="H2170">
        <f>Table1[[#This Row],[Qty]]*Table1[[#This Row],[SellingPrice]]</f>
        <v>120000</v>
      </c>
      <c r="I2170">
        <f>Table1[[#This Row],[Qty]]*Table1[[#This Row],[CostPrice]]</f>
        <v>62000</v>
      </c>
      <c r="J2170">
        <v>57594</v>
      </c>
      <c r="K2170">
        <v>405.99999999999994</v>
      </c>
      <c r="L2170" t="s">
        <v>11</v>
      </c>
      <c r="M2170" t="s">
        <v>30</v>
      </c>
      <c r="N2170">
        <f>MONTH(Table1[[#This Row],[SaleDate]])</f>
        <v>9</v>
      </c>
      <c r="O2170" t="str">
        <f>TEXT(Table1[[#This Row],[SaleDate]],"MMM")</f>
        <v>Sep</v>
      </c>
    </row>
    <row r="2171" spans="1:15">
      <c r="A2171" s="1">
        <v>45173</v>
      </c>
      <c r="B2171" t="s">
        <v>24</v>
      </c>
      <c r="C2171" t="s">
        <v>22</v>
      </c>
      <c r="D2171">
        <v>2</v>
      </c>
      <c r="E2171" t="s">
        <v>7</v>
      </c>
      <c r="F2171">
        <v>33000</v>
      </c>
      <c r="G2171">
        <v>18000</v>
      </c>
      <c r="H2171">
        <f>Table1[[#This Row],[Qty]]*Table1[[#This Row],[SellingPrice]]</f>
        <v>66000</v>
      </c>
      <c r="I2171">
        <f>Table1[[#This Row],[Qty]]*Table1[[#This Row],[CostPrice]]</f>
        <v>36000</v>
      </c>
      <c r="J2171">
        <v>29790</v>
      </c>
      <c r="K2171">
        <v>209.99999999999997</v>
      </c>
      <c r="L2171" t="s">
        <v>12</v>
      </c>
      <c r="M2171" t="s">
        <v>30</v>
      </c>
      <c r="N2171">
        <f>MONTH(Table1[[#This Row],[SaleDate]])</f>
        <v>9</v>
      </c>
      <c r="O2171" t="str">
        <f>TEXT(Table1[[#This Row],[SaleDate]],"MMM")</f>
        <v>Sep</v>
      </c>
    </row>
    <row r="2172" spans="1:15">
      <c r="A2172" s="1">
        <v>45173</v>
      </c>
      <c r="B2172" t="s">
        <v>24</v>
      </c>
      <c r="C2172" t="s">
        <v>22</v>
      </c>
      <c r="D2172">
        <v>2</v>
      </c>
      <c r="E2172" t="s">
        <v>9</v>
      </c>
      <c r="F2172">
        <v>60000</v>
      </c>
      <c r="G2172">
        <v>31000</v>
      </c>
      <c r="H2172">
        <f>Table1[[#This Row],[Qty]]*Table1[[#This Row],[SellingPrice]]</f>
        <v>120000</v>
      </c>
      <c r="I2172">
        <f>Table1[[#This Row],[Qty]]*Table1[[#This Row],[CostPrice]]</f>
        <v>62000</v>
      </c>
      <c r="J2172">
        <v>57594</v>
      </c>
      <c r="K2172">
        <v>405.99999999999994</v>
      </c>
      <c r="L2172" t="s">
        <v>12</v>
      </c>
      <c r="M2172" t="s">
        <v>29</v>
      </c>
      <c r="N2172">
        <f>MONTH(Table1[[#This Row],[SaleDate]])</f>
        <v>9</v>
      </c>
      <c r="O2172" t="str">
        <f>TEXT(Table1[[#This Row],[SaleDate]],"MMM")</f>
        <v>Sep</v>
      </c>
    </row>
    <row r="2173" spans="1:15">
      <c r="A2173" s="1">
        <v>45173</v>
      </c>
      <c r="B2173" t="s">
        <v>24</v>
      </c>
      <c r="C2173" t="s">
        <v>22</v>
      </c>
      <c r="D2173">
        <v>2</v>
      </c>
      <c r="E2173" t="s">
        <v>10</v>
      </c>
      <c r="F2173">
        <v>89000</v>
      </c>
      <c r="G2173">
        <v>65000</v>
      </c>
      <c r="H2173">
        <f>Table1[[#This Row],[Qty]]*Table1[[#This Row],[SellingPrice]]</f>
        <v>178000</v>
      </c>
      <c r="I2173">
        <f>Table1[[#This Row],[Qty]]*Table1[[#This Row],[CostPrice]]</f>
        <v>130000</v>
      </c>
      <c r="J2173">
        <v>47664</v>
      </c>
      <c r="K2173">
        <v>335.99999999999994</v>
      </c>
      <c r="L2173" t="s">
        <v>12</v>
      </c>
      <c r="M2173" t="s">
        <v>30</v>
      </c>
      <c r="N2173">
        <f>MONTH(Table1[[#This Row],[SaleDate]])</f>
        <v>9</v>
      </c>
      <c r="O2173" t="str">
        <f>TEXT(Table1[[#This Row],[SaleDate]],"MMM")</f>
        <v>Sep</v>
      </c>
    </row>
    <row r="2174" spans="1:15">
      <c r="A2174" s="1">
        <v>45173</v>
      </c>
      <c r="B2174" t="s">
        <v>25</v>
      </c>
      <c r="C2174" t="s">
        <v>21</v>
      </c>
      <c r="D2174">
        <v>2</v>
      </c>
      <c r="E2174" t="s">
        <v>7</v>
      </c>
      <c r="F2174">
        <v>33000</v>
      </c>
      <c r="G2174">
        <v>18000</v>
      </c>
      <c r="H2174">
        <f>Table1[[#This Row],[Qty]]*Table1[[#This Row],[SellingPrice]]</f>
        <v>66000</v>
      </c>
      <c r="I2174">
        <f>Table1[[#This Row],[Qty]]*Table1[[#This Row],[CostPrice]]</f>
        <v>36000</v>
      </c>
      <c r="J2174">
        <v>29790</v>
      </c>
      <c r="K2174">
        <v>209.99999999999997</v>
      </c>
      <c r="L2174" t="s">
        <v>13</v>
      </c>
      <c r="M2174" t="s">
        <v>30</v>
      </c>
      <c r="N2174">
        <f>MONTH(Table1[[#This Row],[SaleDate]])</f>
        <v>9</v>
      </c>
      <c r="O2174" t="str">
        <f>TEXT(Table1[[#This Row],[SaleDate]],"MMM")</f>
        <v>Sep</v>
      </c>
    </row>
    <row r="2175" spans="1:15">
      <c r="A2175" s="1">
        <v>45173</v>
      </c>
      <c r="B2175" t="s">
        <v>25</v>
      </c>
      <c r="C2175" t="s">
        <v>21</v>
      </c>
      <c r="D2175">
        <v>2</v>
      </c>
      <c r="E2175" t="s">
        <v>9</v>
      </c>
      <c r="F2175">
        <v>60000</v>
      </c>
      <c r="G2175">
        <v>31000</v>
      </c>
      <c r="H2175">
        <f>Table1[[#This Row],[Qty]]*Table1[[#This Row],[SellingPrice]]</f>
        <v>120000</v>
      </c>
      <c r="I2175">
        <f>Table1[[#This Row],[Qty]]*Table1[[#This Row],[CostPrice]]</f>
        <v>62000</v>
      </c>
      <c r="J2175">
        <v>57594</v>
      </c>
      <c r="K2175">
        <v>405.99999999999994</v>
      </c>
      <c r="L2175" t="s">
        <v>13</v>
      </c>
      <c r="M2175" t="s">
        <v>27</v>
      </c>
      <c r="N2175">
        <f>MONTH(Table1[[#This Row],[SaleDate]])</f>
        <v>9</v>
      </c>
      <c r="O2175" t="str">
        <f>TEXT(Table1[[#This Row],[SaleDate]],"MMM")</f>
        <v>Sep</v>
      </c>
    </row>
    <row r="2176" spans="1:15">
      <c r="A2176" s="1">
        <v>45173</v>
      </c>
      <c r="B2176" t="s">
        <v>25</v>
      </c>
      <c r="C2176" t="s">
        <v>21</v>
      </c>
      <c r="D2176">
        <v>2</v>
      </c>
      <c r="E2176" t="s">
        <v>10</v>
      </c>
      <c r="F2176">
        <v>89000</v>
      </c>
      <c r="G2176">
        <v>65000</v>
      </c>
      <c r="H2176">
        <f>Table1[[#This Row],[Qty]]*Table1[[#This Row],[SellingPrice]]</f>
        <v>178000</v>
      </c>
      <c r="I2176">
        <f>Table1[[#This Row],[Qty]]*Table1[[#This Row],[CostPrice]]</f>
        <v>130000</v>
      </c>
      <c r="J2176">
        <v>47664</v>
      </c>
      <c r="K2176">
        <v>335.99999999999994</v>
      </c>
      <c r="L2176" t="s">
        <v>13</v>
      </c>
      <c r="M2176" t="s">
        <v>30</v>
      </c>
      <c r="N2176">
        <f>MONTH(Table1[[#This Row],[SaleDate]])</f>
        <v>9</v>
      </c>
      <c r="O2176" t="str">
        <f>TEXT(Table1[[#This Row],[SaleDate]],"MMM")</f>
        <v>Sep</v>
      </c>
    </row>
    <row r="2177" spans="1:15">
      <c r="A2177" s="1">
        <v>45174</v>
      </c>
      <c r="B2177" t="s">
        <v>23</v>
      </c>
      <c r="C2177" t="s">
        <v>19</v>
      </c>
      <c r="D2177">
        <v>1</v>
      </c>
      <c r="E2177" t="s">
        <v>7</v>
      </c>
      <c r="F2177">
        <v>33000</v>
      </c>
      <c r="G2177">
        <v>18000</v>
      </c>
      <c r="H2177">
        <f>Table1[[#This Row],[Qty]]*Table1[[#This Row],[SellingPrice]]</f>
        <v>33000</v>
      </c>
      <c r="I2177">
        <f>Table1[[#This Row],[Qty]]*Table1[[#This Row],[CostPrice]]</f>
        <v>18000</v>
      </c>
      <c r="J2177">
        <v>14895</v>
      </c>
      <c r="K2177">
        <v>104.99999999999999</v>
      </c>
      <c r="L2177" t="s">
        <v>8</v>
      </c>
      <c r="M2177" t="s">
        <v>30</v>
      </c>
      <c r="N2177">
        <f>MONTH(Table1[[#This Row],[SaleDate]])</f>
        <v>9</v>
      </c>
      <c r="O2177" t="str">
        <f>TEXT(Table1[[#This Row],[SaleDate]],"MMM")</f>
        <v>Sep</v>
      </c>
    </row>
    <row r="2178" spans="1:15">
      <c r="A2178" s="1">
        <v>45174</v>
      </c>
      <c r="B2178" t="s">
        <v>23</v>
      </c>
      <c r="C2178" t="s">
        <v>19</v>
      </c>
      <c r="D2178">
        <v>1</v>
      </c>
      <c r="E2178" t="s">
        <v>9</v>
      </c>
      <c r="F2178">
        <v>60000</v>
      </c>
      <c r="G2178">
        <v>31000</v>
      </c>
      <c r="H2178">
        <f>Table1[[#This Row],[Qty]]*Table1[[#This Row],[SellingPrice]]</f>
        <v>60000</v>
      </c>
      <c r="I2178">
        <f>Table1[[#This Row],[Qty]]*Table1[[#This Row],[CostPrice]]</f>
        <v>31000</v>
      </c>
      <c r="J2178">
        <v>28797</v>
      </c>
      <c r="K2178">
        <v>202.99999999999997</v>
      </c>
      <c r="L2178" t="s">
        <v>8</v>
      </c>
      <c r="M2178" t="s">
        <v>27</v>
      </c>
      <c r="N2178">
        <f>MONTH(Table1[[#This Row],[SaleDate]])</f>
        <v>9</v>
      </c>
      <c r="O2178" t="str">
        <f>TEXT(Table1[[#This Row],[SaleDate]],"MMM")</f>
        <v>Sep</v>
      </c>
    </row>
    <row r="2179" spans="1:15">
      <c r="A2179" s="1">
        <v>45174</v>
      </c>
      <c r="B2179" t="s">
        <v>23</v>
      </c>
      <c r="C2179" t="s">
        <v>19</v>
      </c>
      <c r="D2179">
        <v>1</v>
      </c>
      <c r="E2179" t="s">
        <v>10</v>
      </c>
      <c r="F2179">
        <v>89000</v>
      </c>
      <c r="G2179">
        <v>65000</v>
      </c>
      <c r="H2179">
        <f>Table1[[#This Row],[Qty]]*Table1[[#This Row],[SellingPrice]]</f>
        <v>89000</v>
      </c>
      <c r="I2179">
        <f>Table1[[#This Row],[Qty]]*Table1[[#This Row],[CostPrice]]</f>
        <v>65000</v>
      </c>
      <c r="J2179">
        <v>23832</v>
      </c>
      <c r="K2179">
        <v>167.99999999999997</v>
      </c>
      <c r="L2179" t="s">
        <v>8</v>
      </c>
      <c r="M2179" t="s">
        <v>30</v>
      </c>
      <c r="N2179">
        <f>MONTH(Table1[[#This Row],[SaleDate]])</f>
        <v>9</v>
      </c>
      <c r="O2179" t="str">
        <f>TEXT(Table1[[#This Row],[SaleDate]],"MMM")</f>
        <v>Sep</v>
      </c>
    </row>
    <row r="2180" spans="1:15">
      <c r="A2180" s="1">
        <v>45174</v>
      </c>
      <c r="B2180" t="s">
        <v>26</v>
      </c>
      <c r="C2180" t="s">
        <v>20</v>
      </c>
      <c r="D2180">
        <v>1</v>
      </c>
      <c r="E2180" t="s">
        <v>9</v>
      </c>
      <c r="F2180">
        <v>60000</v>
      </c>
      <c r="G2180">
        <v>31000</v>
      </c>
      <c r="H2180">
        <f>Table1[[#This Row],[Qty]]*Table1[[#This Row],[SellingPrice]]</f>
        <v>60000</v>
      </c>
      <c r="I2180">
        <f>Table1[[#This Row],[Qty]]*Table1[[#This Row],[CostPrice]]</f>
        <v>31000</v>
      </c>
      <c r="J2180">
        <v>28797</v>
      </c>
      <c r="K2180">
        <v>202.99999999999997</v>
      </c>
      <c r="L2180" t="s">
        <v>11</v>
      </c>
      <c r="M2180" t="s">
        <v>30</v>
      </c>
      <c r="N2180">
        <f>MONTH(Table1[[#This Row],[SaleDate]])</f>
        <v>9</v>
      </c>
      <c r="O2180" t="str">
        <f>TEXT(Table1[[#This Row],[SaleDate]],"MMM")</f>
        <v>Sep</v>
      </c>
    </row>
    <row r="2181" spans="1:15">
      <c r="A2181" s="1">
        <v>45174</v>
      </c>
      <c r="B2181" t="s">
        <v>24</v>
      </c>
      <c r="C2181" t="s">
        <v>22</v>
      </c>
      <c r="D2181">
        <v>1</v>
      </c>
      <c r="E2181" t="s">
        <v>7</v>
      </c>
      <c r="F2181">
        <v>33000</v>
      </c>
      <c r="G2181">
        <v>18000</v>
      </c>
      <c r="H2181">
        <f>Table1[[#This Row],[Qty]]*Table1[[#This Row],[SellingPrice]]</f>
        <v>33000</v>
      </c>
      <c r="I2181">
        <f>Table1[[#This Row],[Qty]]*Table1[[#This Row],[CostPrice]]</f>
        <v>18000</v>
      </c>
      <c r="J2181">
        <v>14895</v>
      </c>
      <c r="K2181">
        <v>104.99999999999999</v>
      </c>
      <c r="L2181" t="s">
        <v>12</v>
      </c>
      <c r="M2181" t="s">
        <v>29</v>
      </c>
      <c r="N2181">
        <f>MONTH(Table1[[#This Row],[SaleDate]])</f>
        <v>9</v>
      </c>
      <c r="O2181" t="str">
        <f>TEXT(Table1[[#This Row],[SaleDate]],"MMM")</f>
        <v>Sep</v>
      </c>
    </row>
    <row r="2182" spans="1:15">
      <c r="A2182" s="1">
        <v>45174</v>
      </c>
      <c r="B2182" t="s">
        <v>24</v>
      </c>
      <c r="C2182" t="s">
        <v>22</v>
      </c>
      <c r="D2182">
        <v>1</v>
      </c>
      <c r="E2182" t="s">
        <v>9</v>
      </c>
      <c r="F2182">
        <v>60000</v>
      </c>
      <c r="G2182">
        <v>31000</v>
      </c>
      <c r="H2182">
        <f>Table1[[#This Row],[Qty]]*Table1[[#This Row],[SellingPrice]]</f>
        <v>60000</v>
      </c>
      <c r="I2182">
        <f>Table1[[#This Row],[Qty]]*Table1[[#This Row],[CostPrice]]</f>
        <v>31000</v>
      </c>
      <c r="J2182">
        <v>28797</v>
      </c>
      <c r="K2182">
        <v>202.99999999999997</v>
      </c>
      <c r="L2182" t="s">
        <v>12</v>
      </c>
      <c r="M2182" t="s">
        <v>27</v>
      </c>
      <c r="N2182">
        <f>MONTH(Table1[[#This Row],[SaleDate]])</f>
        <v>9</v>
      </c>
      <c r="O2182" t="str">
        <f>TEXT(Table1[[#This Row],[SaleDate]],"MMM")</f>
        <v>Sep</v>
      </c>
    </row>
    <row r="2183" spans="1:15">
      <c r="A2183" s="1">
        <v>45174</v>
      </c>
      <c r="B2183" t="s">
        <v>24</v>
      </c>
      <c r="C2183" t="s">
        <v>22</v>
      </c>
      <c r="D2183">
        <v>1</v>
      </c>
      <c r="E2183" t="s">
        <v>10</v>
      </c>
      <c r="F2183">
        <v>89000</v>
      </c>
      <c r="G2183">
        <v>65000</v>
      </c>
      <c r="H2183">
        <f>Table1[[#This Row],[Qty]]*Table1[[#This Row],[SellingPrice]]</f>
        <v>89000</v>
      </c>
      <c r="I2183">
        <f>Table1[[#This Row],[Qty]]*Table1[[#This Row],[CostPrice]]</f>
        <v>65000</v>
      </c>
      <c r="J2183">
        <v>23832</v>
      </c>
      <c r="K2183">
        <v>167.99999999999997</v>
      </c>
      <c r="L2183" t="s">
        <v>12</v>
      </c>
      <c r="M2183" t="s">
        <v>27</v>
      </c>
      <c r="N2183">
        <f>MONTH(Table1[[#This Row],[SaleDate]])</f>
        <v>9</v>
      </c>
      <c r="O2183" t="str">
        <f>TEXT(Table1[[#This Row],[SaleDate]],"MMM")</f>
        <v>Sep</v>
      </c>
    </row>
    <row r="2184" spans="1:15">
      <c r="A2184" s="1">
        <v>45174</v>
      </c>
      <c r="B2184" t="s">
        <v>25</v>
      </c>
      <c r="C2184" t="s">
        <v>21</v>
      </c>
      <c r="D2184">
        <v>1</v>
      </c>
      <c r="E2184" t="s">
        <v>7</v>
      </c>
      <c r="F2184">
        <v>33000</v>
      </c>
      <c r="G2184">
        <v>18000</v>
      </c>
      <c r="H2184">
        <f>Table1[[#This Row],[Qty]]*Table1[[#This Row],[SellingPrice]]</f>
        <v>33000</v>
      </c>
      <c r="I2184">
        <f>Table1[[#This Row],[Qty]]*Table1[[#This Row],[CostPrice]]</f>
        <v>18000</v>
      </c>
      <c r="J2184">
        <v>14895</v>
      </c>
      <c r="K2184">
        <v>104.99999999999999</v>
      </c>
      <c r="L2184" t="s">
        <v>13</v>
      </c>
      <c r="M2184" t="s">
        <v>27</v>
      </c>
      <c r="N2184">
        <f>MONTH(Table1[[#This Row],[SaleDate]])</f>
        <v>9</v>
      </c>
      <c r="O2184" t="str">
        <f>TEXT(Table1[[#This Row],[SaleDate]],"MMM")</f>
        <v>Sep</v>
      </c>
    </row>
    <row r="2185" spans="1:15">
      <c r="A2185" s="1">
        <v>45174</v>
      </c>
      <c r="B2185" t="s">
        <v>25</v>
      </c>
      <c r="C2185" t="s">
        <v>21</v>
      </c>
      <c r="D2185">
        <v>1</v>
      </c>
      <c r="E2185" t="s">
        <v>9</v>
      </c>
      <c r="F2185">
        <v>60000</v>
      </c>
      <c r="G2185">
        <v>31000</v>
      </c>
      <c r="H2185">
        <f>Table1[[#This Row],[Qty]]*Table1[[#This Row],[SellingPrice]]</f>
        <v>60000</v>
      </c>
      <c r="I2185">
        <f>Table1[[#This Row],[Qty]]*Table1[[#This Row],[CostPrice]]</f>
        <v>31000</v>
      </c>
      <c r="J2185">
        <v>28797</v>
      </c>
      <c r="K2185">
        <v>202.99999999999997</v>
      </c>
      <c r="L2185" t="s">
        <v>13</v>
      </c>
      <c r="M2185" t="s">
        <v>30</v>
      </c>
      <c r="N2185">
        <f>MONTH(Table1[[#This Row],[SaleDate]])</f>
        <v>9</v>
      </c>
      <c r="O2185" t="str">
        <f>TEXT(Table1[[#This Row],[SaleDate]],"MMM")</f>
        <v>Sep</v>
      </c>
    </row>
    <row r="2186" spans="1:15">
      <c r="A2186" s="1">
        <v>45174</v>
      </c>
      <c r="B2186" t="s">
        <v>25</v>
      </c>
      <c r="C2186" t="s">
        <v>21</v>
      </c>
      <c r="D2186">
        <v>1</v>
      </c>
      <c r="E2186" t="s">
        <v>10</v>
      </c>
      <c r="F2186">
        <v>89000</v>
      </c>
      <c r="G2186">
        <v>65000</v>
      </c>
      <c r="H2186">
        <f>Table1[[#This Row],[Qty]]*Table1[[#This Row],[SellingPrice]]</f>
        <v>89000</v>
      </c>
      <c r="I2186">
        <f>Table1[[#This Row],[Qty]]*Table1[[#This Row],[CostPrice]]</f>
        <v>65000</v>
      </c>
      <c r="J2186">
        <v>23832</v>
      </c>
      <c r="K2186">
        <v>167.99999999999997</v>
      </c>
      <c r="L2186" t="s">
        <v>13</v>
      </c>
      <c r="M2186" t="s">
        <v>27</v>
      </c>
      <c r="N2186">
        <f>MONTH(Table1[[#This Row],[SaleDate]])</f>
        <v>9</v>
      </c>
      <c r="O2186" t="str">
        <f>TEXT(Table1[[#This Row],[SaleDate]],"MMM")</f>
        <v>Sep</v>
      </c>
    </row>
    <row r="2187" spans="1:15">
      <c r="A2187" s="1">
        <v>45175</v>
      </c>
      <c r="B2187" t="s">
        <v>23</v>
      </c>
      <c r="C2187" t="s">
        <v>19</v>
      </c>
      <c r="D2187">
        <v>1</v>
      </c>
      <c r="E2187" t="s">
        <v>7</v>
      </c>
      <c r="F2187">
        <v>33000</v>
      </c>
      <c r="G2187">
        <v>18000</v>
      </c>
      <c r="H2187">
        <f>Table1[[#This Row],[Qty]]*Table1[[#This Row],[SellingPrice]]</f>
        <v>33000</v>
      </c>
      <c r="I2187">
        <f>Table1[[#This Row],[Qty]]*Table1[[#This Row],[CostPrice]]</f>
        <v>18000</v>
      </c>
      <c r="J2187">
        <v>14895</v>
      </c>
      <c r="K2187">
        <v>104.99999999999999</v>
      </c>
      <c r="L2187" t="s">
        <v>8</v>
      </c>
      <c r="M2187" t="s">
        <v>27</v>
      </c>
      <c r="N2187">
        <f>MONTH(Table1[[#This Row],[SaleDate]])</f>
        <v>9</v>
      </c>
      <c r="O2187" t="str">
        <f>TEXT(Table1[[#This Row],[SaleDate]],"MMM")</f>
        <v>Sep</v>
      </c>
    </row>
    <row r="2188" spans="1:15">
      <c r="A2188" s="1">
        <v>45175</v>
      </c>
      <c r="B2188" t="s">
        <v>23</v>
      </c>
      <c r="C2188" t="s">
        <v>19</v>
      </c>
      <c r="D2188">
        <v>1</v>
      </c>
      <c r="E2188" t="s">
        <v>9</v>
      </c>
      <c r="F2188">
        <v>60000</v>
      </c>
      <c r="G2188">
        <v>31000</v>
      </c>
      <c r="H2188">
        <f>Table1[[#This Row],[Qty]]*Table1[[#This Row],[SellingPrice]]</f>
        <v>60000</v>
      </c>
      <c r="I2188">
        <f>Table1[[#This Row],[Qty]]*Table1[[#This Row],[CostPrice]]</f>
        <v>31000</v>
      </c>
      <c r="J2188">
        <v>28797</v>
      </c>
      <c r="K2188">
        <v>202.99999999999997</v>
      </c>
      <c r="L2188" t="s">
        <v>8</v>
      </c>
      <c r="M2188" t="s">
        <v>30</v>
      </c>
      <c r="N2188">
        <f>MONTH(Table1[[#This Row],[SaleDate]])</f>
        <v>9</v>
      </c>
      <c r="O2188" t="str">
        <f>TEXT(Table1[[#This Row],[SaleDate]],"MMM")</f>
        <v>Sep</v>
      </c>
    </row>
    <row r="2189" spans="1:15">
      <c r="A2189" s="1">
        <v>45175</v>
      </c>
      <c r="B2189" t="s">
        <v>23</v>
      </c>
      <c r="C2189" t="s">
        <v>19</v>
      </c>
      <c r="D2189">
        <v>1</v>
      </c>
      <c r="E2189" t="s">
        <v>10</v>
      </c>
      <c r="F2189">
        <v>89000</v>
      </c>
      <c r="G2189">
        <v>65000</v>
      </c>
      <c r="H2189">
        <f>Table1[[#This Row],[Qty]]*Table1[[#This Row],[SellingPrice]]</f>
        <v>89000</v>
      </c>
      <c r="I2189">
        <f>Table1[[#This Row],[Qty]]*Table1[[#This Row],[CostPrice]]</f>
        <v>65000</v>
      </c>
      <c r="J2189">
        <v>23832</v>
      </c>
      <c r="K2189">
        <v>167.99999999999997</v>
      </c>
      <c r="L2189" t="s">
        <v>8</v>
      </c>
      <c r="M2189" t="s">
        <v>27</v>
      </c>
      <c r="N2189">
        <f>MONTH(Table1[[#This Row],[SaleDate]])</f>
        <v>9</v>
      </c>
      <c r="O2189" t="str">
        <f>TEXT(Table1[[#This Row],[SaleDate]],"MMM")</f>
        <v>Sep</v>
      </c>
    </row>
    <row r="2190" spans="1:15">
      <c r="A2190" s="1">
        <v>45175</v>
      </c>
      <c r="B2190" t="s">
        <v>24</v>
      </c>
      <c r="C2190" t="s">
        <v>22</v>
      </c>
      <c r="D2190">
        <v>1</v>
      </c>
      <c r="E2190" t="s">
        <v>9</v>
      </c>
      <c r="F2190">
        <v>60000</v>
      </c>
      <c r="G2190">
        <v>31000</v>
      </c>
      <c r="H2190">
        <f>Table1[[#This Row],[Qty]]*Table1[[#This Row],[SellingPrice]]</f>
        <v>60000</v>
      </c>
      <c r="I2190">
        <f>Table1[[#This Row],[Qty]]*Table1[[#This Row],[CostPrice]]</f>
        <v>31000</v>
      </c>
      <c r="J2190">
        <v>28797</v>
      </c>
      <c r="K2190">
        <v>202.99999999999997</v>
      </c>
      <c r="L2190" t="s">
        <v>12</v>
      </c>
      <c r="M2190" t="s">
        <v>30</v>
      </c>
      <c r="N2190">
        <f>MONTH(Table1[[#This Row],[SaleDate]])</f>
        <v>9</v>
      </c>
      <c r="O2190" t="str">
        <f>TEXT(Table1[[#This Row],[SaleDate]],"MMM")</f>
        <v>Sep</v>
      </c>
    </row>
    <row r="2191" spans="1:15">
      <c r="A2191" s="1">
        <v>45175</v>
      </c>
      <c r="B2191" t="s">
        <v>24</v>
      </c>
      <c r="C2191" t="s">
        <v>22</v>
      </c>
      <c r="D2191">
        <v>1</v>
      </c>
      <c r="E2191" t="s">
        <v>10</v>
      </c>
      <c r="F2191">
        <v>89000</v>
      </c>
      <c r="G2191">
        <v>65000</v>
      </c>
      <c r="H2191">
        <f>Table1[[#This Row],[Qty]]*Table1[[#This Row],[SellingPrice]]</f>
        <v>89000</v>
      </c>
      <c r="I2191">
        <f>Table1[[#This Row],[Qty]]*Table1[[#This Row],[CostPrice]]</f>
        <v>65000</v>
      </c>
      <c r="J2191">
        <v>23832</v>
      </c>
      <c r="K2191">
        <v>167.99999999999997</v>
      </c>
      <c r="L2191" t="s">
        <v>12</v>
      </c>
      <c r="M2191" t="s">
        <v>30</v>
      </c>
      <c r="N2191">
        <f>MONTH(Table1[[#This Row],[SaleDate]])</f>
        <v>9</v>
      </c>
      <c r="O2191" t="str">
        <f>TEXT(Table1[[#This Row],[SaleDate]],"MMM")</f>
        <v>Sep</v>
      </c>
    </row>
    <row r="2192" spans="1:15">
      <c r="A2192" s="1">
        <v>45175</v>
      </c>
      <c r="B2192" t="s">
        <v>25</v>
      </c>
      <c r="C2192" t="s">
        <v>21</v>
      </c>
      <c r="D2192">
        <v>1</v>
      </c>
      <c r="E2192" t="s">
        <v>7</v>
      </c>
      <c r="F2192">
        <v>33000</v>
      </c>
      <c r="G2192">
        <v>18000</v>
      </c>
      <c r="H2192">
        <f>Table1[[#This Row],[Qty]]*Table1[[#This Row],[SellingPrice]]</f>
        <v>33000</v>
      </c>
      <c r="I2192">
        <f>Table1[[#This Row],[Qty]]*Table1[[#This Row],[CostPrice]]</f>
        <v>18000</v>
      </c>
      <c r="J2192">
        <v>14895</v>
      </c>
      <c r="K2192">
        <v>104.99999999999999</v>
      </c>
      <c r="L2192" t="s">
        <v>13</v>
      </c>
      <c r="M2192" t="s">
        <v>30</v>
      </c>
      <c r="N2192">
        <f>MONTH(Table1[[#This Row],[SaleDate]])</f>
        <v>9</v>
      </c>
      <c r="O2192" t="str">
        <f>TEXT(Table1[[#This Row],[SaleDate]],"MMM")</f>
        <v>Sep</v>
      </c>
    </row>
    <row r="2193" spans="1:15">
      <c r="A2193" s="1">
        <v>45175</v>
      </c>
      <c r="B2193" t="s">
        <v>25</v>
      </c>
      <c r="C2193" t="s">
        <v>21</v>
      </c>
      <c r="D2193">
        <v>1</v>
      </c>
      <c r="E2193" t="s">
        <v>9</v>
      </c>
      <c r="F2193">
        <v>60000</v>
      </c>
      <c r="G2193">
        <v>31000</v>
      </c>
      <c r="H2193">
        <f>Table1[[#This Row],[Qty]]*Table1[[#This Row],[SellingPrice]]</f>
        <v>60000</v>
      </c>
      <c r="I2193">
        <f>Table1[[#This Row],[Qty]]*Table1[[#This Row],[CostPrice]]</f>
        <v>31000</v>
      </c>
      <c r="J2193">
        <v>28797</v>
      </c>
      <c r="K2193">
        <v>202.99999999999997</v>
      </c>
      <c r="L2193" t="s">
        <v>13</v>
      </c>
      <c r="M2193" t="s">
        <v>27</v>
      </c>
      <c r="N2193">
        <f>MONTH(Table1[[#This Row],[SaleDate]])</f>
        <v>9</v>
      </c>
      <c r="O2193" t="str">
        <f>TEXT(Table1[[#This Row],[SaleDate]],"MMM")</f>
        <v>Sep</v>
      </c>
    </row>
    <row r="2194" spans="1:15">
      <c r="A2194" s="1">
        <v>45175</v>
      </c>
      <c r="B2194" t="s">
        <v>25</v>
      </c>
      <c r="C2194" t="s">
        <v>21</v>
      </c>
      <c r="D2194">
        <v>1</v>
      </c>
      <c r="E2194" t="s">
        <v>10</v>
      </c>
      <c r="F2194">
        <v>89000</v>
      </c>
      <c r="G2194">
        <v>65000</v>
      </c>
      <c r="H2194">
        <f>Table1[[#This Row],[Qty]]*Table1[[#This Row],[SellingPrice]]</f>
        <v>89000</v>
      </c>
      <c r="I2194">
        <f>Table1[[#This Row],[Qty]]*Table1[[#This Row],[CostPrice]]</f>
        <v>65000</v>
      </c>
      <c r="J2194">
        <v>23832</v>
      </c>
      <c r="K2194">
        <v>167.99999999999997</v>
      </c>
      <c r="L2194" t="s">
        <v>13</v>
      </c>
      <c r="M2194" t="s">
        <v>28</v>
      </c>
      <c r="N2194">
        <f>MONTH(Table1[[#This Row],[SaleDate]])</f>
        <v>9</v>
      </c>
      <c r="O2194" t="str">
        <f>TEXT(Table1[[#This Row],[SaleDate]],"MMM")</f>
        <v>Sep</v>
      </c>
    </row>
    <row r="2195" spans="1:15">
      <c r="A2195" s="1">
        <v>45176</v>
      </c>
      <c r="B2195" t="s">
        <v>23</v>
      </c>
      <c r="C2195" t="s">
        <v>19</v>
      </c>
      <c r="D2195">
        <v>1</v>
      </c>
      <c r="E2195" t="s">
        <v>7</v>
      </c>
      <c r="F2195">
        <v>33000</v>
      </c>
      <c r="G2195">
        <v>18000</v>
      </c>
      <c r="H2195">
        <f>Table1[[#This Row],[Qty]]*Table1[[#This Row],[SellingPrice]]</f>
        <v>33000</v>
      </c>
      <c r="I2195">
        <f>Table1[[#This Row],[Qty]]*Table1[[#This Row],[CostPrice]]</f>
        <v>18000</v>
      </c>
      <c r="J2195">
        <v>14895</v>
      </c>
      <c r="K2195">
        <v>104.99999999999999</v>
      </c>
      <c r="L2195" t="s">
        <v>8</v>
      </c>
      <c r="M2195" t="s">
        <v>27</v>
      </c>
      <c r="N2195">
        <f>MONTH(Table1[[#This Row],[SaleDate]])</f>
        <v>9</v>
      </c>
      <c r="O2195" t="str">
        <f>TEXT(Table1[[#This Row],[SaleDate]],"MMM")</f>
        <v>Sep</v>
      </c>
    </row>
    <row r="2196" spans="1:15">
      <c r="A2196" s="1">
        <v>45176</v>
      </c>
      <c r="B2196" t="s">
        <v>23</v>
      </c>
      <c r="C2196" t="s">
        <v>19</v>
      </c>
      <c r="D2196">
        <v>1</v>
      </c>
      <c r="E2196" t="s">
        <v>9</v>
      </c>
      <c r="F2196">
        <v>60000</v>
      </c>
      <c r="G2196">
        <v>31000</v>
      </c>
      <c r="H2196">
        <f>Table1[[#This Row],[Qty]]*Table1[[#This Row],[SellingPrice]]</f>
        <v>60000</v>
      </c>
      <c r="I2196">
        <f>Table1[[#This Row],[Qty]]*Table1[[#This Row],[CostPrice]]</f>
        <v>31000</v>
      </c>
      <c r="J2196">
        <v>28797</v>
      </c>
      <c r="K2196">
        <v>202.99999999999997</v>
      </c>
      <c r="L2196" t="s">
        <v>8</v>
      </c>
      <c r="M2196" t="s">
        <v>29</v>
      </c>
      <c r="N2196">
        <f>MONTH(Table1[[#This Row],[SaleDate]])</f>
        <v>9</v>
      </c>
      <c r="O2196" t="str">
        <f>TEXT(Table1[[#This Row],[SaleDate]],"MMM")</f>
        <v>Sep</v>
      </c>
    </row>
    <row r="2197" spans="1:15">
      <c r="A2197" s="1">
        <v>45176</v>
      </c>
      <c r="B2197" t="s">
        <v>23</v>
      </c>
      <c r="C2197" t="s">
        <v>19</v>
      </c>
      <c r="D2197">
        <v>1</v>
      </c>
      <c r="E2197" t="s">
        <v>10</v>
      </c>
      <c r="F2197">
        <v>89000</v>
      </c>
      <c r="G2197">
        <v>65000</v>
      </c>
      <c r="H2197">
        <f>Table1[[#This Row],[Qty]]*Table1[[#This Row],[SellingPrice]]</f>
        <v>89000</v>
      </c>
      <c r="I2197">
        <f>Table1[[#This Row],[Qty]]*Table1[[#This Row],[CostPrice]]</f>
        <v>65000</v>
      </c>
      <c r="J2197">
        <v>23832</v>
      </c>
      <c r="K2197">
        <v>167.99999999999997</v>
      </c>
      <c r="L2197" t="s">
        <v>8</v>
      </c>
      <c r="M2197" t="s">
        <v>28</v>
      </c>
      <c r="N2197">
        <f>MONTH(Table1[[#This Row],[SaleDate]])</f>
        <v>9</v>
      </c>
      <c r="O2197" t="str">
        <f>TEXT(Table1[[#This Row],[SaleDate]],"MMM")</f>
        <v>Sep</v>
      </c>
    </row>
    <row r="2198" spans="1:15">
      <c r="A2198" s="1">
        <v>45176</v>
      </c>
      <c r="B2198" t="s">
        <v>24</v>
      </c>
      <c r="C2198" t="s">
        <v>22</v>
      </c>
      <c r="D2198">
        <v>1</v>
      </c>
      <c r="E2198" t="s">
        <v>7</v>
      </c>
      <c r="F2198">
        <v>33000</v>
      </c>
      <c r="G2198">
        <v>18000</v>
      </c>
      <c r="H2198">
        <f>Table1[[#This Row],[Qty]]*Table1[[#This Row],[SellingPrice]]</f>
        <v>33000</v>
      </c>
      <c r="I2198">
        <f>Table1[[#This Row],[Qty]]*Table1[[#This Row],[CostPrice]]</f>
        <v>18000</v>
      </c>
      <c r="J2198">
        <v>14895</v>
      </c>
      <c r="K2198">
        <v>104.99999999999999</v>
      </c>
      <c r="L2198" t="s">
        <v>12</v>
      </c>
      <c r="M2198" t="s">
        <v>30</v>
      </c>
      <c r="N2198">
        <f>MONTH(Table1[[#This Row],[SaleDate]])</f>
        <v>9</v>
      </c>
      <c r="O2198" t="str">
        <f>TEXT(Table1[[#This Row],[SaleDate]],"MMM")</f>
        <v>Sep</v>
      </c>
    </row>
    <row r="2199" spans="1:15">
      <c r="A2199" s="1">
        <v>45176</v>
      </c>
      <c r="B2199" t="s">
        <v>24</v>
      </c>
      <c r="C2199" t="s">
        <v>22</v>
      </c>
      <c r="D2199">
        <v>1</v>
      </c>
      <c r="E2199" t="s">
        <v>9</v>
      </c>
      <c r="F2199">
        <v>60000</v>
      </c>
      <c r="G2199">
        <v>31000</v>
      </c>
      <c r="H2199">
        <f>Table1[[#This Row],[Qty]]*Table1[[#This Row],[SellingPrice]]</f>
        <v>60000</v>
      </c>
      <c r="I2199">
        <f>Table1[[#This Row],[Qty]]*Table1[[#This Row],[CostPrice]]</f>
        <v>31000</v>
      </c>
      <c r="J2199">
        <v>28797</v>
      </c>
      <c r="K2199">
        <v>202.99999999999997</v>
      </c>
      <c r="L2199" t="s">
        <v>12</v>
      </c>
      <c r="M2199" t="s">
        <v>27</v>
      </c>
      <c r="N2199">
        <f>MONTH(Table1[[#This Row],[SaleDate]])</f>
        <v>9</v>
      </c>
      <c r="O2199" t="str">
        <f>TEXT(Table1[[#This Row],[SaleDate]],"MMM")</f>
        <v>Sep</v>
      </c>
    </row>
    <row r="2200" spans="1:15">
      <c r="A2200" s="1">
        <v>45176</v>
      </c>
      <c r="B2200" t="s">
        <v>24</v>
      </c>
      <c r="C2200" t="s">
        <v>22</v>
      </c>
      <c r="D2200">
        <v>1</v>
      </c>
      <c r="E2200" t="s">
        <v>10</v>
      </c>
      <c r="F2200">
        <v>89000</v>
      </c>
      <c r="G2200">
        <v>65000</v>
      </c>
      <c r="H2200">
        <f>Table1[[#This Row],[Qty]]*Table1[[#This Row],[SellingPrice]]</f>
        <v>89000</v>
      </c>
      <c r="I2200">
        <f>Table1[[#This Row],[Qty]]*Table1[[#This Row],[CostPrice]]</f>
        <v>65000</v>
      </c>
      <c r="J2200">
        <v>23832</v>
      </c>
      <c r="K2200">
        <v>167.99999999999997</v>
      </c>
      <c r="L2200" t="s">
        <v>12</v>
      </c>
      <c r="M2200" t="s">
        <v>30</v>
      </c>
      <c r="N2200">
        <f>MONTH(Table1[[#This Row],[SaleDate]])</f>
        <v>9</v>
      </c>
      <c r="O2200" t="str">
        <f>TEXT(Table1[[#This Row],[SaleDate]],"MMM")</f>
        <v>Sep</v>
      </c>
    </row>
    <row r="2201" spans="1:15">
      <c r="A2201" s="1">
        <v>45176</v>
      </c>
      <c r="B2201" t="s">
        <v>25</v>
      </c>
      <c r="C2201" t="s">
        <v>21</v>
      </c>
      <c r="D2201">
        <v>1</v>
      </c>
      <c r="E2201" t="s">
        <v>7</v>
      </c>
      <c r="F2201">
        <v>33000</v>
      </c>
      <c r="G2201">
        <v>18000</v>
      </c>
      <c r="H2201">
        <f>Table1[[#This Row],[Qty]]*Table1[[#This Row],[SellingPrice]]</f>
        <v>33000</v>
      </c>
      <c r="I2201">
        <f>Table1[[#This Row],[Qty]]*Table1[[#This Row],[CostPrice]]</f>
        <v>18000</v>
      </c>
      <c r="J2201">
        <v>14895</v>
      </c>
      <c r="K2201">
        <v>104.99999999999999</v>
      </c>
      <c r="L2201" t="s">
        <v>13</v>
      </c>
      <c r="M2201" t="s">
        <v>29</v>
      </c>
      <c r="N2201">
        <f>MONTH(Table1[[#This Row],[SaleDate]])</f>
        <v>9</v>
      </c>
      <c r="O2201" t="str">
        <f>TEXT(Table1[[#This Row],[SaleDate]],"MMM")</f>
        <v>Sep</v>
      </c>
    </row>
    <row r="2202" spans="1:15">
      <c r="A2202" s="1">
        <v>45176</v>
      </c>
      <c r="B2202" t="s">
        <v>25</v>
      </c>
      <c r="C2202" t="s">
        <v>21</v>
      </c>
      <c r="D2202">
        <v>1</v>
      </c>
      <c r="E2202" t="s">
        <v>9</v>
      </c>
      <c r="F2202">
        <v>60000</v>
      </c>
      <c r="G2202">
        <v>31000</v>
      </c>
      <c r="H2202">
        <f>Table1[[#This Row],[Qty]]*Table1[[#This Row],[SellingPrice]]</f>
        <v>60000</v>
      </c>
      <c r="I2202">
        <f>Table1[[#This Row],[Qty]]*Table1[[#This Row],[CostPrice]]</f>
        <v>31000</v>
      </c>
      <c r="J2202">
        <v>28797</v>
      </c>
      <c r="K2202">
        <v>202.99999999999997</v>
      </c>
      <c r="L2202" t="s">
        <v>13</v>
      </c>
      <c r="M2202" t="s">
        <v>30</v>
      </c>
      <c r="N2202">
        <f>MONTH(Table1[[#This Row],[SaleDate]])</f>
        <v>9</v>
      </c>
      <c r="O2202" t="str">
        <f>TEXT(Table1[[#This Row],[SaleDate]],"MMM")</f>
        <v>Sep</v>
      </c>
    </row>
    <row r="2203" spans="1:15">
      <c r="A2203" s="1">
        <v>45176</v>
      </c>
      <c r="B2203" t="s">
        <v>25</v>
      </c>
      <c r="C2203" t="s">
        <v>21</v>
      </c>
      <c r="D2203">
        <v>1</v>
      </c>
      <c r="E2203" t="s">
        <v>10</v>
      </c>
      <c r="F2203">
        <v>89000</v>
      </c>
      <c r="G2203">
        <v>65000</v>
      </c>
      <c r="H2203">
        <f>Table1[[#This Row],[Qty]]*Table1[[#This Row],[SellingPrice]]</f>
        <v>89000</v>
      </c>
      <c r="I2203">
        <f>Table1[[#This Row],[Qty]]*Table1[[#This Row],[CostPrice]]</f>
        <v>65000</v>
      </c>
      <c r="J2203">
        <v>23832</v>
      </c>
      <c r="K2203">
        <v>167.99999999999997</v>
      </c>
      <c r="L2203" t="s">
        <v>13</v>
      </c>
      <c r="M2203" t="s">
        <v>30</v>
      </c>
      <c r="N2203">
        <f>MONTH(Table1[[#This Row],[SaleDate]])</f>
        <v>9</v>
      </c>
      <c r="O2203" t="str">
        <f>TEXT(Table1[[#This Row],[SaleDate]],"MMM")</f>
        <v>Sep</v>
      </c>
    </row>
    <row r="2204" spans="1:15">
      <c r="A2204" s="1">
        <v>45177</v>
      </c>
      <c r="B2204" t="s">
        <v>23</v>
      </c>
      <c r="C2204" t="s">
        <v>19</v>
      </c>
      <c r="D2204">
        <v>1</v>
      </c>
      <c r="E2204" t="s">
        <v>7</v>
      </c>
      <c r="F2204">
        <v>33000</v>
      </c>
      <c r="G2204">
        <v>18000</v>
      </c>
      <c r="H2204">
        <f>Table1[[#This Row],[Qty]]*Table1[[#This Row],[SellingPrice]]</f>
        <v>33000</v>
      </c>
      <c r="I2204">
        <f>Table1[[#This Row],[Qty]]*Table1[[#This Row],[CostPrice]]</f>
        <v>18000</v>
      </c>
      <c r="J2204">
        <v>14895</v>
      </c>
      <c r="K2204">
        <v>104.99999999999999</v>
      </c>
      <c r="L2204" t="s">
        <v>8</v>
      </c>
      <c r="M2204" t="s">
        <v>29</v>
      </c>
      <c r="N2204">
        <f>MONTH(Table1[[#This Row],[SaleDate]])</f>
        <v>9</v>
      </c>
      <c r="O2204" t="str">
        <f>TEXT(Table1[[#This Row],[SaleDate]],"MMM")</f>
        <v>Sep</v>
      </c>
    </row>
    <row r="2205" spans="1:15">
      <c r="A2205" s="1">
        <v>45177</v>
      </c>
      <c r="B2205" t="s">
        <v>23</v>
      </c>
      <c r="C2205" t="s">
        <v>19</v>
      </c>
      <c r="D2205">
        <v>1</v>
      </c>
      <c r="E2205" t="s">
        <v>9</v>
      </c>
      <c r="F2205">
        <v>60000</v>
      </c>
      <c r="G2205">
        <v>31000</v>
      </c>
      <c r="H2205">
        <f>Table1[[#This Row],[Qty]]*Table1[[#This Row],[SellingPrice]]</f>
        <v>60000</v>
      </c>
      <c r="I2205">
        <f>Table1[[#This Row],[Qty]]*Table1[[#This Row],[CostPrice]]</f>
        <v>31000</v>
      </c>
      <c r="J2205">
        <v>28797</v>
      </c>
      <c r="K2205">
        <v>202.99999999999997</v>
      </c>
      <c r="L2205" t="s">
        <v>8</v>
      </c>
      <c r="M2205" t="s">
        <v>29</v>
      </c>
      <c r="N2205">
        <f>MONTH(Table1[[#This Row],[SaleDate]])</f>
        <v>9</v>
      </c>
      <c r="O2205" t="str">
        <f>TEXT(Table1[[#This Row],[SaleDate]],"MMM")</f>
        <v>Sep</v>
      </c>
    </row>
    <row r="2206" spans="1:15">
      <c r="A2206" s="1">
        <v>45177</v>
      </c>
      <c r="B2206" t="s">
        <v>23</v>
      </c>
      <c r="C2206" t="s">
        <v>19</v>
      </c>
      <c r="D2206">
        <v>1</v>
      </c>
      <c r="E2206" t="s">
        <v>10</v>
      </c>
      <c r="F2206">
        <v>89000</v>
      </c>
      <c r="G2206">
        <v>65000</v>
      </c>
      <c r="H2206">
        <f>Table1[[#This Row],[Qty]]*Table1[[#This Row],[SellingPrice]]</f>
        <v>89000</v>
      </c>
      <c r="I2206">
        <f>Table1[[#This Row],[Qty]]*Table1[[#This Row],[CostPrice]]</f>
        <v>65000</v>
      </c>
      <c r="J2206">
        <v>23832</v>
      </c>
      <c r="K2206">
        <v>167.99999999999997</v>
      </c>
      <c r="L2206" t="s">
        <v>8</v>
      </c>
      <c r="M2206" t="s">
        <v>29</v>
      </c>
      <c r="N2206">
        <f>MONTH(Table1[[#This Row],[SaleDate]])</f>
        <v>9</v>
      </c>
      <c r="O2206" t="str">
        <f>TEXT(Table1[[#This Row],[SaleDate]],"MMM")</f>
        <v>Sep</v>
      </c>
    </row>
    <row r="2207" spans="1:15">
      <c r="A2207" s="1">
        <v>45177</v>
      </c>
      <c r="B2207" t="s">
        <v>24</v>
      </c>
      <c r="C2207" t="s">
        <v>22</v>
      </c>
      <c r="D2207">
        <v>1</v>
      </c>
      <c r="E2207" t="s">
        <v>7</v>
      </c>
      <c r="F2207">
        <v>33000</v>
      </c>
      <c r="G2207">
        <v>18000</v>
      </c>
      <c r="H2207">
        <f>Table1[[#This Row],[Qty]]*Table1[[#This Row],[SellingPrice]]</f>
        <v>33000</v>
      </c>
      <c r="I2207">
        <f>Table1[[#This Row],[Qty]]*Table1[[#This Row],[CostPrice]]</f>
        <v>18000</v>
      </c>
      <c r="J2207">
        <v>14895</v>
      </c>
      <c r="K2207">
        <v>104.99999999999999</v>
      </c>
      <c r="L2207" t="s">
        <v>12</v>
      </c>
      <c r="M2207" t="s">
        <v>30</v>
      </c>
      <c r="N2207">
        <f>MONTH(Table1[[#This Row],[SaleDate]])</f>
        <v>9</v>
      </c>
      <c r="O2207" t="str">
        <f>TEXT(Table1[[#This Row],[SaleDate]],"MMM")</f>
        <v>Sep</v>
      </c>
    </row>
    <row r="2208" spans="1:15">
      <c r="A2208" s="1">
        <v>45177</v>
      </c>
      <c r="B2208" t="s">
        <v>24</v>
      </c>
      <c r="C2208" t="s">
        <v>22</v>
      </c>
      <c r="D2208">
        <v>1</v>
      </c>
      <c r="E2208" t="s">
        <v>9</v>
      </c>
      <c r="F2208">
        <v>60000</v>
      </c>
      <c r="G2208">
        <v>31000</v>
      </c>
      <c r="H2208">
        <f>Table1[[#This Row],[Qty]]*Table1[[#This Row],[SellingPrice]]</f>
        <v>60000</v>
      </c>
      <c r="I2208">
        <f>Table1[[#This Row],[Qty]]*Table1[[#This Row],[CostPrice]]</f>
        <v>31000</v>
      </c>
      <c r="J2208">
        <v>28797</v>
      </c>
      <c r="K2208">
        <v>202.99999999999997</v>
      </c>
      <c r="L2208" t="s">
        <v>12</v>
      </c>
      <c r="M2208" t="s">
        <v>29</v>
      </c>
      <c r="N2208">
        <f>MONTH(Table1[[#This Row],[SaleDate]])</f>
        <v>9</v>
      </c>
      <c r="O2208" t="str">
        <f>TEXT(Table1[[#This Row],[SaleDate]],"MMM")</f>
        <v>Sep</v>
      </c>
    </row>
    <row r="2209" spans="1:15">
      <c r="A2209" s="1">
        <v>45177</v>
      </c>
      <c r="B2209" t="s">
        <v>24</v>
      </c>
      <c r="C2209" t="s">
        <v>22</v>
      </c>
      <c r="D2209">
        <v>1</v>
      </c>
      <c r="E2209" t="s">
        <v>10</v>
      </c>
      <c r="F2209">
        <v>89000</v>
      </c>
      <c r="G2209">
        <v>65000</v>
      </c>
      <c r="H2209">
        <f>Table1[[#This Row],[Qty]]*Table1[[#This Row],[SellingPrice]]</f>
        <v>89000</v>
      </c>
      <c r="I2209">
        <f>Table1[[#This Row],[Qty]]*Table1[[#This Row],[CostPrice]]</f>
        <v>65000</v>
      </c>
      <c r="J2209">
        <v>23832</v>
      </c>
      <c r="K2209">
        <v>167.99999999999997</v>
      </c>
      <c r="L2209" t="s">
        <v>12</v>
      </c>
      <c r="M2209" t="s">
        <v>29</v>
      </c>
      <c r="N2209">
        <f>MONTH(Table1[[#This Row],[SaleDate]])</f>
        <v>9</v>
      </c>
      <c r="O2209" t="str">
        <f>TEXT(Table1[[#This Row],[SaleDate]],"MMM")</f>
        <v>Sep</v>
      </c>
    </row>
    <row r="2210" spans="1:15">
      <c r="A2210" s="1">
        <v>45177</v>
      </c>
      <c r="B2210" t="s">
        <v>25</v>
      </c>
      <c r="C2210" t="s">
        <v>21</v>
      </c>
      <c r="D2210">
        <v>1</v>
      </c>
      <c r="E2210" t="s">
        <v>7</v>
      </c>
      <c r="F2210">
        <v>33000</v>
      </c>
      <c r="G2210">
        <v>18000</v>
      </c>
      <c r="H2210">
        <f>Table1[[#This Row],[Qty]]*Table1[[#This Row],[SellingPrice]]</f>
        <v>33000</v>
      </c>
      <c r="I2210">
        <f>Table1[[#This Row],[Qty]]*Table1[[#This Row],[CostPrice]]</f>
        <v>18000</v>
      </c>
      <c r="J2210">
        <v>14895</v>
      </c>
      <c r="K2210">
        <v>104.99999999999999</v>
      </c>
      <c r="L2210" t="s">
        <v>13</v>
      </c>
      <c r="M2210" t="s">
        <v>30</v>
      </c>
      <c r="N2210">
        <f>MONTH(Table1[[#This Row],[SaleDate]])</f>
        <v>9</v>
      </c>
      <c r="O2210" t="str">
        <f>TEXT(Table1[[#This Row],[SaleDate]],"MMM")</f>
        <v>Sep</v>
      </c>
    </row>
    <row r="2211" spans="1:15">
      <c r="A2211" s="1">
        <v>45177</v>
      </c>
      <c r="B2211" t="s">
        <v>25</v>
      </c>
      <c r="C2211" t="s">
        <v>21</v>
      </c>
      <c r="D2211">
        <v>1</v>
      </c>
      <c r="E2211" t="s">
        <v>9</v>
      </c>
      <c r="F2211">
        <v>60000</v>
      </c>
      <c r="G2211">
        <v>31000</v>
      </c>
      <c r="H2211">
        <f>Table1[[#This Row],[Qty]]*Table1[[#This Row],[SellingPrice]]</f>
        <v>60000</v>
      </c>
      <c r="I2211">
        <f>Table1[[#This Row],[Qty]]*Table1[[#This Row],[CostPrice]]</f>
        <v>31000</v>
      </c>
      <c r="J2211">
        <v>28797</v>
      </c>
      <c r="K2211">
        <v>202.99999999999997</v>
      </c>
      <c r="L2211" t="s">
        <v>13</v>
      </c>
      <c r="M2211" t="s">
        <v>29</v>
      </c>
      <c r="N2211">
        <f>MONTH(Table1[[#This Row],[SaleDate]])</f>
        <v>9</v>
      </c>
      <c r="O2211" t="str">
        <f>TEXT(Table1[[#This Row],[SaleDate]],"MMM")</f>
        <v>Sep</v>
      </c>
    </row>
    <row r="2212" spans="1:15">
      <c r="A2212" s="1">
        <v>45177</v>
      </c>
      <c r="B2212" t="s">
        <v>25</v>
      </c>
      <c r="C2212" t="s">
        <v>21</v>
      </c>
      <c r="D2212">
        <v>1</v>
      </c>
      <c r="E2212" t="s">
        <v>10</v>
      </c>
      <c r="F2212">
        <v>89000</v>
      </c>
      <c r="G2212">
        <v>65000</v>
      </c>
      <c r="H2212">
        <f>Table1[[#This Row],[Qty]]*Table1[[#This Row],[SellingPrice]]</f>
        <v>89000</v>
      </c>
      <c r="I2212">
        <f>Table1[[#This Row],[Qty]]*Table1[[#This Row],[CostPrice]]</f>
        <v>65000</v>
      </c>
      <c r="J2212">
        <v>23832</v>
      </c>
      <c r="K2212">
        <v>167.99999999999997</v>
      </c>
      <c r="L2212" t="s">
        <v>13</v>
      </c>
      <c r="M2212" t="s">
        <v>30</v>
      </c>
      <c r="N2212">
        <f>MONTH(Table1[[#This Row],[SaleDate]])</f>
        <v>9</v>
      </c>
      <c r="O2212" t="str">
        <f>TEXT(Table1[[#This Row],[SaleDate]],"MMM")</f>
        <v>Sep</v>
      </c>
    </row>
    <row r="2213" spans="1:15">
      <c r="A2213" s="1">
        <v>45178</v>
      </c>
      <c r="B2213" t="s">
        <v>23</v>
      </c>
      <c r="C2213" t="s">
        <v>19</v>
      </c>
      <c r="D2213">
        <v>2</v>
      </c>
      <c r="E2213" t="s">
        <v>7</v>
      </c>
      <c r="F2213">
        <v>33000</v>
      </c>
      <c r="G2213">
        <v>18000</v>
      </c>
      <c r="H2213">
        <f>Table1[[#This Row],[Qty]]*Table1[[#This Row],[SellingPrice]]</f>
        <v>66000</v>
      </c>
      <c r="I2213">
        <f>Table1[[#This Row],[Qty]]*Table1[[#This Row],[CostPrice]]</f>
        <v>36000</v>
      </c>
      <c r="J2213">
        <v>29790</v>
      </c>
      <c r="K2213">
        <v>209.99999999999997</v>
      </c>
      <c r="L2213" t="s">
        <v>8</v>
      </c>
      <c r="M2213" t="s">
        <v>30</v>
      </c>
      <c r="N2213">
        <f>MONTH(Table1[[#This Row],[SaleDate]])</f>
        <v>9</v>
      </c>
      <c r="O2213" t="str">
        <f>TEXT(Table1[[#This Row],[SaleDate]],"MMM")</f>
        <v>Sep</v>
      </c>
    </row>
    <row r="2214" spans="1:15">
      <c r="A2214" s="1">
        <v>45178</v>
      </c>
      <c r="B2214" t="s">
        <v>23</v>
      </c>
      <c r="C2214" t="s">
        <v>19</v>
      </c>
      <c r="D2214">
        <v>2</v>
      </c>
      <c r="E2214" t="s">
        <v>9</v>
      </c>
      <c r="F2214">
        <v>60000</v>
      </c>
      <c r="G2214">
        <v>31000</v>
      </c>
      <c r="H2214">
        <f>Table1[[#This Row],[Qty]]*Table1[[#This Row],[SellingPrice]]</f>
        <v>120000</v>
      </c>
      <c r="I2214">
        <f>Table1[[#This Row],[Qty]]*Table1[[#This Row],[CostPrice]]</f>
        <v>62000</v>
      </c>
      <c r="J2214">
        <v>57594</v>
      </c>
      <c r="K2214">
        <v>405.99999999999994</v>
      </c>
      <c r="L2214" t="s">
        <v>8</v>
      </c>
      <c r="M2214" t="s">
        <v>29</v>
      </c>
      <c r="N2214">
        <f>MONTH(Table1[[#This Row],[SaleDate]])</f>
        <v>9</v>
      </c>
      <c r="O2214" t="str">
        <f>TEXT(Table1[[#This Row],[SaleDate]],"MMM")</f>
        <v>Sep</v>
      </c>
    </row>
    <row r="2215" spans="1:15">
      <c r="A2215" s="1">
        <v>45178</v>
      </c>
      <c r="B2215" t="s">
        <v>23</v>
      </c>
      <c r="C2215" t="s">
        <v>19</v>
      </c>
      <c r="D2215">
        <v>2</v>
      </c>
      <c r="E2215" t="s">
        <v>10</v>
      </c>
      <c r="F2215">
        <v>89000</v>
      </c>
      <c r="G2215">
        <v>65000</v>
      </c>
      <c r="H2215">
        <f>Table1[[#This Row],[Qty]]*Table1[[#This Row],[SellingPrice]]</f>
        <v>178000</v>
      </c>
      <c r="I2215">
        <f>Table1[[#This Row],[Qty]]*Table1[[#This Row],[CostPrice]]</f>
        <v>130000</v>
      </c>
      <c r="J2215">
        <v>47664</v>
      </c>
      <c r="K2215">
        <v>335.99999999999994</v>
      </c>
      <c r="L2215" t="s">
        <v>8</v>
      </c>
      <c r="M2215" t="s">
        <v>30</v>
      </c>
      <c r="N2215">
        <f>MONTH(Table1[[#This Row],[SaleDate]])</f>
        <v>9</v>
      </c>
      <c r="O2215" t="str">
        <f>TEXT(Table1[[#This Row],[SaleDate]],"MMM")</f>
        <v>Sep</v>
      </c>
    </row>
    <row r="2216" spans="1:15">
      <c r="A2216" s="1">
        <v>45178</v>
      </c>
      <c r="B2216" t="s">
        <v>24</v>
      </c>
      <c r="C2216" t="s">
        <v>22</v>
      </c>
      <c r="D2216">
        <v>2</v>
      </c>
      <c r="E2216" t="s">
        <v>9</v>
      </c>
      <c r="F2216">
        <v>60000</v>
      </c>
      <c r="G2216">
        <v>31000</v>
      </c>
      <c r="H2216">
        <f>Table1[[#This Row],[Qty]]*Table1[[#This Row],[SellingPrice]]</f>
        <v>120000</v>
      </c>
      <c r="I2216">
        <f>Table1[[#This Row],[Qty]]*Table1[[#This Row],[CostPrice]]</f>
        <v>62000</v>
      </c>
      <c r="J2216">
        <v>57594</v>
      </c>
      <c r="K2216">
        <v>405.99999999999994</v>
      </c>
      <c r="L2216" t="s">
        <v>12</v>
      </c>
      <c r="M2216" t="s">
        <v>29</v>
      </c>
      <c r="N2216">
        <f>MONTH(Table1[[#This Row],[SaleDate]])</f>
        <v>9</v>
      </c>
      <c r="O2216" t="str">
        <f>TEXT(Table1[[#This Row],[SaleDate]],"MMM")</f>
        <v>Sep</v>
      </c>
    </row>
    <row r="2217" spans="1:15">
      <c r="A2217" s="1">
        <v>45178</v>
      </c>
      <c r="B2217" t="s">
        <v>24</v>
      </c>
      <c r="C2217" t="s">
        <v>22</v>
      </c>
      <c r="D2217">
        <v>2</v>
      </c>
      <c r="E2217" t="s">
        <v>10</v>
      </c>
      <c r="F2217">
        <v>89000</v>
      </c>
      <c r="G2217">
        <v>65000</v>
      </c>
      <c r="H2217">
        <f>Table1[[#This Row],[Qty]]*Table1[[#This Row],[SellingPrice]]</f>
        <v>178000</v>
      </c>
      <c r="I2217">
        <f>Table1[[#This Row],[Qty]]*Table1[[#This Row],[CostPrice]]</f>
        <v>130000</v>
      </c>
      <c r="J2217">
        <v>47664</v>
      </c>
      <c r="K2217">
        <v>335.99999999999994</v>
      </c>
      <c r="L2217" t="s">
        <v>12</v>
      </c>
      <c r="M2217" t="s">
        <v>29</v>
      </c>
      <c r="N2217">
        <f>MONTH(Table1[[#This Row],[SaleDate]])</f>
        <v>9</v>
      </c>
      <c r="O2217" t="str">
        <f>TEXT(Table1[[#This Row],[SaleDate]],"MMM")</f>
        <v>Sep</v>
      </c>
    </row>
    <row r="2218" spans="1:15">
      <c r="A2218" s="1">
        <v>45178</v>
      </c>
      <c r="B2218" t="s">
        <v>25</v>
      </c>
      <c r="C2218" t="s">
        <v>21</v>
      </c>
      <c r="D2218">
        <v>2</v>
      </c>
      <c r="E2218" t="s">
        <v>7</v>
      </c>
      <c r="F2218">
        <v>33000</v>
      </c>
      <c r="G2218">
        <v>18000</v>
      </c>
      <c r="H2218">
        <f>Table1[[#This Row],[Qty]]*Table1[[#This Row],[SellingPrice]]</f>
        <v>66000</v>
      </c>
      <c r="I2218">
        <f>Table1[[#This Row],[Qty]]*Table1[[#This Row],[CostPrice]]</f>
        <v>36000</v>
      </c>
      <c r="J2218">
        <v>29790</v>
      </c>
      <c r="K2218">
        <v>209.99999999999997</v>
      </c>
      <c r="L2218" t="s">
        <v>13</v>
      </c>
      <c r="M2218" t="s">
        <v>27</v>
      </c>
      <c r="N2218">
        <f>MONTH(Table1[[#This Row],[SaleDate]])</f>
        <v>9</v>
      </c>
      <c r="O2218" t="str">
        <f>TEXT(Table1[[#This Row],[SaleDate]],"MMM")</f>
        <v>Sep</v>
      </c>
    </row>
    <row r="2219" spans="1:15">
      <c r="A2219" s="1">
        <v>45178</v>
      </c>
      <c r="B2219" t="s">
        <v>25</v>
      </c>
      <c r="C2219" t="s">
        <v>21</v>
      </c>
      <c r="D2219">
        <v>2</v>
      </c>
      <c r="E2219" t="s">
        <v>9</v>
      </c>
      <c r="F2219">
        <v>60000</v>
      </c>
      <c r="G2219">
        <v>31000</v>
      </c>
      <c r="H2219">
        <f>Table1[[#This Row],[Qty]]*Table1[[#This Row],[SellingPrice]]</f>
        <v>120000</v>
      </c>
      <c r="I2219">
        <f>Table1[[#This Row],[Qty]]*Table1[[#This Row],[CostPrice]]</f>
        <v>62000</v>
      </c>
      <c r="J2219">
        <v>57594</v>
      </c>
      <c r="K2219">
        <v>405.99999999999994</v>
      </c>
      <c r="L2219" t="s">
        <v>13</v>
      </c>
      <c r="M2219" t="s">
        <v>30</v>
      </c>
      <c r="N2219">
        <f>MONTH(Table1[[#This Row],[SaleDate]])</f>
        <v>9</v>
      </c>
      <c r="O2219" t="str">
        <f>TEXT(Table1[[#This Row],[SaleDate]],"MMM")</f>
        <v>Sep</v>
      </c>
    </row>
    <row r="2220" spans="1:15">
      <c r="A2220" s="1">
        <v>45178</v>
      </c>
      <c r="B2220" t="s">
        <v>25</v>
      </c>
      <c r="C2220" t="s">
        <v>21</v>
      </c>
      <c r="D2220">
        <v>2</v>
      </c>
      <c r="E2220" t="s">
        <v>10</v>
      </c>
      <c r="F2220">
        <v>89000</v>
      </c>
      <c r="G2220">
        <v>65000</v>
      </c>
      <c r="H2220">
        <f>Table1[[#This Row],[Qty]]*Table1[[#This Row],[SellingPrice]]</f>
        <v>178000</v>
      </c>
      <c r="I2220">
        <f>Table1[[#This Row],[Qty]]*Table1[[#This Row],[CostPrice]]</f>
        <v>130000</v>
      </c>
      <c r="J2220">
        <v>47664</v>
      </c>
      <c r="K2220">
        <v>335.99999999999994</v>
      </c>
      <c r="L2220" t="s">
        <v>13</v>
      </c>
      <c r="M2220" t="s">
        <v>28</v>
      </c>
      <c r="N2220">
        <f>MONTH(Table1[[#This Row],[SaleDate]])</f>
        <v>9</v>
      </c>
      <c r="O2220" t="str">
        <f>TEXT(Table1[[#This Row],[SaleDate]],"MMM")</f>
        <v>Sep</v>
      </c>
    </row>
    <row r="2221" spans="1:15">
      <c r="A2221" s="1">
        <v>45179</v>
      </c>
      <c r="B2221" t="s">
        <v>23</v>
      </c>
      <c r="C2221" t="s">
        <v>19</v>
      </c>
      <c r="D2221">
        <v>2</v>
      </c>
      <c r="E2221" t="s">
        <v>7</v>
      </c>
      <c r="F2221">
        <v>33000</v>
      </c>
      <c r="G2221">
        <v>18000</v>
      </c>
      <c r="H2221">
        <f>Table1[[#This Row],[Qty]]*Table1[[#This Row],[SellingPrice]]</f>
        <v>66000</v>
      </c>
      <c r="I2221">
        <f>Table1[[#This Row],[Qty]]*Table1[[#This Row],[CostPrice]]</f>
        <v>36000</v>
      </c>
      <c r="J2221">
        <v>29790</v>
      </c>
      <c r="K2221">
        <v>209.99999999999997</v>
      </c>
      <c r="L2221" t="s">
        <v>8</v>
      </c>
      <c r="M2221" t="s">
        <v>27</v>
      </c>
      <c r="N2221">
        <f>MONTH(Table1[[#This Row],[SaleDate]])</f>
        <v>9</v>
      </c>
      <c r="O2221" t="str">
        <f>TEXT(Table1[[#This Row],[SaleDate]],"MMM")</f>
        <v>Sep</v>
      </c>
    </row>
    <row r="2222" spans="1:15">
      <c r="A2222" s="1">
        <v>45179</v>
      </c>
      <c r="B2222" t="s">
        <v>23</v>
      </c>
      <c r="C2222" t="s">
        <v>19</v>
      </c>
      <c r="D2222">
        <v>2</v>
      </c>
      <c r="E2222" t="s">
        <v>9</v>
      </c>
      <c r="F2222">
        <v>60000</v>
      </c>
      <c r="G2222">
        <v>31000</v>
      </c>
      <c r="H2222">
        <f>Table1[[#This Row],[Qty]]*Table1[[#This Row],[SellingPrice]]</f>
        <v>120000</v>
      </c>
      <c r="I2222">
        <f>Table1[[#This Row],[Qty]]*Table1[[#This Row],[CostPrice]]</f>
        <v>62000</v>
      </c>
      <c r="J2222">
        <v>57594</v>
      </c>
      <c r="K2222">
        <v>405.99999999999994</v>
      </c>
      <c r="L2222" t="s">
        <v>8</v>
      </c>
      <c r="M2222" t="s">
        <v>29</v>
      </c>
      <c r="N2222">
        <f>MONTH(Table1[[#This Row],[SaleDate]])</f>
        <v>9</v>
      </c>
      <c r="O2222" t="str">
        <f>TEXT(Table1[[#This Row],[SaleDate]],"MMM")</f>
        <v>Sep</v>
      </c>
    </row>
    <row r="2223" spans="1:15">
      <c r="A2223" s="1">
        <v>45179</v>
      </c>
      <c r="B2223" t="s">
        <v>23</v>
      </c>
      <c r="C2223" t="s">
        <v>19</v>
      </c>
      <c r="D2223">
        <v>2</v>
      </c>
      <c r="E2223" t="s">
        <v>10</v>
      </c>
      <c r="F2223">
        <v>89000</v>
      </c>
      <c r="G2223">
        <v>65000</v>
      </c>
      <c r="H2223">
        <f>Table1[[#This Row],[Qty]]*Table1[[#This Row],[SellingPrice]]</f>
        <v>178000</v>
      </c>
      <c r="I2223">
        <f>Table1[[#This Row],[Qty]]*Table1[[#This Row],[CostPrice]]</f>
        <v>130000</v>
      </c>
      <c r="J2223">
        <v>47664</v>
      </c>
      <c r="K2223">
        <v>335.99999999999994</v>
      </c>
      <c r="L2223" t="s">
        <v>8</v>
      </c>
      <c r="M2223" t="s">
        <v>27</v>
      </c>
      <c r="N2223">
        <f>MONTH(Table1[[#This Row],[SaleDate]])</f>
        <v>9</v>
      </c>
      <c r="O2223" t="str">
        <f>TEXT(Table1[[#This Row],[SaleDate]],"MMM")</f>
        <v>Sep</v>
      </c>
    </row>
    <row r="2224" spans="1:15">
      <c r="A2224" s="1">
        <v>45179</v>
      </c>
      <c r="B2224" t="s">
        <v>24</v>
      </c>
      <c r="C2224" t="s">
        <v>22</v>
      </c>
      <c r="D2224">
        <v>2</v>
      </c>
      <c r="E2224" t="s">
        <v>9</v>
      </c>
      <c r="F2224">
        <v>60000</v>
      </c>
      <c r="G2224">
        <v>31000</v>
      </c>
      <c r="H2224">
        <f>Table1[[#This Row],[Qty]]*Table1[[#This Row],[SellingPrice]]</f>
        <v>120000</v>
      </c>
      <c r="I2224">
        <f>Table1[[#This Row],[Qty]]*Table1[[#This Row],[CostPrice]]</f>
        <v>62000</v>
      </c>
      <c r="J2224">
        <v>57594</v>
      </c>
      <c r="K2224">
        <v>405.99999999999994</v>
      </c>
      <c r="L2224" t="s">
        <v>12</v>
      </c>
      <c r="M2224" t="s">
        <v>30</v>
      </c>
      <c r="N2224">
        <f>MONTH(Table1[[#This Row],[SaleDate]])</f>
        <v>9</v>
      </c>
      <c r="O2224" t="str">
        <f>TEXT(Table1[[#This Row],[SaleDate]],"MMM")</f>
        <v>Sep</v>
      </c>
    </row>
    <row r="2225" spans="1:15">
      <c r="A2225" s="1">
        <v>45179</v>
      </c>
      <c r="B2225" t="s">
        <v>24</v>
      </c>
      <c r="C2225" t="s">
        <v>22</v>
      </c>
      <c r="D2225">
        <v>2</v>
      </c>
      <c r="E2225" t="s">
        <v>10</v>
      </c>
      <c r="F2225">
        <v>89000</v>
      </c>
      <c r="G2225">
        <v>65000</v>
      </c>
      <c r="H2225">
        <f>Table1[[#This Row],[Qty]]*Table1[[#This Row],[SellingPrice]]</f>
        <v>178000</v>
      </c>
      <c r="I2225">
        <f>Table1[[#This Row],[Qty]]*Table1[[#This Row],[CostPrice]]</f>
        <v>130000</v>
      </c>
      <c r="J2225">
        <v>47664</v>
      </c>
      <c r="K2225">
        <v>335.99999999999994</v>
      </c>
      <c r="L2225" t="s">
        <v>12</v>
      </c>
      <c r="M2225" t="s">
        <v>29</v>
      </c>
      <c r="N2225">
        <f>MONTH(Table1[[#This Row],[SaleDate]])</f>
        <v>9</v>
      </c>
      <c r="O2225" t="str">
        <f>TEXT(Table1[[#This Row],[SaleDate]],"MMM")</f>
        <v>Sep</v>
      </c>
    </row>
    <row r="2226" spans="1:15">
      <c r="A2226" s="1">
        <v>45179</v>
      </c>
      <c r="B2226" t="s">
        <v>25</v>
      </c>
      <c r="C2226" t="s">
        <v>21</v>
      </c>
      <c r="D2226">
        <v>2</v>
      </c>
      <c r="E2226" t="s">
        <v>7</v>
      </c>
      <c r="F2226">
        <v>33000</v>
      </c>
      <c r="G2226">
        <v>18000</v>
      </c>
      <c r="H2226">
        <f>Table1[[#This Row],[Qty]]*Table1[[#This Row],[SellingPrice]]</f>
        <v>66000</v>
      </c>
      <c r="I2226">
        <f>Table1[[#This Row],[Qty]]*Table1[[#This Row],[CostPrice]]</f>
        <v>36000</v>
      </c>
      <c r="J2226">
        <v>29790</v>
      </c>
      <c r="K2226">
        <v>209.99999999999997</v>
      </c>
      <c r="L2226" t="s">
        <v>13</v>
      </c>
      <c r="M2226" t="s">
        <v>27</v>
      </c>
      <c r="N2226">
        <f>MONTH(Table1[[#This Row],[SaleDate]])</f>
        <v>9</v>
      </c>
      <c r="O2226" t="str">
        <f>TEXT(Table1[[#This Row],[SaleDate]],"MMM")</f>
        <v>Sep</v>
      </c>
    </row>
    <row r="2227" spans="1:15">
      <c r="A2227" s="1">
        <v>45179</v>
      </c>
      <c r="B2227" t="s">
        <v>25</v>
      </c>
      <c r="C2227" t="s">
        <v>21</v>
      </c>
      <c r="D2227">
        <v>2</v>
      </c>
      <c r="E2227" t="s">
        <v>9</v>
      </c>
      <c r="F2227">
        <v>60000</v>
      </c>
      <c r="G2227">
        <v>31000</v>
      </c>
      <c r="H2227">
        <f>Table1[[#This Row],[Qty]]*Table1[[#This Row],[SellingPrice]]</f>
        <v>120000</v>
      </c>
      <c r="I2227">
        <f>Table1[[#This Row],[Qty]]*Table1[[#This Row],[CostPrice]]</f>
        <v>62000</v>
      </c>
      <c r="J2227">
        <v>57594</v>
      </c>
      <c r="K2227">
        <v>405.99999999999994</v>
      </c>
      <c r="L2227" t="s">
        <v>13</v>
      </c>
      <c r="M2227" t="s">
        <v>29</v>
      </c>
      <c r="N2227">
        <f>MONTH(Table1[[#This Row],[SaleDate]])</f>
        <v>9</v>
      </c>
      <c r="O2227" t="str">
        <f>TEXT(Table1[[#This Row],[SaleDate]],"MMM")</f>
        <v>Sep</v>
      </c>
    </row>
    <row r="2228" spans="1:15">
      <c r="A2228" s="1">
        <v>45179</v>
      </c>
      <c r="B2228" t="s">
        <v>25</v>
      </c>
      <c r="C2228" t="s">
        <v>21</v>
      </c>
      <c r="D2228">
        <v>2</v>
      </c>
      <c r="E2228" t="s">
        <v>10</v>
      </c>
      <c r="F2228">
        <v>89000</v>
      </c>
      <c r="G2228">
        <v>65000</v>
      </c>
      <c r="H2228">
        <f>Table1[[#This Row],[Qty]]*Table1[[#This Row],[SellingPrice]]</f>
        <v>178000</v>
      </c>
      <c r="I2228">
        <f>Table1[[#This Row],[Qty]]*Table1[[#This Row],[CostPrice]]</f>
        <v>130000</v>
      </c>
      <c r="J2228">
        <v>47664</v>
      </c>
      <c r="K2228">
        <v>335.99999999999994</v>
      </c>
      <c r="L2228" t="s">
        <v>13</v>
      </c>
      <c r="M2228" t="s">
        <v>30</v>
      </c>
      <c r="N2228">
        <f>MONTH(Table1[[#This Row],[SaleDate]])</f>
        <v>9</v>
      </c>
      <c r="O2228" t="str">
        <f>TEXT(Table1[[#This Row],[SaleDate]],"MMM")</f>
        <v>Sep</v>
      </c>
    </row>
    <row r="2229" spans="1:15">
      <c r="A2229" s="1">
        <v>45180</v>
      </c>
      <c r="B2229" t="s">
        <v>23</v>
      </c>
      <c r="C2229" t="s">
        <v>19</v>
      </c>
      <c r="D2229">
        <v>2</v>
      </c>
      <c r="E2229" t="s">
        <v>7</v>
      </c>
      <c r="F2229">
        <v>33000</v>
      </c>
      <c r="G2229">
        <v>18000</v>
      </c>
      <c r="H2229">
        <f>Table1[[#This Row],[Qty]]*Table1[[#This Row],[SellingPrice]]</f>
        <v>66000</v>
      </c>
      <c r="I2229">
        <f>Table1[[#This Row],[Qty]]*Table1[[#This Row],[CostPrice]]</f>
        <v>36000</v>
      </c>
      <c r="J2229">
        <v>29790</v>
      </c>
      <c r="K2229">
        <v>209.99999999999997</v>
      </c>
      <c r="L2229" t="s">
        <v>8</v>
      </c>
      <c r="M2229" t="s">
        <v>30</v>
      </c>
      <c r="N2229">
        <f>MONTH(Table1[[#This Row],[SaleDate]])</f>
        <v>9</v>
      </c>
      <c r="O2229" t="str">
        <f>TEXT(Table1[[#This Row],[SaleDate]],"MMM")</f>
        <v>Sep</v>
      </c>
    </row>
    <row r="2230" spans="1:15">
      <c r="A2230" s="1">
        <v>45180</v>
      </c>
      <c r="B2230" t="s">
        <v>23</v>
      </c>
      <c r="C2230" t="s">
        <v>19</v>
      </c>
      <c r="D2230">
        <v>2</v>
      </c>
      <c r="E2230" t="s">
        <v>9</v>
      </c>
      <c r="F2230">
        <v>60000</v>
      </c>
      <c r="G2230">
        <v>31000</v>
      </c>
      <c r="H2230">
        <f>Table1[[#This Row],[Qty]]*Table1[[#This Row],[SellingPrice]]</f>
        <v>120000</v>
      </c>
      <c r="I2230">
        <f>Table1[[#This Row],[Qty]]*Table1[[#This Row],[CostPrice]]</f>
        <v>62000</v>
      </c>
      <c r="J2230">
        <v>57594</v>
      </c>
      <c r="K2230">
        <v>405.99999999999994</v>
      </c>
      <c r="L2230" t="s">
        <v>8</v>
      </c>
      <c r="M2230" t="s">
        <v>27</v>
      </c>
      <c r="N2230">
        <f>MONTH(Table1[[#This Row],[SaleDate]])</f>
        <v>9</v>
      </c>
      <c r="O2230" t="str">
        <f>TEXT(Table1[[#This Row],[SaleDate]],"MMM")</f>
        <v>Sep</v>
      </c>
    </row>
    <row r="2231" spans="1:15">
      <c r="A2231" s="1">
        <v>45180</v>
      </c>
      <c r="B2231" t="s">
        <v>23</v>
      </c>
      <c r="C2231" t="s">
        <v>19</v>
      </c>
      <c r="D2231">
        <v>2</v>
      </c>
      <c r="E2231" t="s">
        <v>10</v>
      </c>
      <c r="F2231">
        <v>89000</v>
      </c>
      <c r="G2231">
        <v>65000</v>
      </c>
      <c r="H2231">
        <f>Table1[[#This Row],[Qty]]*Table1[[#This Row],[SellingPrice]]</f>
        <v>178000</v>
      </c>
      <c r="I2231">
        <f>Table1[[#This Row],[Qty]]*Table1[[#This Row],[CostPrice]]</f>
        <v>130000</v>
      </c>
      <c r="J2231">
        <v>47664</v>
      </c>
      <c r="K2231">
        <v>335.99999999999994</v>
      </c>
      <c r="L2231" t="s">
        <v>8</v>
      </c>
      <c r="M2231" t="s">
        <v>30</v>
      </c>
      <c r="N2231">
        <f>MONTH(Table1[[#This Row],[SaleDate]])</f>
        <v>9</v>
      </c>
      <c r="O2231" t="str">
        <f>TEXT(Table1[[#This Row],[SaleDate]],"MMM")</f>
        <v>Sep</v>
      </c>
    </row>
    <row r="2232" spans="1:15">
      <c r="A2232" s="1">
        <v>45180</v>
      </c>
      <c r="B2232" t="s">
        <v>24</v>
      </c>
      <c r="C2232" t="s">
        <v>22</v>
      </c>
      <c r="D2232">
        <v>2</v>
      </c>
      <c r="E2232" t="s">
        <v>7</v>
      </c>
      <c r="F2232">
        <v>33000</v>
      </c>
      <c r="G2232">
        <v>18000</v>
      </c>
      <c r="H2232">
        <f>Table1[[#This Row],[Qty]]*Table1[[#This Row],[SellingPrice]]</f>
        <v>66000</v>
      </c>
      <c r="I2232">
        <f>Table1[[#This Row],[Qty]]*Table1[[#This Row],[CostPrice]]</f>
        <v>36000</v>
      </c>
      <c r="J2232">
        <v>29790</v>
      </c>
      <c r="K2232">
        <v>209.99999999999997</v>
      </c>
      <c r="L2232" t="s">
        <v>12</v>
      </c>
      <c r="M2232" t="s">
        <v>30</v>
      </c>
      <c r="N2232">
        <f>MONTH(Table1[[#This Row],[SaleDate]])</f>
        <v>9</v>
      </c>
      <c r="O2232" t="str">
        <f>TEXT(Table1[[#This Row],[SaleDate]],"MMM")</f>
        <v>Sep</v>
      </c>
    </row>
    <row r="2233" spans="1:15">
      <c r="A2233" s="1">
        <v>45180</v>
      </c>
      <c r="B2233" t="s">
        <v>24</v>
      </c>
      <c r="C2233" t="s">
        <v>22</v>
      </c>
      <c r="D2233">
        <v>2</v>
      </c>
      <c r="E2233" t="s">
        <v>9</v>
      </c>
      <c r="F2233">
        <v>60000</v>
      </c>
      <c r="G2233">
        <v>31000</v>
      </c>
      <c r="H2233">
        <f>Table1[[#This Row],[Qty]]*Table1[[#This Row],[SellingPrice]]</f>
        <v>120000</v>
      </c>
      <c r="I2233">
        <f>Table1[[#This Row],[Qty]]*Table1[[#This Row],[CostPrice]]</f>
        <v>62000</v>
      </c>
      <c r="J2233">
        <v>57594</v>
      </c>
      <c r="K2233">
        <v>405.99999999999994</v>
      </c>
      <c r="L2233" t="s">
        <v>12</v>
      </c>
      <c r="M2233" t="s">
        <v>28</v>
      </c>
      <c r="N2233">
        <f>MONTH(Table1[[#This Row],[SaleDate]])</f>
        <v>9</v>
      </c>
      <c r="O2233" t="str">
        <f>TEXT(Table1[[#This Row],[SaleDate]],"MMM")</f>
        <v>Sep</v>
      </c>
    </row>
    <row r="2234" spans="1:15">
      <c r="A2234" s="1">
        <v>45180</v>
      </c>
      <c r="B2234" t="s">
        <v>24</v>
      </c>
      <c r="C2234" t="s">
        <v>22</v>
      </c>
      <c r="D2234">
        <v>2</v>
      </c>
      <c r="E2234" t="s">
        <v>10</v>
      </c>
      <c r="F2234">
        <v>89000</v>
      </c>
      <c r="G2234">
        <v>65000</v>
      </c>
      <c r="H2234">
        <f>Table1[[#This Row],[Qty]]*Table1[[#This Row],[SellingPrice]]</f>
        <v>178000</v>
      </c>
      <c r="I2234">
        <f>Table1[[#This Row],[Qty]]*Table1[[#This Row],[CostPrice]]</f>
        <v>130000</v>
      </c>
      <c r="J2234">
        <v>47664</v>
      </c>
      <c r="K2234">
        <v>335.99999999999994</v>
      </c>
      <c r="L2234" t="s">
        <v>12</v>
      </c>
      <c r="M2234" t="s">
        <v>30</v>
      </c>
      <c r="N2234">
        <f>MONTH(Table1[[#This Row],[SaleDate]])</f>
        <v>9</v>
      </c>
      <c r="O2234" t="str">
        <f>TEXT(Table1[[#This Row],[SaleDate]],"MMM")</f>
        <v>Sep</v>
      </c>
    </row>
    <row r="2235" spans="1:15">
      <c r="A2235" s="1">
        <v>45180</v>
      </c>
      <c r="B2235" t="s">
        <v>25</v>
      </c>
      <c r="C2235" t="s">
        <v>21</v>
      </c>
      <c r="D2235">
        <v>2</v>
      </c>
      <c r="E2235" t="s">
        <v>7</v>
      </c>
      <c r="F2235">
        <v>33000</v>
      </c>
      <c r="G2235">
        <v>18000</v>
      </c>
      <c r="H2235">
        <f>Table1[[#This Row],[Qty]]*Table1[[#This Row],[SellingPrice]]</f>
        <v>66000</v>
      </c>
      <c r="I2235">
        <f>Table1[[#This Row],[Qty]]*Table1[[#This Row],[CostPrice]]</f>
        <v>36000</v>
      </c>
      <c r="J2235">
        <v>29790</v>
      </c>
      <c r="K2235">
        <v>209.99999999999997</v>
      </c>
      <c r="L2235" t="s">
        <v>13</v>
      </c>
      <c r="M2235" t="s">
        <v>30</v>
      </c>
      <c r="N2235">
        <f>MONTH(Table1[[#This Row],[SaleDate]])</f>
        <v>9</v>
      </c>
      <c r="O2235" t="str">
        <f>TEXT(Table1[[#This Row],[SaleDate]],"MMM")</f>
        <v>Sep</v>
      </c>
    </row>
    <row r="2236" spans="1:15">
      <c r="A2236" s="1">
        <v>45180</v>
      </c>
      <c r="B2236" t="s">
        <v>25</v>
      </c>
      <c r="C2236" t="s">
        <v>21</v>
      </c>
      <c r="D2236">
        <v>2</v>
      </c>
      <c r="E2236" t="s">
        <v>9</v>
      </c>
      <c r="F2236">
        <v>60000</v>
      </c>
      <c r="G2236">
        <v>31000</v>
      </c>
      <c r="H2236">
        <f>Table1[[#This Row],[Qty]]*Table1[[#This Row],[SellingPrice]]</f>
        <v>120000</v>
      </c>
      <c r="I2236">
        <f>Table1[[#This Row],[Qty]]*Table1[[#This Row],[CostPrice]]</f>
        <v>62000</v>
      </c>
      <c r="J2236">
        <v>57594</v>
      </c>
      <c r="K2236">
        <v>405.99999999999994</v>
      </c>
      <c r="L2236" t="s">
        <v>13</v>
      </c>
      <c r="M2236" t="s">
        <v>27</v>
      </c>
      <c r="N2236">
        <f>MONTH(Table1[[#This Row],[SaleDate]])</f>
        <v>9</v>
      </c>
      <c r="O2236" t="str">
        <f>TEXT(Table1[[#This Row],[SaleDate]],"MMM")</f>
        <v>Sep</v>
      </c>
    </row>
    <row r="2237" spans="1:15">
      <c r="A2237" s="1">
        <v>45180</v>
      </c>
      <c r="B2237" t="s">
        <v>25</v>
      </c>
      <c r="C2237" t="s">
        <v>21</v>
      </c>
      <c r="D2237">
        <v>2</v>
      </c>
      <c r="E2237" t="s">
        <v>10</v>
      </c>
      <c r="F2237">
        <v>89000</v>
      </c>
      <c r="G2237">
        <v>65000</v>
      </c>
      <c r="H2237">
        <f>Table1[[#This Row],[Qty]]*Table1[[#This Row],[SellingPrice]]</f>
        <v>178000</v>
      </c>
      <c r="I2237">
        <f>Table1[[#This Row],[Qty]]*Table1[[#This Row],[CostPrice]]</f>
        <v>130000</v>
      </c>
      <c r="J2237">
        <v>47664</v>
      </c>
      <c r="K2237">
        <v>335.99999999999994</v>
      </c>
      <c r="L2237" t="s">
        <v>13</v>
      </c>
      <c r="M2237" t="s">
        <v>30</v>
      </c>
      <c r="N2237">
        <f>MONTH(Table1[[#This Row],[SaleDate]])</f>
        <v>9</v>
      </c>
      <c r="O2237" t="str">
        <f>TEXT(Table1[[#This Row],[SaleDate]],"MMM")</f>
        <v>Sep</v>
      </c>
    </row>
    <row r="2238" spans="1:15">
      <c r="A2238" s="1">
        <v>45181</v>
      </c>
      <c r="B2238" t="s">
        <v>23</v>
      </c>
      <c r="C2238" t="s">
        <v>19</v>
      </c>
      <c r="D2238">
        <v>1</v>
      </c>
      <c r="E2238" t="s">
        <v>7</v>
      </c>
      <c r="F2238">
        <v>33000</v>
      </c>
      <c r="G2238">
        <v>18000</v>
      </c>
      <c r="H2238">
        <f>Table1[[#This Row],[Qty]]*Table1[[#This Row],[SellingPrice]]</f>
        <v>33000</v>
      </c>
      <c r="I2238">
        <f>Table1[[#This Row],[Qty]]*Table1[[#This Row],[CostPrice]]</f>
        <v>18000</v>
      </c>
      <c r="J2238">
        <v>14895</v>
      </c>
      <c r="K2238">
        <v>104.99999999999999</v>
      </c>
      <c r="L2238" t="s">
        <v>8</v>
      </c>
      <c r="M2238" t="s">
        <v>30</v>
      </c>
      <c r="N2238">
        <f>MONTH(Table1[[#This Row],[SaleDate]])</f>
        <v>9</v>
      </c>
      <c r="O2238" t="str">
        <f>TEXT(Table1[[#This Row],[SaleDate]],"MMM")</f>
        <v>Sep</v>
      </c>
    </row>
    <row r="2239" spans="1:15">
      <c r="A2239" s="1">
        <v>45181</v>
      </c>
      <c r="B2239" t="s">
        <v>23</v>
      </c>
      <c r="C2239" t="s">
        <v>19</v>
      </c>
      <c r="D2239">
        <v>1</v>
      </c>
      <c r="E2239" t="s">
        <v>9</v>
      </c>
      <c r="F2239">
        <v>60000</v>
      </c>
      <c r="G2239">
        <v>31000</v>
      </c>
      <c r="H2239">
        <f>Table1[[#This Row],[Qty]]*Table1[[#This Row],[SellingPrice]]</f>
        <v>60000</v>
      </c>
      <c r="I2239">
        <f>Table1[[#This Row],[Qty]]*Table1[[#This Row],[CostPrice]]</f>
        <v>31000</v>
      </c>
      <c r="J2239">
        <v>28797</v>
      </c>
      <c r="K2239">
        <v>202.99999999999997</v>
      </c>
      <c r="L2239" t="s">
        <v>8</v>
      </c>
      <c r="M2239" t="s">
        <v>28</v>
      </c>
      <c r="N2239">
        <f>MONTH(Table1[[#This Row],[SaleDate]])</f>
        <v>9</v>
      </c>
      <c r="O2239" t="str">
        <f>TEXT(Table1[[#This Row],[SaleDate]],"MMM")</f>
        <v>Sep</v>
      </c>
    </row>
    <row r="2240" spans="1:15">
      <c r="A2240" s="1">
        <v>45181</v>
      </c>
      <c r="B2240" t="s">
        <v>23</v>
      </c>
      <c r="C2240" t="s">
        <v>19</v>
      </c>
      <c r="D2240">
        <v>1</v>
      </c>
      <c r="E2240" t="s">
        <v>10</v>
      </c>
      <c r="F2240">
        <v>89000</v>
      </c>
      <c r="G2240">
        <v>65000</v>
      </c>
      <c r="H2240">
        <f>Table1[[#This Row],[Qty]]*Table1[[#This Row],[SellingPrice]]</f>
        <v>89000</v>
      </c>
      <c r="I2240">
        <f>Table1[[#This Row],[Qty]]*Table1[[#This Row],[CostPrice]]</f>
        <v>65000</v>
      </c>
      <c r="J2240">
        <v>23832</v>
      </c>
      <c r="K2240">
        <v>167.99999999999997</v>
      </c>
      <c r="L2240" t="s">
        <v>8</v>
      </c>
      <c r="M2240" t="s">
        <v>30</v>
      </c>
      <c r="N2240">
        <f>MONTH(Table1[[#This Row],[SaleDate]])</f>
        <v>9</v>
      </c>
      <c r="O2240" t="str">
        <f>TEXT(Table1[[#This Row],[SaleDate]],"MMM")</f>
        <v>Sep</v>
      </c>
    </row>
    <row r="2241" spans="1:15">
      <c r="A2241" s="1">
        <v>45181</v>
      </c>
      <c r="B2241" t="s">
        <v>24</v>
      </c>
      <c r="C2241" t="s">
        <v>22</v>
      </c>
      <c r="D2241">
        <v>1</v>
      </c>
      <c r="E2241" t="s">
        <v>7</v>
      </c>
      <c r="F2241">
        <v>33000</v>
      </c>
      <c r="G2241">
        <v>18000</v>
      </c>
      <c r="H2241">
        <f>Table1[[#This Row],[Qty]]*Table1[[#This Row],[SellingPrice]]</f>
        <v>33000</v>
      </c>
      <c r="I2241">
        <f>Table1[[#This Row],[Qty]]*Table1[[#This Row],[CostPrice]]</f>
        <v>18000</v>
      </c>
      <c r="J2241">
        <v>14895</v>
      </c>
      <c r="K2241">
        <v>104.99999999999999</v>
      </c>
      <c r="L2241" t="s">
        <v>12</v>
      </c>
      <c r="M2241" t="s">
        <v>29</v>
      </c>
      <c r="N2241">
        <f>MONTH(Table1[[#This Row],[SaleDate]])</f>
        <v>9</v>
      </c>
      <c r="O2241" t="str">
        <f>TEXT(Table1[[#This Row],[SaleDate]],"MMM")</f>
        <v>Sep</v>
      </c>
    </row>
    <row r="2242" spans="1:15">
      <c r="A2242" s="1">
        <v>45181</v>
      </c>
      <c r="B2242" t="s">
        <v>24</v>
      </c>
      <c r="C2242" t="s">
        <v>22</v>
      </c>
      <c r="D2242">
        <v>1</v>
      </c>
      <c r="E2242" t="s">
        <v>9</v>
      </c>
      <c r="F2242">
        <v>60000</v>
      </c>
      <c r="G2242">
        <v>31000</v>
      </c>
      <c r="H2242">
        <f>Table1[[#This Row],[Qty]]*Table1[[#This Row],[SellingPrice]]</f>
        <v>60000</v>
      </c>
      <c r="I2242">
        <f>Table1[[#This Row],[Qty]]*Table1[[#This Row],[CostPrice]]</f>
        <v>31000</v>
      </c>
      <c r="J2242">
        <v>28797</v>
      </c>
      <c r="K2242">
        <v>202.99999999999997</v>
      </c>
      <c r="L2242" t="s">
        <v>12</v>
      </c>
      <c r="M2242" t="s">
        <v>28</v>
      </c>
      <c r="N2242">
        <f>MONTH(Table1[[#This Row],[SaleDate]])</f>
        <v>9</v>
      </c>
      <c r="O2242" t="str">
        <f>TEXT(Table1[[#This Row],[SaleDate]],"MMM")</f>
        <v>Sep</v>
      </c>
    </row>
    <row r="2243" spans="1:15">
      <c r="A2243" s="1">
        <v>45181</v>
      </c>
      <c r="B2243" t="s">
        <v>24</v>
      </c>
      <c r="C2243" t="s">
        <v>22</v>
      </c>
      <c r="D2243">
        <v>1</v>
      </c>
      <c r="E2243" t="s">
        <v>10</v>
      </c>
      <c r="F2243">
        <v>89000</v>
      </c>
      <c r="G2243">
        <v>65000</v>
      </c>
      <c r="H2243">
        <f>Table1[[#This Row],[Qty]]*Table1[[#This Row],[SellingPrice]]</f>
        <v>89000</v>
      </c>
      <c r="I2243">
        <f>Table1[[#This Row],[Qty]]*Table1[[#This Row],[CostPrice]]</f>
        <v>65000</v>
      </c>
      <c r="J2243">
        <v>23832</v>
      </c>
      <c r="K2243">
        <v>167.99999999999997</v>
      </c>
      <c r="L2243" t="s">
        <v>12</v>
      </c>
      <c r="M2243" t="s">
        <v>30</v>
      </c>
      <c r="N2243">
        <f>MONTH(Table1[[#This Row],[SaleDate]])</f>
        <v>9</v>
      </c>
      <c r="O2243" t="str">
        <f>TEXT(Table1[[#This Row],[SaleDate]],"MMM")</f>
        <v>Sep</v>
      </c>
    </row>
    <row r="2244" spans="1:15">
      <c r="A2244" s="1">
        <v>45181</v>
      </c>
      <c r="B2244" t="s">
        <v>25</v>
      </c>
      <c r="C2244" t="s">
        <v>21</v>
      </c>
      <c r="D2244">
        <v>1</v>
      </c>
      <c r="E2244" t="s">
        <v>7</v>
      </c>
      <c r="F2244">
        <v>33000</v>
      </c>
      <c r="G2244">
        <v>18000</v>
      </c>
      <c r="H2244">
        <f>Table1[[#This Row],[Qty]]*Table1[[#This Row],[SellingPrice]]</f>
        <v>33000</v>
      </c>
      <c r="I2244">
        <f>Table1[[#This Row],[Qty]]*Table1[[#This Row],[CostPrice]]</f>
        <v>18000</v>
      </c>
      <c r="J2244">
        <v>14895</v>
      </c>
      <c r="K2244">
        <v>104.99999999999999</v>
      </c>
      <c r="L2244" t="s">
        <v>13</v>
      </c>
      <c r="M2244" t="s">
        <v>30</v>
      </c>
      <c r="N2244">
        <f>MONTH(Table1[[#This Row],[SaleDate]])</f>
        <v>9</v>
      </c>
      <c r="O2244" t="str">
        <f>TEXT(Table1[[#This Row],[SaleDate]],"MMM")</f>
        <v>Sep</v>
      </c>
    </row>
    <row r="2245" spans="1:15">
      <c r="A2245" s="1">
        <v>45181</v>
      </c>
      <c r="B2245" t="s">
        <v>25</v>
      </c>
      <c r="C2245" t="s">
        <v>21</v>
      </c>
      <c r="D2245">
        <v>1</v>
      </c>
      <c r="E2245" t="s">
        <v>9</v>
      </c>
      <c r="F2245">
        <v>60000</v>
      </c>
      <c r="G2245">
        <v>31000</v>
      </c>
      <c r="H2245">
        <f>Table1[[#This Row],[Qty]]*Table1[[#This Row],[SellingPrice]]</f>
        <v>60000</v>
      </c>
      <c r="I2245">
        <f>Table1[[#This Row],[Qty]]*Table1[[#This Row],[CostPrice]]</f>
        <v>31000</v>
      </c>
      <c r="J2245">
        <v>28797</v>
      </c>
      <c r="K2245">
        <v>202.99999999999997</v>
      </c>
      <c r="L2245" t="s">
        <v>13</v>
      </c>
      <c r="M2245" t="s">
        <v>27</v>
      </c>
      <c r="N2245">
        <f>MONTH(Table1[[#This Row],[SaleDate]])</f>
        <v>9</v>
      </c>
      <c r="O2245" t="str">
        <f>TEXT(Table1[[#This Row],[SaleDate]],"MMM")</f>
        <v>Sep</v>
      </c>
    </row>
    <row r="2246" spans="1:15">
      <c r="A2246" s="1">
        <v>45181</v>
      </c>
      <c r="B2246" t="s">
        <v>25</v>
      </c>
      <c r="C2246" t="s">
        <v>21</v>
      </c>
      <c r="D2246">
        <v>1</v>
      </c>
      <c r="E2246" t="s">
        <v>10</v>
      </c>
      <c r="F2246">
        <v>89000</v>
      </c>
      <c r="G2246">
        <v>65000</v>
      </c>
      <c r="H2246">
        <f>Table1[[#This Row],[Qty]]*Table1[[#This Row],[SellingPrice]]</f>
        <v>89000</v>
      </c>
      <c r="I2246">
        <f>Table1[[#This Row],[Qty]]*Table1[[#This Row],[CostPrice]]</f>
        <v>65000</v>
      </c>
      <c r="J2246">
        <v>23832</v>
      </c>
      <c r="K2246">
        <v>167.99999999999997</v>
      </c>
      <c r="L2246" t="s">
        <v>13</v>
      </c>
      <c r="M2246" t="s">
        <v>29</v>
      </c>
      <c r="N2246">
        <f>MONTH(Table1[[#This Row],[SaleDate]])</f>
        <v>9</v>
      </c>
      <c r="O2246" t="str">
        <f>TEXT(Table1[[#This Row],[SaleDate]],"MMM")</f>
        <v>Sep</v>
      </c>
    </row>
    <row r="2247" spans="1:15">
      <c r="A2247" s="1">
        <v>45182</v>
      </c>
      <c r="B2247" t="s">
        <v>23</v>
      </c>
      <c r="C2247" t="s">
        <v>19</v>
      </c>
      <c r="D2247">
        <v>1</v>
      </c>
      <c r="E2247" t="s">
        <v>7</v>
      </c>
      <c r="F2247">
        <v>33000</v>
      </c>
      <c r="G2247">
        <v>18000</v>
      </c>
      <c r="H2247">
        <f>Table1[[#This Row],[Qty]]*Table1[[#This Row],[SellingPrice]]</f>
        <v>33000</v>
      </c>
      <c r="I2247">
        <f>Table1[[#This Row],[Qty]]*Table1[[#This Row],[CostPrice]]</f>
        <v>18000</v>
      </c>
      <c r="J2247">
        <v>14895</v>
      </c>
      <c r="K2247">
        <v>104.99999999999999</v>
      </c>
      <c r="L2247" t="s">
        <v>8</v>
      </c>
      <c r="M2247" t="s">
        <v>30</v>
      </c>
      <c r="N2247">
        <f>MONTH(Table1[[#This Row],[SaleDate]])</f>
        <v>9</v>
      </c>
      <c r="O2247" t="str">
        <f>TEXT(Table1[[#This Row],[SaleDate]],"MMM")</f>
        <v>Sep</v>
      </c>
    </row>
    <row r="2248" spans="1:15">
      <c r="A2248" s="1">
        <v>45182</v>
      </c>
      <c r="B2248" t="s">
        <v>23</v>
      </c>
      <c r="C2248" t="s">
        <v>19</v>
      </c>
      <c r="D2248">
        <v>1</v>
      </c>
      <c r="E2248" t="s">
        <v>9</v>
      </c>
      <c r="F2248">
        <v>60000</v>
      </c>
      <c r="G2248">
        <v>31000</v>
      </c>
      <c r="H2248">
        <f>Table1[[#This Row],[Qty]]*Table1[[#This Row],[SellingPrice]]</f>
        <v>60000</v>
      </c>
      <c r="I2248">
        <f>Table1[[#This Row],[Qty]]*Table1[[#This Row],[CostPrice]]</f>
        <v>31000</v>
      </c>
      <c r="J2248">
        <v>28797</v>
      </c>
      <c r="K2248">
        <v>202.99999999999997</v>
      </c>
      <c r="L2248" t="s">
        <v>8</v>
      </c>
      <c r="M2248" t="s">
        <v>29</v>
      </c>
      <c r="N2248">
        <f>MONTH(Table1[[#This Row],[SaleDate]])</f>
        <v>9</v>
      </c>
      <c r="O2248" t="str">
        <f>TEXT(Table1[[#This Row],[SaleDate]],"MMM")</f>
        <v>Sep</v>
      </c>
    </row>
    <row r="2249" spans="1:15">
      <c r="A2249" s="1">
        <v>45182</v>
      </c>
      <c r="B2249" t="s">
        <v>23</v>
      </c>
      <c r="C2249" t="s">
        <v>19</v>
      </c>
      <c r="D2249">
        <v>1</v>
      </c>
      <c r="E2249" t="s">
        <v>10</v>
      </c>
      <c r="F2249">
        <v>89000</v>
      </c>
      <c r="G2249">
        <v>65000</v>
      </c>
      <c r="H2249">
        <f>Table1[[#This Row],[Qty]]*Table1[[#This Row],[SellingPrice]]</f>
        <v>89000</v>
      </c>
      <c r="I2249">
        <f>Table1[[#This Row],[Qty]]*Table1[[#This Row],[CostPrice]]</f>
        <v>65000</v>
      </c>
      <c r="J2249">
        <v>23832</v>
      </c>
      <c r="K2249">
        <v>167.99999999999997</v>
      </c>
      <c r="L2249" t="s">
        <v>8</v>
      </c>
      <c r="M2249" t="s">
        <v>28</v>
      </c>
      <c r="N2249">
        <f>MONTH(Table1[[#This Row],[SaleDate]])</f>
        <v>9</v>
      </c>
      <c r="O2249" t="str">
        <f>TEXT(Table1[[#This Row],[SaleDate]],"MMM")</f>
        <v>Sep</v>
      </c>
    </row>
    <row r="2250" spans="1:15">
      <c r="A2250" s="1">
        <v>45182</v>
      </c>
      <c r="B2250" t="s">
        <v>24</v>
      </c>
      <c r="C2250" t="s">
        <v>22</v>
      </c>
      <c r="D2250">
        <v>1</v>
      </c>
      <c r="E2250" t="s">
        <v>7</v>
      </c>
      <c r="F2250">
        <v>33000</v>
      </c>
      <c r="G2250">
        <v>18000</v>
      </c>
      <c r="H2250">
        <f>Table1[[#This Row],[Qty]]*Table1[[#This Row],[SellingPrice]]</f>
        <v>33000</v>
      </c>
      <c r="I2250">
        <f>Table1[[#This Row],[Qty]]*Table1[[#This Row],[CostPrice]]</f>
        <v>18000</v>
      </c>
      <c r="J2250">
        <v>14895</v>
      </c>
      <c r="K2250">
        <v>104.99999999999999</v>
      </c>
      <c r="L2250" t="s">
        <v>12</v>
      </c>
      <c r="M2250" t="s">
        <v>30</v>
      </c>
      <c r="N2250">
        <f>MONTH(Table1[[#This Row],[SaleDate]])</f>
        <v>9</v>
      </c>
      <c r="O2250" t="str">
        <f>TEXT(Table1[[#This Row],[SaleDate]],"MMM")</f>
        <v>Sep</v>
      </c>
    </row>
    <row r="2251" spans="1:15">
      <c r="A2251" s="1">
        <v>45182</v>
      </c>
      <c r="B2251" t="s">
        <v>24</v>
      </c>
      <c r="C2251" t="s">
        <v>22</v>
      </c>
      <c r="D2251">
        <v>1</v>
      </c>
      <c r="E2251" t="s">
        <v>9</v>
      </c>
      <c r="F2251">
        <v>60000</v>
      </c>
      <c r="G2251">
        <v>31000</v>
      </c>
      <c r="H2251">
        <f>Table1[[#This Row],[Qty]]*Table1[[#This Row],[SellingPrice]]</f>
        <v>60000</v>
      </c>
      <c r="I2251">
        <f>Table1[[#This Row],[Qty]]*Table1[[#This Row],[CostPrice]]</f>
        <v>31000</v>
      </c>
      <c r="J2251">
        <v>28797</v>
      </c>
      <c r="K2251">
        <v>202.99999999999997</v>
      </c>
      <c r="L2251" t="s">
        <v>12</v>
      </c>
      <c r="M2251" t="s">
        <v>28</v>
      </c>
      <c r="N2251">
        <f>MONTH(Table1[[#This Row],[SaleDate]])</f>
        <v>9</v>
      </c>
      <c r="O2251" t="str">
        <f>TEXT(Table1[[#This Row],[SaleDate]],"MMM")</f>
        <v>Sep</v>
      </c>
    </row>
    <row r="2252" spans="1:15">
      <c r="A2252" s="1">
        <v>45182</v>
      </c>
      <c r="B2252" t="s">
        <v>24</v>
      </c>
      <c r="C2252" t="s">
        <v>22</v>
      </c>
      <c r="D2252">
        <v>1</v>
      </c>
      <c r="E2252" t="s">
        <v>10</v>
      </c>
      <c r="F2252">
        <v>89000</v>
      </c>
      <c r="G2252">
        <v>65000</v>
      </c>
      <c r="H2252">
        <f>Table1[[#This Row],[Qty]]*Table1[[#This Row],[SellingPrice]]</f>
        <v>89000</v>
      </c>
      <c r="I2252">
        <f>Table1[[#This Row],[Qty]]*Table1[[#This Row],[CostPrice]]</f>
        <v>65000</v>
      </c>
      <c r="J2252">
        <v>23832</v>
      </c>
      <c r="K2252">
        <v>167.99999999999997</v>
      </c>
      <c r="L2252" t="s">
        <v>12</v>
      </c>
      <c r="M2252" t="s">
        <v>30</v>
      </c>
      <c r="N2252">
        <f>MONTH(Table1[[#This Row],[SaleDate]])</f>
        <v>9</v>
      </c>
      <c r="O2252" t="str">
        <f>TEXT(Table1[[#This Row],[SaleDate]],"MMM")</f>
        <v>Sep</v>
      </c>
    </row>
    <row r="2253" spans="1:15">
      <c r="A2253" s="1">
        <v>45182</v>
      </c>
      <c r="B2253" t="s">
        <v>25</v>
      </c>
      <c r="C2253" t="s">
        <v>21</v>
      </c>
      <c r="D2253">
        <v>1</v>
      </c>
      <c r="E2253" t="s">
        <v>7</v>
      </c>
      <c r="F2253">
        <v>33000</v>
      </c>
      <c r="G2253">
        <v>18000</v>
      </c>
      <c r="H2253">
        <f>Table1[[#This Row],[Qty]]*Table1[[#This Row],[SellingPrice]]</f>
        <v>33000</v>
      </c>
      <c r="I2253">
        <f>Table1[[#This Row],[Qty]]*Table1[[#This Row],[CostPrice]]</f>
        <v>18000</v>
      </c>
      <c r="J2253">
        <v>14895</v>
      </c>
      <c r="K2253">
        <v>104.99999999999999</v>
      </c>
      <c r="L2253" t="s">
        <v>13</v>
      </c>
      <c r="M2253" t="s">
        <v>27</v>
      </c>
      <c r="N2253">
        <f>MONTH(Table1[[#This Row],[SaleDate]])</f>
        <v>9</v>
      </c>
      <c r="O2253" t="str">
        <f>TEXT(Table1[[#This Row],[SaleDate]],"MMM")</f>
        <v>Sep</v>
      </c>
    </row>
    <row r="2254" spans="1:15">
      <c r="A2254" s="1">
        <v>45182</v>
      </c>
      <c r="B2254" t="s">
        <v>25</v>
      </c>
      <c r="C2254" t="s">
        <v>21</v>
      </c>
      <c r="D2254">
        <v>1</v>
      </c>
      <c r="E2254" t="s">
        <v>9</v>
      </c>
      <c r="F2254">
        <v>60000</v>
      </c>
      <c r="G2254">
        <v>31000</v>
      </c>
      <c r="H2254">
        <f>Table1[[#This Row],[Qty]]*Table1[[#This Row],[SellingPrice]]</f>
        <v>60000</v>
      </c>
      <c r="I2254">
        <f>Table1[[#This Row],[Qty]]*Table1[[#This Row],[CostPrice]]</f>
        <v>31000</v>
      </c>
      <c r="J2254">
        <v>28797</v>
      </c>
      <c r="K2254">
        <v>202.99999999999997</v>
      </c>
      <c r="L2254" t="s">
        <v>13</v>
      </c>
      <c r="M2254" t="s">
        <v>29</v>
      </c>
      <c r="N2254">
        <f>MONTH(Table1[[#This Row],[SaleDate]])</f>
        <v>9</v>
      </c>
      <c r="O2254" t="str">
        <f>TEXT(Table1[[#This Row],[SaleDate]],"MMM")</f>
        <v>Sep</v>
      </c>
    </row>
    <row r="2255" spans="1:15">
      <c r="A2255" s="1">
        <v>45182</v>
      </c>
      <c r="B2255" t="s">
        <v>25</v>
      </c>
      <c r="C2255" t="s">
        <v>21</v>
      </c>
      <c r="D2255">
        <v>1</v>
      </c>
      <c r="E2255" t="s">
        <v>10</v>
      </c>
      <c r="F2255">
        <v>89000</v>
      </c>
      <c r="G2255">
        <v>65000</v>
      </c>
      <c r="H2255">
        <f>Table1[[#This Row],[Qty]]*Table1[[#This Row],[SellingPrice]]</f>
        <v>89000</v>
      </c>
      <c r="I2255">
        <f>Table1[[#This Row],[Qty]]*Table1[[#This Row],[CostPrice]]</f>
        <v>65000</v>
      </c>
      <c r="J2255">
        <v>23832</v>
      </c>
      <c r="K2255">
        <v>167.99999999999997</v>
      </c>
      <c r="L2255" t="s">
        <v>13</v>
      </c>
      <c r="M2255" t="s">
        <v>29</v>
      </c>
      <c r="N2255">
        <f>MONTH(Table1[[#This Row],[SaleDate]])</f>
        <v>9</v>
      </c>
      <c r="O2255" t="str">
        <f>TEXT(Table1[[#This Row],[SaleDate]],"MMM")</f>
        <v>Sep</v>
      </c>
    </row>
    <row r="2256" spans="1:15">
      <c r="A2256" s="1">
        <v>45183</v>
      </c>
      <c r="B2256" t="s">
        <v>23</v>
      </c>
      <c r="C2256" t="s">
        <v>19</v>
      </c>
      <c r="D2256">
        <v>1</v>
      </c>
      <c r="E2256" t="s">
        <v>7</v>
      </c>
      <c r="F2256">
        <v>33000</v>
      </c>
      <c r="G2256">
        <v>18000</v>
      </c>
      <c r="H2256">
        <f>Table1[[#This Row],[Qty]]*Table1[[#This Row],[SellingPrice]]</f>
        <v>33000</v>
      </c>
      <c r="I2256">
        <f>Table1[[#This Row],[Qty]]*Table1[[#This Row],[CostPrice]]</f>
        <v>18000</v>
      </c>
      <c r="J2256">
        <v>14895</v>
      </c>
      <c r="K2256">
        <v>104.99999999999999</v>
      </c>
      <c r="L2256" t="s">
        <v>8</v>
      </c>
      <c r="M2256" t="s">
        <v>27</v>
      </c>
      <c r="N2256">
        <f>MONTH(Table1[[#This Row],[SaleDate]])</f>
        <v>9</v>
      </c>
      <c r="O2256" t="str">
        <f>TEXT(Table1[[#This Row],[SaleDate]],"MMM")</f>
        <v>Sep</v>
      </c>
    </row>
    <row r="2257" spans="1:15">
      <c r="A2257" s="1">
        <v>45183</v>
      </c>
      <c r="B2257" t="s">
        <v>23</v>
      </c>
      <c r="C2257" t="s">
        <v>19</v>
      </c>
      <c r="D2257">
        <v>1</v>
      </c>
      <c r="E2257" t="s">
        <v>9</v>
      </c>
      <c r="F2257">
        <v>60000</v>
      </c>
      <c r="G2257">
        <v>31000</v>
      </c>
      <c r="H2257">
        <f>Table1[[#This Row],[Qty]]*Table1[[#This Row],[SellingPrice]]</f>
        <v>60000</v>
      </c>
      <c r="I2257">
        <f>Table1[[#This Row],[Qty]]*Table1[[#This Row],[CostPrice]]</f>
        <v>31000</v>
      </c>
      <c r="J2257">
        <v>28797</v>
      </c>
      <c r="K2257">
        <v>202.99999999999997</v>
      </c>
      <c r="L2257" t="s">
        <v>8</v>
      </c>
      <c r="M2257" t="s">
        <v>30</v>
      </c>
      <c r="N2257">
        <f>MONTH(Table1[[#This Row],[SaleDate]])</f>
        <v>9</v>
      </c>
      <c r="O2257" t="str">
        <f>TEXT(Table1[[#This Row],[SaleDate]],"MMM")</f>
        <v>Sep</v>
      </c>
    </row>
    <row r="2258" spans="1:15">
      <c r="A2258" s="1">
        <v>45183</v>
      </c>
      <c r="B2258" t="s">
        <v>23</v>
      </c>
      <c r="C2258" t="s">
        <v>19</v>
      </c>
      <c r="D2258">
        <v>1</v>
      </c>
      <c r="E2258" t="s">
        <v>10</v>
      </c>
      <c r="F2258">
        <v>89000</v>
      </c>
      <c r="G2258">
        <v>65000</v>
      </c>
      <c r="H2258">
        <f>Table1[[#This Row],[Qty]]*Table1[[#This Row],[SellingPrice]]</f>
        <v>89000</v>
      </c>
      <c r="I2258">
        <f>Table1[[#This Row],[Qty]]*Table1[[#This Row],[CostPrice]]</f>
        <v>65000</v>
      </c>
      <c r="J2258">
        <v>23832</v>
      </c>
      <c r="K2258">
        <v>167.99999999999997</v>
      </c>
      <c r="L2258" t="s">
        <v>8</v>
      </c>
      <c r="M2258" t="s">
        <v>29</v>
      </c>
      <c r="N2258">
        <f>MONTH(Table1[[#This Row],[SaleDate]])</f>
        <v>9</v>
      </c>
      <c r="O2258" t="str">
        <f>TEXT(Table1[[#This Row],[SaleDate]],"MMM")</f>
        <v>Sep</v>
      </c>
    </row>
    <row r="2259" spans="1:15">
      <c r="A2259" s="1">
        <v>45183</v>
      </c>
      <c r="B2259" t="s">
        <v>24</v>
      </c>
      <c r="C2259" t="s">
        <v>22</v>
      </c>
      <c r="D2259">
        <v>1</v>
      </c>
      <c r="E2259" t="s">
        <v>7</v>
      </c>
      <c r="F2259">
        <v>33000</v>
      </c>
      <c r="G2259">
        <v>18000</v>
      </c>
      <c r="H2259">
        <f>Table1[[#This Row],[Qty]]*Table1[[#This Row],[SellingPrice]]</f>
        <v>33000</v>
      </c>
      <c r="I2259">
        <f>Table1[[#This Row],[Qty]]*Table1[[#This Row],[CostPrice]]</f>
        <v>18000</v>
      </c>
      <c r="J2259">
        <v>14895</v>
      </c>
      <c r="K2259">
        <v>104.99999999999999</v>
      </c>
      <c r="L2259" t="s">
        <v>12</v>
      </c>
      <c r="M2259" t="s">
        <v>30</v>
      </c>
      <c r="N2259">
        <f>MONTH(Table1[[#This Row],[SaleDate]])</f>
        <v>9</v>
      </c>
      <c r="O2259" t="str">
        <f>TEXT(Table1[[#This Row],[SaleDate]],"MMM")</f>
        <v>Sep</v>
      </c>
    </row>
    <row r="2260" spans="1:15">
      <c r="A2260" s="1">
        <v>45183</v>
      </c>
      <c r="B2260" t="s">
        <v>24</v>
      </c>
      <c r="C2260" t="s">
        <v>22</v>
      </c>
      <c r="D2260">
        <v>1</v>
      </c>
      <c r="E2260" t="s">
        <v>9</v>
      </c>
      <c r="F2260">
        <v>60000</v>
      </c>
      <c r="G2260">
        <v>31000</v>
      </c>
      <c r="H2260">
        <f>Table1[[#This Row],[Qty]]*Table1[[#This Row],[SellingPrice]]</f>
        <v>60000</v>
      </c>
      <c r="I2260">
        <f>Table1[[#This Row],[Qty]]*Table1[[#This Row],[CostPrice]]</f>
        <v>31000</v>
      </c>
      <c r="J2260">
        <v>28797</v>
      </c>
      <c r="K2260">
        <v>202.99999999999997</v>
      </c>
      <c r="L2260" t="s">
        <v>12</v>
      </c>
      <c r="M2260" t="s">
        <v>30</v>
      </c>
      <c r="N2260">
        <f>MONTH(Table1[[#This Row],[SaleDate]])</f>
        <v>9</v>
      </c>
      <c r="O2260" t="str">
        <f>TEXT(Table1[[#This Row],[SaleDate]],"MMM")</f>
        <v>Sep</v>
      </c>
    </row>
    <row r="2261" spans="1:15">
      <c r="A2261" s="1">
        <v>45183</v>
      </c>
      <c r="B2261" t="s">
        <v>24</v>
      </c>
      <c r="C2261" t="s">
        <v>22</v>
      </c>
      <c r="D2261">
        <v>1</v>
      </c>
      <c r="E2261" t="s">
        <v>10</v>
      </c>
      <c r="F2261">
        <v>89000</v>
      </c>
      <c r="G2261">
        <v>65000</v>
      </c>
      <c r="H2261">
        <f>Table1[[#This Row],[Qty]]*Table1[[#This Row],[SellingPrice]]</f>
        <v>89000</v>
      </c>
      <c r="I2261">
        <f>Table1[[#This Row],[Qty]]*Table1[[#This Row],[CostPrice]]</f>
        <v>65000</v>
      </c>
      <c r="J2261">
        <v>23832</v>
      </c>
      <c r="K2261">
        <v>167.99999999999997</v>
      </c>
      <c r="L2261" t="s">
        <v>12</v>
      </c>
      <c r="M2261" t="s">
        <v>29</v>
      </c>
      <c r="N2261">
        <f>MONTH(Table1[[#This Row],[SaleDate]])</f>
        <v>9</v>
      </c>
      <c r="O2261" t="str">
        <f>TEXT(Table1[[#This Row],[SaleDate]],"MMM")</f>
        <v>Sep</v>
      </c>
    </row>
    <row r="2262" spans="1:15">
      <c r="A2262" s="1">
        <v>45183</v>
      </c>
      <c r="B2262" t="s">
        <v>25</v>
      </c>
      <c r="C2262" t="s">
        <v>21</v>
      </c>
      <c r="D2262">
        <v>1</v>
      </c>
      <c r="E2262" t="s">
        <v>7</v>
      </c>
      <c r="F2262">
        <v>33000</v>
      </c>
      <c r="G2262">
        <v>18000</v>
      </c>
      <c r="H2262">
        <f>Table1[[#This Row],[Qty]]*Table1[[#This Row],[SellingPrice]]</f>
        <v>33000</v>
      </c>
      <c r="I2262">
        <f>Table1[[#This Row],[Qty]]*Table1[[#This Row],[CostPrice]]</f>
        <v>18000</v>
      </c>
      <c r="J2262">
        <v>14895</v>
      </c>
      <c r="K2262">
        <v>104.99999999999999</v>
      </c>
      <c r="L2262" t="s">
        <v>13</v>
      </c>
      <c r="M2262" t="s">
        <v>30</v>
      </c>
      <c r="N2262">
        <f>MONTH(Table1[[#This Row],[SaleDate]])</f>
        <v>9</v>
      </c>
      <c r="O2262" t="str">
        <f>TEXT(Table1[[#This Row],[SaleDate]],"MMM")</f>
        <v>Sep</v>
      </c>
    </row>
    <row r="2263" spans="1:15">
      <c r="A2263" s="1">
        <v>45183</v>
      </c>
      <c r="B2263" t="s">
        <v>25</v>
      </c>
      <c r="C2263" t="s">
        <v>21</v>
      </c>
      <c r="D2263">
        <v>1</v>
      </c>
      <c r="E2263" t="s">
        <v>9</v>
      </c>
      <c r="F2263">
        <v>60000</v>
      </c>
      <c r="G2263">
        <v>31000</v>
      </c>
      <c r="H2263">
        <f>Table1[[#This Row],[Qty]]*Table1[[#This Row],[SellingPrice]]</f>
        <v>60000</v>
      </c>
      <c r="I2263">
        <f>Table1[[#This Row],[Qty]]*Table1[[#This Row],[CostPrice]]</f>
        <v>31000</v>
      </c>
      <c r="J2263">
        <v>28797</v>
      </c>
      <c r="K2263">
        <v>202.99999999999997</v>
      </c>
      <c r="L2263" t="s">
        <v>13</v>
      </c>
      <c r="M2263" t="s">
        <v>27</v>
      </c>
      <c r="N2263">
        <f>MONTH(Table1[[#This Row],[SaleDate]])</f>
        <v>9</v>
      </c>
      <c r="O2263" t="str">
        <f>TEXT(Table1[[#This Row],[SaleDate]],"MMM")</f>
        <v>Sep</v>
      </c>
    </row>
    <row r="2264" spans="1:15">
      <c r="A2264" s="1">
        <v>45183</v>
      </c>
      <c r="B2264" t="s">
        <v>25</v>
      </c>
      <c r="C2264" t="s">
        <v>21</v>
      </c>
      <c r="D2264">
        <v>1</v>
      </c>
      <c r="E2264" t="s">
        <v>10</v>
      </c>
      <c r="F2264">
        <v>89000</v>
      </c>
      <c r="G2264">
        <v>65000</v>
      </c>
      <c r="H2264">
        <f>Table1[[#This Row],[Qty]]*Table1[[#This Row],[SellingPrice]]</f>
        <v>89000</v>
      </c>
      <c r="I2264">
        <f>Table1[[#This Row],[Qty]]*Table1[[#This Row],[CostPrice]]</f>
        <v>65000</v>
      </c>
      <c r="J2264">
        <v>23832</v>
      </c>
      <c r="K2264">
        <v>167.99999999999997</v>
      </c>
      <c r="L2264" t="s">
        <v>13</v>
      </c>
      <c r="M2264" t="s">
        <v>27</v>
      </c>
      <c r="N2264">
        <f>MONTH(Table1[[#This Row],[SaleDate]])</f>
        <v>9</v>
      </c>
      <c r="O2264" t="str">
        <f>TEXT(Table1[[#This Row],[SaleDate]],"MMM")</f>
        <v>Sep</v>
      </c>
    </row>
    <row r="2265" spans="1:15">
      <c r="A2265" s="1">
        <v>45184</v>
      </c>
      <c r="B2265" t="s">
        <v>23</v>
      </c>
      <c r="C2265" t="s">
        <v>19</v>
      </c>
      <c r="D2265">
        <v>2</v>
      </c>
      <c r="E2265" t="s">
        <v>7</v>
      </c>
      <c r="F2265">
        <v>33000</v>
      </c>
      <c r="G2265">
        <v>18000</v>
      </c>
      <c r="H2265">
        <f>Table1[[#This Row],[Qty]]*Table1[[#This Row],[SellingPrice]]</f>
        <v>66000</v>
      </c>
      <c r="I2265">
        <f>Table1[[#This Row],[Qty]]*Table1[[#This Row],[CostPrice]]</f>
        <v>36000</v>
      </c>
      <c r="J2265">
        <v>29790</v>
      </c>
      <c r="K2265">
        <v>209.99999999999997</v>
      </c>
      <c r="L2265" t="s">
        <v>8</v>
      </c>
      <c r="M2265" t="s">
        <v>28</v>
      </c>
      <c r="N2265">
        <f>MONTH(Table1[[#This Row],[SaleDate]])</f>
        <v>9</v>
      </c>
      <c r="O2265" t="str">
        <f>TEXT(Table1[[#This Row],[SaleDate]],"MMM")</f>
        <v>Sep</v>
      </c>
    </row>
    <row r="2266" spans="1:15">
      <c r="A2266" s="1">
        <v>45184</v>
      </c>
      <c r="B2266" t="s">
        <v>23</v>
      </c>
      <c r="C2266" t="s">
        <v>19</v>
      </c>
      <c r="D2266">
        <v>2</v>
      </c>
      <c r="E2266" t="s">
        <v>9</v>
      </c>
      <c r="F2266">
        <v>60000</v>
      </c>
      <c r="G2266">
        <v>31000</v>
      </c>
      <c r="H2266">
        <f>Table1[[#This Row],[Qty]]*Table1[[#This Row],[SellingPrice]]</f>
        <v>120000</v>
      </c>
      <c r="I2266">
        <f>Table1[[#This Row],[Qty]]*Table1[[#This Row],[CostPrice]]</f>
        <v>62000</v>
      </c>
      <c r="J2266">
        <v>57594</v>
      </c>
      <c r="K2266">
        <v>405.99999999999994</v>
      </c>
      <c r="L2266" t="s">
        <v>8</v>
      </c>
      <c r="M2266" t="s">
        <v>27</v>
      </c>
      <c r="N2266">
        <f>MONTH(Table1[[#This Row],[SaleDate]])</f>
        <v>9</v>
      </c>
      <c r="O2266" t="str">
        <f>TEXT(Table1[[#This Row],[SaleDate]],"MMM")</f>
        <v>Sep</v>
      </c>
    </row>
    <row r="2267" spans="1:15">
      <c r="A2267" s="1">
        <v>45184</v>
      </c>
      <c r="B2267" t="s">
        <v>23</v>
      </c>
      <c r="C2267" t="s">
        <v>19</v>
      </c>
      <c r="D2267">
        <v>2</v>
      </c>
      <c r="E2267" t="s">
        <v>10</v>
      </c>
      <c r="F2267">
        <v>89000</v>
      </c>
      <c r="G2267">
        <v>65000</v>
      </c>
      <c r="H2267">
        <f>Table1[[#This Row],[Qty]]*Table1[[#This Row],[SellingPrice]]</f>
        <v>178000</v>
      </c>
      <c r="I2267">
        <f>Table1[[#This Row],[Qty]]*Table1[[#This Row],[CostPrice]]</f>
        <v>130000</v>
      </c>
      <c r="J2267">
        <v>47664</v>
      </c>
      <c r="K2267">
        <v>335.99999999999994</v>
      </c>
      <c r="L2267" t="s">
        <v>8</v>
      </c>
      <c r="M2267" t="s">
        <v>27</v>
      </c>
      <c r="N2267">
        <f>MONTH(Table1[[#This Row],[SaleDate]])</f>
        <v>9</v>
      </c>
      <c r="O2267" t="str">
        <f>TEXT(Table1[[#This Row],[SaleDate]],"MMM")</f>
        <v>Sep</v>
      </c>
    </row>
    <row r="2268" spans="1:15">
      <c r="A2268" s="1">
        <v>45184</v>
      </c>
      <c r="B2268" t="s">
        <v>24</v>
      </c>
      <c r="C2268" t="s">
        <v>22</v>
      </c>
      <c r="D2268">
        <v>2</v>
      </c>
      <c r="E2268" t="s">
        <v>7</v>
      </c>
      <c r="F2268">
        <v>33000</v>
      </c>
      <c r="G2268">
        <v>18000</v>
      </c>
      <c r="H2268">
        <f>Table1[[#This Row],[Qty]]*Table1[[#This Row],[SellingPrice]]</f>
        <v>66000</v>
      </c>
      <c r="I2268">
        <f>Table1[[#This Row],[Qty]]*Table1[[#This Row],[CostPrice]]</f>
        <v>36000</v>
      </c>
      <c r="J2268">
        <v>29790</v>
      </c>
      <c r="K2268">
        <v>209.99999999999997</v>
      </c>
      <c r="L2268" t="s">
        <v>12</v>
      </c>
      <c r="M2268" t="s">
        <v>29</v>
      </c>
      <c r="N2268">
        <f>MONTH(Table1[[#This Row],[SaleDate]])</f>
        <v>9</v>
      </c>
      <c r="O2268" t="str">
        <f>TEXT(Table1[[#This Row],[SaleDate]],"MMM")</f>
        <v>Sep</v>
      </c>
    </row>
    <row r="2269" spans="1:15">
      <c r="A2269" s="1">
        <v>45184</v>
      </c>
      <c r="B2269" t="s">
        <v>24</v>
      </c>
      <c r="C2269" t="s">
        <v>22</v>
      </c>
      <c r="D2269">
        <v>2</v>
      </c>
      <c r="E2269" t="s">
        <v>9</v>
      </c>
      <c r="F2269">
        <v>60000</v>
      </c>
      <c r="G2269">
        <v>31000</v>
      </c>
      <c r="H2269">
        <f>Table1[[#This Row],[Qty]]*Table1[[#This Row],[SellingPrice]]</f>
        <v>120000</v>
      </c>
      <c r="I2269">
        <f>Table1[[#This Row],[Qty]]*Table1[[#This Row],[CostPrice]]</f>
        <v>62000</v>
      </c>
      <c r="J2269">
        <v>57594</v>
      </c>
      <c r="K2269">
        <v>405.99999999999994</v>
      </c>
      <c r="L2269" t="s">
        <v>12</v>
      </c>
      <c r="M2269" t="s">
        <v>30</v>
      </c>
      <c r="N2269">
        <f>MONTH(Table1[[#This Row],[SaleDate]])</f>
        <v>9</v>
      </c>
      <c r="O2269" t="str">
        <f>TEXT(Table1[[#This Row],[SaleDate]],"MMM")</f>
        <v>Sep</v>
      </c>
    </row>
    <row r="2270" spans="1:15">
      <c r="A2270" s="1">
        <v>45184</v>
      </c>
      <c r="B2270" t="s">
        <v>24</v>
      </c>
      <c r="C2270" t="s">
        <v>22</v>
      </c>
      <c r="D2270">
        <v>2</v>
      </c>
      <c r="E2270" t="s">
        <v>10</v>
      </c>
      <c r="F2270">
        <v>89000</v>
      </c>
      <c r="G2270">
        <v>65000</v>
      </c>
      <c r="H2270">
        <f>Table1[[#This Row],[Qty]]*Table1[[#This Row],[SellingPrice]]</f>
        <v>178000</v>
      </c>
      <c r="I2270">
        <f>Table1[[#This Row],[Qty]]*Table1[[#This Row],[CostPrice]]</f>
        <v>130000</v>
      </c>
      <c r="J2270">
        <v>47664</v>
      </c>
      <c r="K2270">
        <v>335.99999999999994</v>
      </c>
      <c r="L2270" t="s">
        <v>12</v>
      </c>
      <c r="M2270" t="s">
        <v>30</v>
      </c>
      <c r="N2270">
        <f>MONTH(Table1[[#This Row],[SaleDate]])</f>
        <v>9</v>
      </c>
      <c r="O2270" t="str">
        <f>TEXT(Table1[[#This Row],[SaleDate]],"MMM")</f>
        <v>Sep</v>
      </c>
    </row>
    <row r="2271" spans="1:15">
      <c r="A2271" s="1">
        <v>45184</v>
      </c>
      <c r="B2271" t="s">
        <v>25</v>
      </c>
      <c r="C2271" t="s">
        <v>21</v>
      </c>
      <c r="D2271">
        <v>2</v>
      </c>
      <c r="E2271" t="s">
        <v>7</v>
      </c>
      <c r="F2271">
        <v>33000</v>
      </c>
      <c r="G2271">
        <v>18000</v>
      </c>
      <c r="H2271">
        <f>Table1[[#This Row],[Qty]]*Table1[[#This Row],[SellingPrice]]</f>
        <v>66000</v>
      </c>
      <c r="I2271">
        <f>Table1[[#This Row],[Qty]]*Table1[[#This Row],[CostPrice]]</f>
        <v>36000</v>
      </c>
      <c r="J2271">
        <v>29790</v>
      </c>
      <c r="K2271">
        <v>209.99999999999997</v>
      </c>
      <c r="L2271" t="s">
        <v>13</v>
      </c>
      <c r="M2271" t="s">
        <v>29</v>
      </c>
      <c r="N2271">
        <f>MONTH(Table1[[#This Row],[SaleDate]])</f>
        <v>9</v>
      </c>
      <c r="O2271" t="str">
        <f>TEXT(Table1[[#This Row],[SaleDate]],"MMM")</f>
        <v>Sep</v>
      </c>
    </row>
    <row r="2272" spans="1:15">
      <c r="A2272" s="1">
        <v>45184</v>
      </c>
      <c r="B2272" t="s">
        <v>25</v>
      </c>
      <c r="C2272" t="s">
        <v>21</v>
      </c>
      <c r="D2272">
        <v>2</v>
      </c>
      <c r="E2272" t="s">
        <v>9</v>
      </c>
      <c r="F2272">
        <v>60000</v>
      </c>
      <c r="G2272">
        <v>31000</v>
      </c>
      <c r="H2272">
        <f>Table1[[#This Row],[Qty]]*Table1[[#This Row],[SellingPrice]]</f>
        <v>120000</v>
      </c>
      <c r="I2272">
        <f>Table1[[#This Row],[Qty]]*Table1[[#This Row],[CostPrice]]</f>
        <v>62000</v>
      </c>
      <c r="J2272">
        <v>57594</v>
      </c>
      <c r="K2272">
        <v>405.99999999999994</v>
      </c>
      <c r="L2272" t="s">
        <v>13</v>
      </c>
      <c r="M2272" t="s">
        <v>30</v>
      </c>
      <c r="N2272">
        <f>MONTH(Table1[[#This Row],[SaleDate]])</f>
        <v>9</v>
      </c>
      <c r="O2272" t="str">
        <f>TEXT(Table1[[#This Row],[SaleDate]],"MMM")</f>
        <v>Sep</v>
      </c>
    </row>
    <row r="2273" spans="1:15">
      <c r="A2273" s="1">
        <v>45184</v>
      </c>
      <c r="B2273" t="s">
        <v>25</v>
      </c>
      <c r="C2273" t="s">
        <v>21</v>
      </c>
      <c r="D2273">
        <v>2</v>
      </c>
      <c r="E2273" t="s">
        <v>10</v>
      </c>
      <c r="F2273">
        <v>89000</v>
      </c>
      <c r="G2273">
        <v>65000</v>
      </c>
      <c r="H2273">
        <f>Table1[[#This Row],[Qty]]*Table1[[#This Row],[SellingPrice]]</f>
        <v>178000</v>
      </c>
      <c r="I2273">
        <f>Table1[[#This Row],[Qty]]*Table1[[#This Row],[CostPrice]]</f>
        <v>130000</v>
      </c>
      <c r="J2273">
        <v>47664</v>
      </c>
      <c r="K2273">
        <v>335.99999999999994</v>
      </c>
      <c r="L2273" t="s">
        <v>13</v>
      </c>
      <c r="M2273" t="s">
        <v>30</v>
      </c>
      <c r="N2273">
        <f>MONTH(Table1[[#This Row],[SaleDate]])</f>
        <v>9</v>
      </c>
      <c r="O2273" t="str">
        <f>TEXT(Table1[[#This Row],[SaleDate]],"MMM")</f>
        <v>Sep</v>
      </c>
    </row>
    <row r="2274" spans="1:15">
      <c r="A2274" s="1">
        <v>45185</v>
      </c>
      <c r="B2274" t="s">
        <v>23</v>
      </c>
      <c r="C2274" t="s">
        <v>19</v>
      </c>
      <c r="D2274">
        <v>2</v>
      </c>
      <c r="E2274" t="s">
        <v>7</v>
      </c>
      <c r="F2274">
        <v>33000</v>
      </c>
      <c r="G2274">
        <v>18000</v>
      </c>
      <c r="H2274">
        <f>Table1[[#This Row],[Qty]]*Table1[[#This Row],[SellingPrice]]</f>
        <v>66000</v>
      </c>
      <c r="I2274">
        <f>Table1[[#This Row],[Qty]]*Table1[[#This Row],[CostPrice]]</f>
        <v>36000</v>
      </c>
      <c r="J2274">
        <v>29790</v>
      </c>
      <c r="K2274">
        <v>209.99999999999997</v>
      </c>
      <c r="L2274" t="s">
        <v>8</v>
      </c>
      <c r="M2274" t="s">
        <v>27</v>
      </c>
      <c r="N2274">
        <f>MONTH(Table1[[#This Row],[SaleDate]])</f>
        <v>9</v>
      </c>
      <c r="O2274" t="str">
        <f>TEXT(Table1[[#This Row],[SaleDate]],"MMM")</f>
        <v>Sep</v>
      </c>
    </row>
    <row r="2275" spans="1:15">
      <c r="A2275" s="1">
        <v>45185</v>
      </c>
      <c r="B2275" t="s">
        <v>23</v>
      </c>
      <c r="C2275" t="s">
        <v>19</v>
      </c>
      <c r="D2275">
        <v>2</v>
      </c>
      <c r="E2275" t="s">
        <v>9</v>
      </c>
      <c r="F2275">
        <v>60000</v>
      </c>
      <c r="G2275">
        <v>31000</v>
      </c>
      <c r="H2275">
        <f>Table1[[#This Row],[Qty]]*Table1[[#This Row],[SellingPrice]]</f>
        <v>120000</v>
      </c>
      <c r="I2275">
        <f>Table1[[#This Row],[Qty]]*Table1[[#This Row],[CostPrice]]</f>
        <v>62000</v>
      </c>
      <c r="J2275">
        <v>57594</v>
      </c>
      <c r="K2275">
        <v>405.99999999999994</v>
      </c>
      <c r="L2275" t="s">
        <v>8</v>
      </c>
      <c r="M2275" t="s">
        <v>30</v>
      </c>
      <c r="N2275">
        <f>MONTH(Table1[[#This Row],[SaleDate]])</f>
        <v>9</v>
      </c>
      <c r="O2275" t="str">
        <f>TEXT(Table1[[#This Row],[SaleDate]],"MMM")</f>
        <v>Sep</v>
      </c>
    </row>
    <row r="2276" spans="1:15">
      <c r="A2276" s="1">
        <v>45185</v>
      </c>
      <c r="B2276" t="s">
        <v>23</v>
      </c>
      <c r="C2276" t="s">
        <v>19</v>
      </c>
      <c r="D2276">
        <v>2</v>
      </c>
      <c r="E2276" t="s">
        <v>10</v>
      </c>
      <c r="F2276">
        <v>89000</v>
      </c>
      <c r="G2276">
        <v>65000</v>
      </c>
      <c r="H2276">
        <f>Table1[[#This Row],[Qty]]*Table1[[#This Row],[SellingPrice]]</f>
        <v>178000</v>
      </c>
      <c r="I2276">
        <f>Table1[[#This Row],[Qty]]*Table1[[#This Row],[CostPrice]]</f>
        <v>130000</v>
      </c>
      <c r="J2276">
        <v>47664</v>
      </c>
      <c r="K2276">
        <v>335.99999999999994</v>
      </c>
      <c r="L2276" t="s">
        <v>8</v>
      </c>
      <c r="M2276" t="s">
        <v>29</v>
      </c>
      <c r="N2276">
        <f>MONTH(Table1[[#This Row],[SaleDate]])</f>
        <v>9</v>
      </c>
      <c r="O2276" t="str">
        <f>TEXT(Table1[[#This Row],[SaleDate]],"MMM")</f>
        <v>Sep</v>
      </c>
    </row>
    <row r="2277" spans="1:15">
      <c r="A2277" s="1">
        <v>45185</v>
      </c>
      <c r="B2277" t="s">
        <v>26</v>
      </c>
      <c r="C2277" t="s">
        <v>20</v>
      </c>
      <c r="D2277">
        <v>2</v>
      </c>
      <c r="E2277" t="s">
        <v>7</v>
      </c>
      <c r="F2277">
        <v>33000</v>
      </c>
      <c r="G2277">
        <v>18000</v>
      </c>
      <c r="H2277">
        <f>Table1[[#This Row],[Qty]]*Table1[[#This Row],[SellingPrice]]</f>
        <v>66000</v>
      </c>
      <c r="I2277">
        <f>Table1[[#This Row],[Qty]]*Table1[[#This Row],[CostPrice]]</f>
        <v>36000</v>
      </c>
      <c r="J2277">
        <v>29790</v>
      </c>
      <c r="K2277">
        <v>209.99999999999997</v>
      </c>
      <c r="L2277" t="s">
        <v>11</v>
      </c>
      <c r="M2277" t="s">
        <v>29</v>
      </c>
      <c r="N2277">
        <f>MONTH(Table1[[#This Row],[SaleDate]])</f>
        <v>9</v>
      </c>
      <c r="O2277" t="str">
        <f>TEXT(Table1[[#This Row],[SaleDate]],"MMM")</f>
        <v>Sep</v>
      </c>
    </row>
    <row r="2278" spans="1:15">
      <c r="A2278" s="1">
        <v>45185</v>
      </c>
      <c r="B2278" t="s">
        <v>24</v>
      </c>
      <c r="C2278" t="s">
        <v>22</v>
      </c>
      <c r="D2278">
        <v>2</v>
      </c>
      <c r="E2278" t="s">
        <v>7</v>
      </c>
      <c r="F2278">
        <v>33000</v>
      </c>
      <c r="G2278">
        <v>18000</v>
      </c>
      <c r="H2278">
        <f>Table1[[#This Row],[Qty]]*Table1[[#This Row],[SellingPrice]]</f>
        <v>66000</v>
      </c>
      <c r="I2278">
        <f>Table1[[#This Row],[Qty]]*Table1[[#This Row],[CostPrice]]</f>
        <v>36000</v>
      </c>
      <c r="J2278">
        <v>29790</v>
      </c>
      <c r="K2278">
        <v>209.99999999999997</v>
      </c>
      <c r="L2278" t="s">
        <v>12</v>
      </c>
      <c r="M2278" t="s">
        <v>29</v>
      </c>
      <c r="N2278">
        <f>MONTH(Table1[[#This Row],[SaleDate]])</f>
        <v>9</v>
      </c>
      <c r="O2278" t="str">
        <f>TEXT(Table1[[#This Row],[SaleDate]],"MMM")</f>
        <v>Sep</v>
      </c>
    </row>
    <row r="2279" spans="1:15">
      <c r="A2279" s="1">
        <v>45185</v>
      </c>
      <c r="B2279" t="s">
        <v>24</v>
      </c>
      <c r="C2279" t="s">
        <v>22</v>
      </c>
      <c r="D2279">
        <v>2</v>
      </c>
      <c r="E2279" t="s">
        <v>9</v>
      </c>
      <c r="F2279">
        <v>60000</v>
      </c>
      <c r="G2279">
        <v>31000</v>
      </c>
      <c r="H2279">
        <f>Table1[[#This Row],[Qty]]*Table1[[#This Row],[SellingPrice]]</f>
        <v>120000</v>
      </c>
      <c r="I2279">
        <f>Table1[[#This Row],[Qty]]*Table1[[#This Row],[CostPrice]]</f>
        <v>62000</v>
      </c>
      <c r="J2279">
        <v>57594</v>
      </c>
      <c r="K2279">
        <v>405.99999999999994</v>
      </c>
      <c r="L2279" t="s">
        <v>12</v>
      </c>
      <c r="M2279" t="s">
        <v>29</v>
      </c>
      <c r="N2279">
        <f>MONTH(Table1[[#This Row],[SaleDate]])</f>
        <v>9</v>
      </c>
      <c r="O2279" t="str">
        <f>TEXT(Table1[[#This Row],[SaleDate]],"MMM")</f>
        <v>Sep</v>
      </c>
    </row>
    <row r="2280" spans="1:15">
      <c r="A2280" s="1">
        <v>45185</v>
      </c>
      <c r="B2280" t="s">
        <v>24</v>
      </c>
      <c r="C2280" t="s">
        <v>22</v>
      </c>
      <c r="D2280">
        <v>2</v>
      </c>
      <c r="E2280" t="s">
        <v>10</v>
      </c>
      <c r="F2280">
        <v>89000</v>
      </c>
      <c r="G2280">
        <v>65000</v>
      </c>
      <c r="H2280">
        <f>Table1[[#This Row],[Qty]]*Table1[[#This Row],[SellingPrice]]</f>
        <v>178000</v>
      </c>
      <c r="I2280">
        <f>Table1[[#This Row],[Qty]]*Table1[[#This Row],[CostPrice]]</f>
        <v>130000</v>
      </c>
      <c r="J2280">
        <v>47664</v>
      </c>
      <c r="K2280">
        <v>335.99999999999994</v>
      </c>
      <c r="L2280" t="s">
        <v>12</v>
      </c>
      <c r="M2280" t="s">
        <v>27</v>
      </c>
      <c r="N2280">
        <f>MONTH(Table1[[#This Row],[SaleDate]])</f>
        <v>9</v>
      </c>
      <c r="O2280" t="str">
        <f>TEXT(Table1[[#This Row],[SaleDate]],"MMM")</f>
        <v>Sep</v>
      </c>
    </row>
    <row r="2281" spans="1:15">
      <c r="A2281" s="1">
        <v>45185</v>
      </c>
      <c r="B2281" t="s">
        <v>25</v>
      </c>
      <c r="C2281" t="s">
        <v>21</v>
      </c>
      <c r="D2281">
        <v>2</v>
      </c>
      <c r="E2281" t="s">
        <v>7</v>
      </c>
      <c r="F2281">
        <v>33000</v>
      </c>
      <c r="G2281">
        <v>18000</v>
      </c>
      <c r="H2281">
        <f>Table1[[#This Row],[Qty]]*Table1[[#This Row],[SellingPrice]]</f>
        <v>66000</v>
      </c>
      <c r="I2281">
        <f>Table1[[#This Row],[Qty]]*Table1[[#This Row],[CostPrice]]</f>
        <v>36000</v>
      </c>
      <c r="J2281">
        <v>29790</v>
      </c>
      <c r="K2281">
        <v>209.99999999999997</v>
      </c>
      <c r="L2281" t="s">
        <v>13</v>
      </c>
      <c r="M2281" t="s">
        <v>27</v>
      </c>
      <c r="N2281">
        <f>MONTH(Table1[[#This Row],[SaleDate]])</f>
        <v>9</v>
      </c>
      <c r="O2281" t="str">
        <f>TEXT(Table1[[#This Row],[SaleDate]],"MMM")</f>
        <v>Sep</v>
      </c>
    </row>
    <row r="2282" spans="1:15">
      <c r="A2282" s="1">
        <v>45185</v>
      </c>
      <c r="B2282" t="s">
        <v>25</v>
      </c>
      <c r="C2282" t="s">
        <v>21</v>
      </c>
      <c r="D2282">
        <v>2</v>
      </c>
      <c r="E2282" t="s">
        <v>9</v>
      </c>
      <c r="F2282">
        <v>60000</v>
      </c>
      <c r="G2282">
        <v>31000</v>
      </c>
      <c r="H2282">
        <f>Table1[[#This Row],[Qty]]*Table1[[#This Row],[SellingPrice]]</f>
        <v>120000</v>
      </c>
      <c r="I2282">
        <f>Table1[[#This Row],[Qty]]*Table1[[#This Row],[CostPrice]]</f>
        <v>62000</v>
      </c>
      <c r="J2282">
        <v>57594</v>
      </c>
      <c r="K2282">
        <v>405.99999999999994</v>
      </c>
      <c r="L2282" t="s">
        <v>13</v>
      </c>
      <c r="M2282" t="s">
        <v>29</v>
      </c>
      <c r="N2282">
        <f>MONTH(Table1[[#This Row],[SaleDate]])</f>
        <v>9</v>
      </c>
      <c r="O2282" t="str">
        <f>TEXT(Table1[[#This Row],[SaleDate]],"MMM")</f>
        <v>Sep</v>
      </c>
    </row>
    <row r="2283" spans="1:15">
      <c r="A2283" s="1">
        <v>45185</v>
      </c>
      <c r="B2283" t="s">
        <v>25</v>
      </c>
      <c r="C2283" t="s">
        <v>21</v>
      </c>
      <c r="D2283">
        <v>2</v>
      </c>
      <c r="E2283" t="s">
        <v>10</v>
      </c>
      <c r="F2283">
        <v>89000</v>
      </c>
      <c r="G2283">
        <v>65000</v>
      </c>
      <c r="H2283">
        <f>Table1[[#This Row],[Qty]]*Table1[[#This Row],[SellingPrice]]</f>
        <v>178000</v>
      </c>
      <c r="I2283">
        <f>Table1[[#This Row],[Qty]]*Table1[[#This Row],[CostPrice]]</f>
        <v>130000</v>
      </c>
      <c r="J2283">
        <v>47664</v>
      </c>
      <c r="K2283">
        <v>335.99999999999994</v>
      </c>
      <c r="L2283" t="s">
        <v>13</v>
      </c>
      <c r="M2283" t="s">
        <v>30</v>
      </c>
      <c r="N2283">
        <f>MONTH(Table1[[#This Row],[SaleDate]])</f>
        <v>9</v>
      </c>
      <c r="O2283" t="str">
        <f>TEXT(Table1[[#This Row],[SaleDate]],"MMM")</f>
        <v>Sep</v>
      </c>
    </row>
    <row r="2284" spans="1:15">
      <c r="A2284" s="1">
        <v>45186</v>
      </c>
      <c r="B2284" t="s">
        <v>23</v>
      </c>
      <c r="C2284" t="s">
        <v>19</v>
      </c>
      <c r="D2284">
        <v>1</v>
      </c>
      <c r="E2284" t="s">
        <v>7</v>
      </c>
      <c r="F2284">
        <v>33000</v>
      </c>
      <c r="G2284">
        <v>18000</v>
      </c>
      <c r="H2284">
        <f>Table1[[#This Row],[Qty]]*Table1[[#This Row],[SellingPrice]]</f>
        <v>33000</v>
      </c>
      <c r="I2284">
        <f>Table1[[#This Row],[Qty]]*Table1[[#This Row],[CostPrice]]</f>
        <v>18000</v>
      </c>
      <c r="J2284">
        <v>14895</v>
      </c>
      <c r="K2284">
        <v>104.99999999999999</v>
      </c>
      <c r="L2284" t="s">
        <v>8</v>
      </c>
      <c r="M2284" t="s">
        <v>30</v>
      </c>
      <c r="N2284">
        <f>MONTH(Table1[[#This Row],[SaleDate]])</f>
        <v>9</v>
      </c>
      <c r="O2284" t="str">
        <f>TEXT(Table1[[#This Row],[SaleDate]],"MMM")</f>
        <v>Sep</v>
      </c>
    </row>
    <row r="2285" spans="1:15">
      <c r="A2285" s="1">
        <v>45186</v>
      </c>
      <c r="B2285" t="s">
        <v>23</v>
      </c>
      <c r="C2285" t="s">
        <v>19</v>
      </c>
      <c r="D2285">
        <v>1</v>
      </c>
      <c r="E2285" t="s">
        <v>9</v>
      </c>
      <c r="F2285">
        <v>60000</v>
      </c>
      <c r="G2285">
        <v>31000</v>
      </c>
      <c r="H2285">
        <f>Table1[[#This Row],[Qty]]*Table1[[#This Row],[SellingPrice]]</f>
        <v>60000</v>
      </c>
      <c r="I2285">
        <f>Table1[[#This Row],[Qty]]*Table1[[#This Row],[CostPrice]]</f>
        <v>31000</v>
      </c>
      <c r="J2285">
        <v>28797</v>
      </c>
      <c r="K2285">
        <v>202.99999999999997</v>
      </c>
      <c r="L2285" t="s">
        <v>8</v>
      </c>
      <c r="M2285" t="s">
        <v>29</v>
      </c>
      <c r="N2285">
        <f>MONTH(Table1[[#This Row],[SaleDate]])</f>
        <v>9</v>
      </c>
      <c r="O2285" t="str">
        <f>TEXT(Table1[[#This Row],[SaleDate]],"MMM")</f>
        <v>Sep</v>
      </c>
    </row>
    <row r="2286" spans="1:15">
      <c r="A2286" s="1">
        <v>45186</v>
      </c>
      <c r="B2286" t="s">
        <v>23</v>
      </c>
      <c r="C2286" t="s">
        <v>19</v>
      </c>
      <c r="D2286">
        <v>1</v>
      </c>
      <c r="E2286" t="s">
        <v>10</v>
      </c>
      <c r="F2286">
        <v>89000</v>
      </c>
      <c r="G2286">
        <v>65000</v>
      </c>
      <c r="H2286">
        <f>Table1[[#This Row],[Qty]]*Table1[[#This Row],[SellingPrice]]</f>
        <v>89000</v>
      </c>
      <c r="I2286">
        <f>Table1[[#This Row],[Qty]]*Table1[[#This Row],[CostPrice]]</f>
        <v>65000</v>
      </c>
      <c r="J2286">
        <v>23832</v>
      </c>
      <c r="K2286">
        <v>167.99999999999997</v>
      </c>
      <c r="L2286" t="s">
        <v>8</v>
      </c>
      <c r="M2286" t="s">
        <v>28</v>
      </c>
      <c r="N2286">
        <f>MONTH(Table1[[#This Row],[SaleDate]])</f>
        <v>9</v>
      </c>
      <c r="O2286" t="str">
        <f>TEXT(Table1[[#This Row],[SaleDate]],"MMM")</f>
        <v>Sep</v>
      </c>
    </row>
    <row r="2287" spans="1:15">
      <c r="A2287" s="1">
        <v>45186</v>
      </c>
      <c r="B2287" t="s">
        <v>26</v>
      </c>
      <c r="C2287" t="s">
        <v>20</v>
      </c>
      <c r="D2287">
        <v>1</v>
      </c>
      <c r="E2287" t="s">
        <v>7</v>
      </c>
      <c r="F2287">
        <v>33000</v>
      </c>
      <c r="G2287">
        <v>18000</v>
      </c>
      <c r="H2287">
        <f>Table1[[#This Row],[Qty]]*Table1[[#This Row],[SellingPrice]]</f>
        <v>33000</v>
      </c>
      <c r="I2287">
        <f>Table1[[#This Row],[Qty]]*Table1[[#This Row],[CostPrice]]</f>
        <v>18000</v>
      </c>
      <c r="J2287">
        <v>14895</v>
      </c>
      <c r="K2287">
        <v>104.99999999999999</v>
      </c>
      <c r="L2287" t="s">
        <v>11</v>
      </c>
      <c r="M2287" t="s">
        <v>27</v>
      </c>
      <c r="N2287">
        <f>MONTH(Table1[[#This Row],[SaleDate]])</f>
        <v>9</v>
      </c>
      <c r="O2287" t="str">
        <f>TEXT(Table1[[#This Row],[SaleDate]],"MMM")</f>
        <v>Sep</v>
      </c>
    </row>
    <row r="2288" spans="1:15">
      <c r="A2288" s="1">
        <v>45186</v>
      </c>
      <c r="B2288" t="s">
        <v>24</v>
      </c>
      <c r="C2288" t="s">
        <v>22</v>
      </c>
      <c r="D2288">
        <v>1</v>
      </c>
      <c r="E2288" t="s">
        <v>7</v>
      </c>
      <c r="F2288">
        <v>33000</v>
      </c>
      <c r="G2288">
        <v>18000</v>
      </c>
      <c r="H2288">
        <f>Table1[[#This Row],[Qty]]*Table1[[#This Row],[SellingPrice]]</f>
        <v>33000</v>
      </c>
      <c r="I2288">
        <f>Table1[[#This Row],[Qty]]*Table1[[#This Row],[CostPrice]]</f>
        <v>18000</v>
      </c>
      <c r="J2288">
        <v>14895</v>
      </c>
      <c r="K2288">
        <v>104.99999999999999</v>
      </c>
      <c r="L2288" t="s">
        <v>12</v>
      </c>
      <c r="M2288" t="s">
        <v>27</v>
      </c>
      <c r="N2288">
        <f>MONTH(Table1[[#This Row],[SaleDate]])</f>
        <v>9</v>
      </c>
      <c r="O2288" t="str">
        <f>TEXT(Table1[[#This Row],[SaleDate]],"MMM")</f>
        <v>Sep</v>
      </c>
    </row>
    <row r="2289" spans="1:15">
      <c r="A2289" s="1">
        <v>45186</v>
      </c>
      <c r="B2289" t="s">
        <v>24</v>
      </c>
      <c r="C2289" t="s">
        <v>22</v>
      </c>
      <c r="D2289">
        <v>1</v>
      </c>
      <c r="E2289" t="s">
        <v>9</v>
      </c>
      <c r="F2289">
        <v>60000</v>
      </c>
      <c r="G2289">
        <v>31000</v>
      </c>
      <c r="H2289">
        <f>Table1[[#This Row],[Qty]]*Table1[[#This Row],[SellingPrice]]</f>
        <v>60000</v>
      </c>
      <c r="I2289">
        <f>Table1[[#This Row],[Qty]]*Table1[[#This Row],[CostPrice]]</f>
        <v>31000</v>
      </c>
      <c r="J2289">
        <v>28797</v>
      </c>
      <c r="K2289">
        <v>202.99999999999997</v>
      </c>
      <c r="L2289" t="s">
        <v>12</v>
      </c>
      <c r="M2289" t="s">
        <v>28</v>
      </c>
      <c r="N2289">
        <f>MONTH(Table1[[#This Row],[SaleDate]])</f>
        <v>9</v>
      </c>
      <c r="O2289" t="str">
        <f>TEXT(Table1[[#This Row],[SaleDate]],"MMM")</f>
        <v>Sep</v>
      </c>
    </row>
    <row r="2290" spans="1:15">
      <c r="A2290" s="1">
        <v>45186</v>
      </c>
      <c r="B2290" t="s">
        <v>24</v>
      </c>
      <c r="C2290" t="s">
        <v>22</v>
      </c>
      <c r="D2290">
        <v>1</v>
      </c>
      <c r="E2290" t="s">
        <v>10</v>
      </c>
      <c r="F2290">
        <v>89000</v>
      </c>
      <c r="G2290">
        <v>65000</v>
      </c>
      <c r="H2290">
        <f>Table1[[#This Row],[Qty]]*Table1[[#This Row],[SellingPrice]]</f>
        <v>89000</v>
      </c>
      <c r="I2290">
        <f>Table1[[#This Row],[Qty]]*Table1[[#This Row],[CostPrice]]</f>
        <v>65000</v>
      </c>
      <c r="J2290">
        <v>23832</v>
      </c>
      <c r="K2290">
        <v>167.99999999999997</v>
      </c>
      <c r="L2290" t="s">
        <v>12</v>
      </c>
      <c r="M2290" t="s">
        <v>27</v>
      </c>
      <c r="N2290">
        <f>MONTH(Table1[[#This Row],[SaleDate]])</f>
        <v>9</v>
      </c>
      <c r="O2290" t="str">
        <f>TEXT(Table1[[#This Row],[SaleDate]],"MMM")</f>
        <v>Sep</v>
      </c>
    </row>
    <row r="2291" spans="1:15">
      <c r="A2291" s="1">
        <v>45186</v>
      </c>
      <c r="B2291" t="s">
        <v>25</v>
      </c>
      <c r="C2291" t="s">
        <v>21</v>
      </c>
      <c r="D2291">
        <v>1</v>
      </c>
      <c r="E2291" t="s">
        <v>7</v>
      </c>
      <c r="F2291">
        <v>33000</v>
      </c>
      <c r="G2291">
        <v>18000</v>
      </c>
      <c r="H2291">
        <f>Table1[[#This Row],[Qty]]*Table1[[#This Row],[SellingPrice]]</f>
        <v>33000</v>
      </c>
      <c r="I2291">
        <f>Table1[[#This Row],[Qty]]*Table1[[#This Row],[CostPrice]]</f>
        <v>18000</v>
      </c>
      <c r="J2291">
        <v>14895</v>
      </c>
      <c r="K2291">
        <v>104.99999999999999</v>
      </c>
      <c r="L2291" t="s">
        <v>13</v>
      </c>
      <c r="M2291" t="s">
        <v>29</v>
      </c>
      <c r="N2291">
        <f>MONTH(Table1[[#This Row],[SaleDate]])</f>
        <v>9</v>
      </c>
      <c r="O2291" t="str">
        <f>TEXT(Table1[[#This Row],[SaleDate]],"MMM")</f>
        <v>Sep</v>
      </c>
    </row>
    <row r="2292" spans="1:15">
      <c r="A2292" s="1">
        <v>45186</v>
      </c>
      <c r="B2292" t="s">
        <v>25</v>
      </c>
      <c r="C2292" t="s">
        <v>21</v>
      </c>
      <c r="D2292">
        <v>1</v>
      </c>
      <c r="E2292" t="s">
        <v>9</v>
      </c>
      <c r="F2292">
        <v>60000</v>
      </c>
      <c r="G2292">
        <v>31000</v>
      </c>
      <c r="H2292">
        <f>Table1[[#This Row],[Qty]]*Table1[[#This Row],[SellingPrice]]</f>
        <v>60000</v>
      </c>
      <c r="I2292">
        <f>Table1[[#This Row],[Qty]]*Table1[[#This Row],[CostPrice]]</f>
        <v>31000</v>
      </c>
      <c r="J2292">
        <v>28797</v>
      </c>
      <c r="K2292">
        <v>202.99999999999997</v>
      </c>
      <c r="L2292" t="s">
        <v>13</v>
      </c>
      <c r="M2292" t="s">
        <v>29</v>
      </c>
      <c r="N2292">
        <f>MONTH(Table1[[#This Row],[SaleDate]])</f>
        <v>9</v>
      </c>
      <c r="O2292" t="str">
        <f>TEXT(Table1[[#This Row],[SaleDate]],"MMM")</f>
        <v>Sep</v>
      </c>
    </row>
    <row r="2293" spans="1:15">
      <c r="A2293" s="1">
        <v>45186</v>
      </c>
      <c r="B2293" t="s">
        <v>25</v>
      </c>
      <c r="C2293" t="s">
        <v>21</v>
      </c>
      <c r="D2293">
        <v>1</v>
      </c>
      <c r="E2293" t="s">
        <v>10</v>
      </c>
      <c r="F2293">
        <v>89000</v>
      </c>
      <c r="G2293">
        <v>65000</v>
      </c>
      <c r="H2293">
        <f>Table1[[#This Row],[Qty]]*Table1[[#This Row],[SellingPrice]]</f>
        <v>89000</v>
      </c>
      <c r="I2293">
        <f>Table1[[#This Row],[Qty]]*Table1[[#This Row],[CostPrice]]</f>
        <v>65000</v>
      </c>
      <c r="J2293">
        <v>23832</v>
      </c>
      <c r="K2293">
        <v>167.99999999999997</v>
      </c>
      <c r="L2293" t="s">
        <v>13</v>
      </c>
      <c r="M2293" t="s">
        <v>30</v>
      </c>
      <c r="N2293">
        <f>MONTH(Table1[[#This Row],[SaleDate]])</f>
        <v>9</v>
      </c>
      <c r="O2293" t="str">
        <f>TEXT(Table1[[#This Row],[SaleDate]],"MMM")</f>
        <v>Sep</v>
      </c>
    </row>
    <row r="2294" spans="1:15">
      <c r="A2294" s="1">
        <v>45187</v>
      </c>
      <c r="B2294" t="s">
        <v>23</v>
      </c>
      <c r="C2294" t="s">
        <v>19</v>
      </c>
      <c r="D2294">
        <v>2</v>
      </c>
      <c r="E2294" t="s">
        <v>7</v>
      </c>
      <c r="F2294">
        <v>33000</v>
      </c>
      <c r="G2294">
        <v>18000</v>
      </c>
      <c r="H2294">
        <f>Table1[[#This Row],[Qty]]*Table1[[#This Row],[SellingPrice]]</f>
        <v>66000</v>
      </c>
      <c r="I2294">
        <f>Table1[[#This Row],[Qty]]*Table1[[#This Row],[CostPrice]]</f>
        <v>36000</v>
      </c>
      <c r="J2294">
        <v>29790</v>
      </c>
      <c r="K2294">
        <v>209.99999999999997</v>
      </c>
      <c r="L2294" t="s">
        <v>8</v>
      </c>
      <c r="M2294" t="s">
        <v>30</v>
      </c>
      <c r="N2294">
        <f>MONTH(Table1[[#This Row],[SaleDate]])</f>
        <v>9</v>
      </c>
      <c r="O2294" t="str">
        <f>TEXT(Table1[[#This Row],[SaleDate]],"MMM")</f>
        <v>Sep</v>
      </c>
    </row>
    <row r="2295" spans="1:15">
      <c r="A2295" s="1">
        <v>45187</v>
      </c>
      <c r="B2295" t="s">
        <v>23</v>
      </c>
      <c r="C2295" t="s">
        <v>19</v>
      </c>
      <c r="D2295">
        <v>2</v>
      </c>
      <c r="E2295" t="s">
        <v>9</v>
      </c>
      <c r="F2295">
        <v>60000</v>
      </c>
      <c r="G2295">
        <v>31000</v>
      </c>
      <c r="H2295">
        <f>Table1[[#This Row],[Qty]]*Table1[[#This Row],[SellingPrice]]</f>
        <v>120000</v>
      </c>
      <c r="I2295">
        <f>Table1[[#This Row],[Qty]]*Table1[[#This Row],[CostPrice]]</f>
        <v>62000</v>
      </c>
      <c r="J2295">
        <v>57594</v>
      </c>
      <c r="K2295">
        <v>405.99999999999994</v>
      </c>
      <c r="L2295" t="s">
        <v>8</v>
      </c>
      <c r="M2295" t="s">
        <v>30</v>
      </c>
      <c r="N2295">
        <f>MONTH(Table1[[#This Row],[SaleDate]])</f>
        <v>9</v>
      </c>
      <c r="O2295" t="str">
        <f>TEXT(Table1[[#This Row],[SaleDate]],"MMM")</f>
        <v>Sep</v>
      </c>
    </row>
    <row r="2296" spans="1:15">
      <c r="A2296" s="1">
        <v>45187</v>
      </c>
      <c r="B2296" t="s">
        <v>23</v>
      </c>
      <c r="C2296" t="s">
        <v>19</v>
      </c>
      <c r="D2296">
        <v>2</v>
      </c>
      <c r="E2296" t="s">
        <v>10</v>
      </c>
      <c r="F2296">
        <v>89000</v>
      </c>
      <c r="G2296">
        <v>65000</v>
      </c>
      <c r="H2296">
        <f>Table1[[#This Row],[Qty]]*Table1[[#This Row],[SellingPrice]]</f>
        <v>178000</v>
      </c>
      <c r="I2296">
        <f>Table1[[#This Row],[Qty]]*Table1[[#This Row],[CostPrice]]</f>
        <v>130000</v>
      </c>
      <c r="J2296">
        <v>47664</v>
      </c>
      <c r="K2296">
        <v>335.99999999999994</v>
      </c>
      <c r="L2296" t="s">
        <v>8</v>
      </c>
      <c r="M2296" t="s">
        <v>30</v>
      </c>
      <c r="N2296">
        <f>MONTH(Table1[[#This Row],[SaleDate]])</f>
        <v>9</v>
      </c>
      <c r="O2296" t="str">
        <f>TEXT(Table1[[#This Row],[SaleDate]],"MMM")</f>
        <v>Sep</v>
      </c>
    </row>
    <row r="2297" spans="1:15">
      <c r="A2297" s="1">
        <v>45187</v>
      </c>
      <c r="B2297" t="s">
        <v>26</v>
      </c>
      <c r="C2297" t="s">
        <v>20</v>
      </c>
      <c r="D2297">
        <v>2</v>
      </c>
      <c r="E2297" t="s">
        <v>7</v>
      </c>
      <c r="F2297">
        <v>33000</v>
      </c>
      <c r="G2297">
        <v>18000</v>
      </c>
      <c r="H2297">
        <f>Table1[[#This Row],[Qty]]*Table1[[#This Row],[SellingPrice]]</f>
        <v>66000</v>
      </c>
      <c r="I2297">
        <f>Table1[[#This Row],[Qty]]*Table1[[#This Row],[CostPrice]]</f>
        <v>36000</v>
      </c>
      <c r="J2297">
        <v>29790</v>
      </c>
      <c r="K2297">
        <v>209.99999999999997</v>
      </c>
      <c r="L2297" t="s">
        <v>11</v>
      </c>
      <c r="M2297" t="s">
        <v>29</v>
      </c>
      <c r="N2297">
        <f>MONTH(Table1[[#This Row],[SaleDate]])</f>
        <v>9</v>
      </c>
      <c r="O2297" t="str">
        <f>TEXT(Table1[[#This Row],[SaleDate]],"MMM")</f>
        <v>Sep</v>
      </c>
    </row>
    <row r="2298" spans="1:15">
      <c r="A2298" s="1">
        <v>45187</v>
      </c>
      <c r="B2298" t="s">
        <v>24</v>
      </c>
      <c r="C2298" t="s">
        <v>22</v>
      </c>
      <c r="D2298">
        <v>2</v>
      </c>
      <c r="E2298" t="s">
        <v>7</v>
      </c>
      <c r="F2298">
        <v>33000</v>
      </c>
      <c r="G2298">
        <v>18000</v>
      </c>
      <c r="H2298">
        <f>Table1[[#This Row],[Qty]]*Table1[[#This Row],[SellingPrice]]</f>
        <v>66000</v>
      </c>
      <c r="I2298">
        <f>Table1[[#This Row],[Qty]]*Table1[[#This Row],[CostPrice]]</f>
        <v>36000</v>
      </c>
      <c r="J2298">
        <v>29790</v>
      </c>
      <c r="K2298">
        <v>209.99999999999997</v>
      </c>
      <c r="L2298" t="s">
        <v>12</v>
      </c>
      <c r="M2298" t="s">
        <v>30</v>
      </c>
      <c r="N2298">
        <f>MONTH(Table1[[#This Row],[SaleDate]])</f>
        <v>9</v>
      </c>
      <c r="O2298" t="str">
        <f>TEXT(Table1[[#This Row],[SaleDate]],"MMM")</f>
        <v>Sep</v>
      </c>
    </row>
    <row r="2299" spans="1:15">
      <c r="A2299" s="1">
        <v>45187</v>
      </c>
      <c r="B2299" t="s">
        <v>24</v>
      </c>
      <c r="C2299" t="s">
        <v>22</v>
      </c>
      <c r="D2299">
        <v>2</v>
      </c>
      <c r="E2299" t="s">
        <v>9</v>
      </c>
      <c r="F2299">
        <v>60000</v>
      </c>
      <c r="G2299">
        <v>31000</v>
      </c>
      <c r="H2299">
        <f>Table1[[#This Row],[Qty]]*Table1[[#This Row],[SellingPrice]]</f>
        <v>120000</v>
      </c>
      <c r="I2299">
        <f>Table1[[#This Row],[Qty]]*Table1[[#This Row],[CostPrice]]</f>
        <v>62000</v>
      </c>
      <c r="J2299">
        <v>57594</v>
      </c>
      <c r="K2299">
        <v>405.99999999999994</v>
      </c>
      <c r="L2299" t="s">
        <v>12</v>
      </c>
      <c r="M2299" t="s">
        <v>30</v>
      </c>
      <c r="N2299">
        <f>MONTH(Table1[[#This Row],[SaleDate]])</f>
        <v>9</v>
      </c>
      <c r="O2299" t="str">
        <f>TEXT(Table1[[#This Row],[SaleDate]],"MMM")</f>
        <v>Sep</v>
      </c>
    </row>
    <row r="2300" spans="1:15">
      <c r="A2300" s="1">
        <v>45187</v>
      </c>
      <c r="B2300" t="s">
        <v>24</v>
      </c>
      <c r="C2300" t="s">
        <v>22</v>
      </c>
      <c r="D2300">
        <v>2</v>
      </c>
      <c r="E2300" t="s">
        <v>10</v>
      </c>
      <c r="F2300">
        <v>89000</v>
      </c>
      <c r="G2300">
        <v>65000</v>
      </c>
      <c r="H2300">
        <f>Table1[[#This Row],[Qty]]*Table1[[#This Row],[SellingPrice]]</f>
        <v>178000</v>
      </c>
      <c r="I2300">
        <f>Table1[[#This Row],[Qty]]*Table1[[#This Row],[CostPrice]]</f>
        <v>130000</v>
      </c>
      <c r="J2300">
        <v>47664</v>
      </c>
      <c r="K2300">
        <v>335.99999999999994</v>
      </c>
      <c r="L2300" t="s">
        <v>12</v>
      </c>
      <c r="M2300" t="s">
        <v>30</v>
      </c>
      <c r="N2300">
        <f>MONTH(Table1[[#This Row],[SaleDate]])</f>
        <v>9</v>
      </c>
      <c r="O2300" t="str">
        <f>TEXT(Table1[[#This Row],[SaleDate]],"MMM")</f>
        <v>Sep</v>
      </c>
    </row>
    <row r="2301" spans="1:15">
      <c r="A2301" s="1">
        <v>45187</v>
      </c>
      <c r="B2301" t="s">
        <v>25</v>
      </c>
      <c r="C2301" t="s">
        <v>21</v>
      </c>
      <c r="D2301">
        <v>2</v>
      </c>
      <c r="E2301" t="s">
        <v>7</v>
      </c>
      <c r="F2301">
        <v>33000</v>
      </c>
      <c r="G2301">
        <v>18000</v>
      </c>
      <c r="H2301">
        <f>Table1[[#This Row],[Qty]]*Table1[[#This Row],[SellingPrice]]</f>
        <v>66000</v>
      </c>
      <c r="I2301">
        <f>Table1[[#This Row],[Qty]]*Table1[[#This Row],[CostPrice]]</f>
        <v>36000</v>
      </c>
      <c r="J2301">
        <v>29790</v>
      </c>
      <c r="K2301">
        <v>209.99999999999997</v>
      </c>
      <c r="L2301" t="s">
        <v>13</v>
      </c>
      <c r="M2301" t="s">
        <v>30</v>
      </c>
      <c r="N2301">
        <f>MONTH(Table1[[#This Row],[SaleDate]])</f>
        <v>9</v>
      </c>
      <c r="O2301" t="str">
        <f>TEXT(Table1[[#This Row],[SaleDate]],"MMM")</f>
        <v>Sep</v>
      </c>
    </row>
    <row r="2302" spans="1:15">
      <c r="A2302" s="1">
        <v>45187</v>
      </c>
      <c r="B2302" t="s">
        <v>25</v>
      </c>
      <c r="C2302" t="s">
        <v>21</v>
      </c>
      <c r="D2302">
        <v>2</v>
      </c>
      <c r="E2302" t="s">
        <v>9</v>
      </c>
      <c r="F2302">
        <v>60000</v>
      </c>
      <c r="G2302">
        <v>31000</v>
      </c>
      <c r="H2302">
        <f>Table1[[#This Row],[Qty]]*Table1[[#This Row],[SellingPrice]]</f>
        <v>120000</v>
      </c>
      <c r="I2302">
        <f>Table1[[#This Row],[Qty]]*Table1[[#This Row],[CostPrice]]</f>
        <v>62000</v>
      </c>
      <c r="J2302">
        <v>57594</v>
      </c>
      <c r="K2302">
        <v>405.99999999999994</v>
      </c>
      <c r="L2302" t="s">
        <v>13</v>
      </c>
      <c r="M2302" t="s">
        <v>30</v>
      </c>
      <c r="N2302">
        <f>MONTH(Table1[[#This Row],[SaleDate]])</f>
        <v>9</v>
      </c>
      <c r="O2302" t="str">
        <f>TEXT(Table1[[#This Row],[SaleDate]],"MMM")</f>
        <v>Sep</v>
      </c>
    </row>
    <row r="2303" spans="1:15">
      <c r="A2303" s="1">
        <v>45187</v>
      </c>
      <c r="B2303" t="s">
        <v>25</v>
      </c>
      <c r="C2303" t="s">
        <v>21</v>
      </c>
      <c r="D2303">
        <v>2</v>
      </c>
      <c r="E2303" t="s">
        <v>10</v>
      </c>
      <c r="F2303">
        <v>89000</v>
      </c>
      <c r="G2303">
        <v>65000</v>
      </c>
      <c r="H2303">
        <f>Table1[[#This Row],[Qty]]*Table1[[#This Row],[SellingPrice]]</f>
        <v>178000</v>
      </c>
      <c r="I2303">
        <f>Table1[[#This Row],[Qty]]*Table1[[#This Row],[CostPrice]]</f>
        <v>130000</v>
      </c>
      <c r="J2303">
        <v>47664</v>
      </c>
      <c r="K2303">
        <v>335.99999999999994</v>
      </c>
      <c r="L2303" t="s">
        <v>13</v>
      </c>
      <c r="M2303" t="s">
        <v>27</v>
      </c>
      <c r="N2303">
        <f>MONTH(Table1[[#This Row],[SaleDate]])</f>
        <v>9</v>
      </c>
      <c r="O2303" t="str">
        <f>TEXT(Table1[[#This Row],[SaleDate]],"MMM")</f>
        <v>Sep</v>
      </c>
    </row>
    <row r="2304" spans="1:15">
      <c r="A2304" s="1">
        <v>45188</v>
      </c>
      <c r="B2304" t="s">
        <v>23</v>
      </c>
      <c r="C2304" t="s">
        <v>19</v>
      </c>
      <c r="D2304">
        <v>1</v>
      </c>
      <c r="E2304" t="s">
        <v>7</v>
      </c>
      <c r="F2304">
        <v>33000</v>
      </c>
      <c r="G2304">
        <v>18000</v>
      </c>
      <c r="H2304">
        <f>Table1[[#This Row],[Qty]]*Table1[[#This Row],[SellingPrice]]</f>
        <v>33000</v>
      </c>
      <c r="I2304">
        <f>Table1[[#This Row],[Qty]]*Table1[[#This Row],[CostPrice]]</f>
        <v>18000</v>
      </c>
      <c r="J2304">
        <v>14895</v>
      </c>
      <c r="K2304">
        <v>104.99999999999999</v>
      </c>
      <c r="L2304" t="s">
        <v>8</v>
      </c>
      <c r="M2304" t="s">
        <v>30</v>
      </c>
      <c r="N2304">
        <f>MONTH(Table1[[#This Row],[SaleDate]])</f>
        <v>9</v>
      </c>
      <c r="O2304" t="str">
        <f>TEXT(Table1[[#This Row],[SaleDate]],"MMM")</f>
        <v>Sep</v>
      </c>
    </row>
    <row r="2305" spans="1:15">
      <c r="A2305" s="1">
        <v>45188</v>
      </c>
      <c r="B2305" t="s">
        <v>23</v>
      </c>
      <c r="C2305" t="s">
        <v>19</v>
      </c>
      <c r="D2305">
        <v>1</v>
      </c>
      <c r="E2305" t="s">
        <v>9</v>
      </c>
      <c r="F2305">
        <v>60000</v>
      </c>
      <c r="G2305">
        <v>31000</v>
      </c>
      <c r="H2305">
        <f>Table1[[#This Row],[Qty]]*Table1[[#This Row],[SellingPrice]]</f>
        <v>60000</v>
      </c>
      <c r="I2305">
        <f>Table1[[#This Row],[Qty]]*Table1[[#This Row],[CostPrice]]</f>
        <v>31000</v>
      </c>
      <c r="J2305">
        <v>28797</v>
      </c>
      <c r="K2305">
        <v>202.99999999999997</v>
      </c>
      <c r="L2305" t="s">
        <v>8</v>
      </c>
      <c r="M2305" t="s">
        <v>27</v>
      </c>
      <c r="N2305">
        <f>MONTH(Table1[[#This Row],[SaleDate]])</f>
        <v>9</v>
      </c>
      <c r="O2305" t="str">
        <f>TEXT(Table1[[#This Row],[SaleDate]],"MMM")</f>
        <v>Sep</v>
      </c>
    </row>
    <row r="2306" spans="1:15">
      <c r="A2306" s="1">
        <v>45188</v>
      </c>
      <c r="B2306" t="s">
        <v>23</v>
      </c>
      <c r="C2306" t="s">
        <v>19</v>
      </c>
      <c r="D2306">
        <v>1</v>
      </c>
      <c r="E2306" t="s">
        <v>10</v>
      </c>
      <c r="F2306">
        <v>89000</v>
      </c>
      <c r="G2306">
        <v>65000</v>
      </c>
      <c r="H2306">
        <f>Table1[[#This Row],[Qty]]*Table1[[#This Row],[SellingPrice]]</f>
        <v>89000</v>
      </c>
      <c r="I2306">
        <f>Table1[[#This Row],[Qty]]*Table1[[#This Row],[CostPrice]]</f>
        <v>65000</v>
      </c>
      <c r="J2306">
        <v>23832</v>
      </c>
      <c r="K2306">
        <v>167.99999999999997</v>
      </c>
      <c r="L2306" t="s">
        <v>8</v>
      </c>
      <c r="M2306" t="s">
        <v>27</v>
      </c>
      <c r="N2306">
        <f>MONTH(Table1[[#This Row],[SaleDate]])</f>
        <v>9</v>
      </c>
      <c r="O2306" t="str">
        <f>TEXT(Table1[[#This Row],[SaleDate]],"MMM")</f>
        <v>Sep</v>
      </c>
    </row>
    <row r="2307" spans="1:15">
      <c r="A2307" s="1">
        <v>45188</v>
      </c>
      <c r="B2307" t="s">
        <v>26</v>
      </c>
      <c r="C2307" t="s">
        <v>20</v>
      </c>
      <c r="D2307">
        <v>1</v>
      </c>
      <c r="E2307" t="s">
        <v>7</v>
      </c>
      <c r="F2307">
        <v>33000</v>
      </c>
      <c r="G2307">
        <v>18000</v>
      </c>
      <c r="H2307">
        <f>Table1[[#This Row],[Qty]]*Table1[[#This Row],[SellingPrice]]</f>
        <v>33000</v>
      </c>
      <c r="I2307">
        <f>Table1[[#This Row],[Qty]]*Table1[[#This Row],[CostPrice]]</f>
        <v>18000</v>
      </c>
      <c r="J2307">
        <v>14895</v>
      </c>
      <c r="K2307">
        <v>104.99999999999999</v>
      </c>
      <c r="L2307" t="s">
        <v>11</v>
      </c>
      <c r="M2307" t="s">
        <v>28</v>
      </c>
      <c r="N2307">
        <f>MONTH(Table1[[#This Row],[SaleDate]])</f>
        <v>9</v>
      </c>
      <c r="O2307" t="str">
        <f>TEXT(Table1[[#This Row],[SaleDate]],"MMM")</f>
        <v>Sep</v>
      </c>
    </row>
    <row r="2308" spans="1:15">
      <c r="A2308" s="1">
        <v>45188</v>
      </c>
      <c r="B2308" t="s">
        <v>24</v>
      </c>
      <c r="C2308" t="s">
        <v>22</v>
      </c>
      <c r="D2308">
        <v>1</v>
      </c>
      <c r="E2308" t="s">
        <v>7</v>
      </c>
      <c r="F2308">
        <v>33000</v>
      </c>
      <c r="G2308">
        <v>18000</v>
      </c>
      <c r="H2308">
        <f>Table1[[#This Row],[Qty]]*Table1[[#This Row],[SellingPrice]]</f>
        <v>33000</v>
      </c>
      <c r="I2308">
        <f>Table1[[#This Row],[Qty]]*Table1[[#This Row],[CostPrice]]</f>
        <v>18000</v>
      </c>
      <c r="J2308">
        <v>14895</v>
      </c>
      <c r="K2308">
        <v>104.99999999999999</v>
      </c>
      <c r="L2308" t="s">
        <v>12</v>
      </c>
      <c r="M2308" t="s">
        <v>30</v>
      </c>
      <c r="N2308">
        <f>MONTH(Table1[[#This Row],[SaleDate]])</f>
        <v>9</v>
      </c>
      <c r="O2308" t="str">
        <f>TEXT(Table1[[#This Row],[SaleDate]],"MMM")</f>
        <v>Sep</v>
      </c>
    </row>
    <row r="2309" spans="1:15">
      <c r="A2309" s="1">
        <v>45188</v>
      </c>
      <c r="B2309" t="s">
        <v>24</v>
      </c>
      <c r="C2309" t="s">
        <v>22</v>
      </c>
      <c r="D2309">
        <v>1</v>
      </c>
      <c r="E2309" t="s">
        <v>9</v>
      </c>
      <c r="F2309">
        <v>60000</v>
      </c>
      <c r="G2309">
        <v>31000</v>
      </c>
      <c r="H2309">
        <f>Table1[[#This Row],[Qty]]*Table1[[#This Row],[SellingPrice]]</f>
        <v>60000</v>
      </c>
      <c r="I2309">
        <f>Table1[[#This Row],[Qty]]*Table1[[#This Row],[CostPrice]]</f>
        <v>31000</v>
      </c>
      <c r="J2309">
        <v>28797</v>
      </c>
      <c r="K2309">
        <v>202.99999999999997</v>
      </c>
      <c r="L2309" t="s">
        <v>12</v>
      </c>
      <c r="M2309" t="s">
        <v>29</v>
      </c>
      <c r="N2309">
        <f>MONTH(Table1[[#This Row],[SaleDate]])</f>
        <v>9</v>
      </c>
      <c r="O2309" t="str">
        <f>TEXT(Table1[[#This Row],[SaleDate]],"MMM")</f>
        <v>Sep</v>
      </c>
    </row>
    <row r="2310" spans="1:15">
      <c r="A2310" s="1">
        <v>45188</v>
      </c>
      <c r="B2310" t="s">
        <v>24</v>
      </c>
      <c r="C2310" t="s">
        <v>22</v>
      </c>
      <c r="D2310">
        <v>1</v>
      </c>
      <c r="E2310" t="s">
        <v>10</v>
      </c>
      <c r="F2310">
        <v>89000</v>
      </c>
      <c r="G2310">
        <v>65000</v>
      </c>
      <c r="H2310">
        <f>Table1[[#This Row],[Qty]]*Table1[[#This Row],[SellingPrice]]</f>
        <v>89000</v>
      </c>
      <c r="I2310">
        <f>Table1[[#This Row],[Qty]]*Table1[[#This Row],[CostPrice]]</f>
        <v>65000</v>
      </c>
      <c r="J2310">
        <v>23832</v>
      </c>
      <c r="K2310">
        <v>167.99999999999997</v>
      </c>
      <c r="L2310" t="s">
        <v>12</v>
      </c>
      <c r="M2310" t="s">
        <v>30</v>
      </c>
      <c r="N2310">
        <f>MONTH(Table1[[#This Row],[SaleDate]])</f>
        <v>9</v>
      </c>
      <c r="O2310" t="str">
        <f>TEXT(Table1[[#This Row],[SaleDate]],"MMM")</f>
        <v>Sep</v>
      </c>
    </row>
    <row r="2311" spans="1:15">
      <c r="A2311" s="1">
        <v>45188</v>
      </c>
      <c r="B2311" t="s">
        <v>25</v>
      </c>
      <c r="C2311" t="s">
        <v>21</v>
      </c>
      <c r="D2311">
        <v>1</v>
      </c>
      <c r="E2311" t="s">
        <v>7</v>
      </c>
      <c r="F2311">
        <v>33000</v>
      </c>
      <c r="G2311">
        <v>18000</v>
      </c>
      <c r="H2311">
        <f>Table1[[#This Row],[Qty]]*Table1[[#This Row],[SellingPrice]]</f>
        <v>33000</v>
      </c>
      <c r="I2311">
        <f>Table1[[#This Row],[Qty]]*Table1[[#This Row],[CostPrice]]</f>
        <v>18000</v>
      </c>
      <c r="J2311">
        <v>14895</v>
      </c>
      <c r="K2311">
        <v>104.99999999999999</v>
      </c>
      <c r="L2311" t="s">
        <v>13</v>
      </c>
      <c r="M2311" t="s">
        <v>30</v>
      </c>
      <c r="N2311">
        <f>MONTH(Table1[[#This Row],[SaleDate]])</f>
        <v>9</v>
      </c>
      <c r="O2311" t="str">
        <f>TEXT(Table1[[#This Row],[SaleDate]],"MMM")</f>
        <v>Sep</v>
      </c>
    </row>
    <row r="2312" spans="1:15">
      <c r="A2312" s="1">
        <v>45188</v>
      </c>
      <c r="B2312" t="s">
        <v>25</v>
      </c>
      <c r="C2312" t="s">
        <v>21</v>
      </c>
      <c r="D2312">
        <v>1</v>
      </c>
      <c r="E2312" t="s">
        <v>9</v>
      </c>
      <c r="F2312">
        <v>60000</v>
      </c>
      <c r="G2312">
        <v>31000</v>
      </c>
      <c r="H2312">
        <f>Table1[[#This Row],[Qty]]*Table1[[#This Row],[SellingPrice]]</f>
        <v>60000</v>
      </c>
      <c r="I2312">
        <f>Table1[[#This Row],[Qty]]*Table1[[#This Row],[CostPrice]]</f>
        <v>31000</v>
      </c>
      <c r="J2312">
        <v>28797</v>
      </c>
      <c r="K2312">
        <v>202.99999999999997</v>
      </c>
      <c r="L2312" t="s">
        <v>13</v>
      </c>
      <c r="M2312" t="s">
        <v>28</v>
      </c>
      <c r="N2312">
        <f>MONTH(Table1[[#This Row],[SaleDate]])</f>
        <v>9</v>
      </c>
      <c r="O2312" t="str">
        <f>TEXT(Table1[[#This Row],[SaleDate]],"MMM")</f>
        <v>Sep</v>
      </c>
    </row>
    <row r="2313" spans="1:15">
      <c r="A2313" s="1">
        <v>45188</v>
      </c>
      <c r="B2313" t="s">
        <v>25</v>
      </c>
      <c r="C2313" t="s">
        <v>21</v>
      </c>
      <c r="D2313">
        <v>1</v>
      </c>
      <c r="E2313" t="s">
        <v>10</v>
      </c>
      <c r="F2313">
        <v>89000</v>
      </c>
      <c r="G2313">
        <v>65000</v>
      </c>
      <c r="H2313">
        <f>Table1[[#This Row],[Qty]]*Table1[[#This Row],[SellingPrice]]</f>
        <v>89000</v>
      </c>
      <c r="I2313">
        <f>Table1[[#This Row],[Qty]]*Table1[[#This Row],[CostPrice]]</f>
        <v>65000</v>
      </c>
      <c r="J2313">
        <v>23832</v>
      </c>
      <c r="K2313">
        <v>167.99999999999997</v>
      </c>
      <c r="L2313" t="s">
        <v>13</v>
      </c>
      <c r="M2313" t="s">
        <v>29</v>
      </c>
      <c r="N2313">
        <f>MONTH(Table1[[#This Row],[SaleDate]])</f>
        <v>9</v>
      </c>
      <c r="O2313" t="str">
        <f>TEXT(Table1[[#This Row],[SaleDate]],"MMM")</f>
        <v>Sep</v>
      </c>
    </row>
    <row r="2314" spans="1:15">
      <c r="A2314" s="1">
        <v>45189</v>
      </c>
      <c r="B2314" t="s">
        <v>23</v>
      </c>
      <c r="C2314" t="s">
        <v>19</v>
      </c>
      <c r="D2314">
        <v>2</v>
      </c>
      <c r="E2314" t="s">
        <v>7</v>
      </c>
      <c r="F2314">
        <v>33000</v>
      </c>
      <c r="G2314">
        <v>18000</v>
      </c>
      <c r="H2314">
        <f>Table1[[#This Row],[Qty]]*Table1[[#This Row],[SellingPrice]]</f>
        <v>66000</v>
      </c>
      <c r="I2314">
        <f>Table1[[#This Row],[Qty]]*Table1[[#This Row],[CostPrice]]</f>
        <v>36000</v>
      </c>
      <c r="J2314">
        <v>29790</v>
      </c>
      <c r="K2314">
        <v>209.99999999999997</v>
      </c>
      <c r="L2314" t="s">
        <v>8</v>
      </c>
      <c r="M2314" t="s">
        <v>29</v>
      </c>
      <c r="N2314">
        <f>MONTH(Table1[[#This Row],[SaleDate]])</f>
        <v>9</v>
      </c>
      <c r="O2314" t="str">
        <f>TEXT(Table1[[#This Row],[SaleDate]],"MMM")</f>
        <v>Sep</v>
      </c>
    </row>
    <row r="2315" spans="1:15">
      <c r="A2315" s="1">
        <v>45189</v>
      </c>
      <c r="B2315" t="s">
        <v>23</v>
      </c>
      <c r="C2315" t="s">
        <v>19</v>
      </c>
      <c r="D2315">
        <v>2</v>
      </c>
      <c r="E2315" t="s">
        <v>9</v>
      </c>
      <c r="F2315">
        <v>60000</v>
      </c>
      <c r="G2315">
        <v>31000</v>
      </c>
      <c r="H2315">
        <f>Table1[[#This Row],[Qty]]*Table1[[#This Row],[SellingPrice]]</f>
        <v>120000</v>
      </c>
      <c r="I2315">
        <f>Table1[[#This Row],[Qty]]*Table1[[#This Row],[CostPrice]]</f>
        <v>62000</v>
      </c>
      <c r="J2315">
        <v>57594</v>
      </c>
      <c r="K2315">
        <v>405.99999999999994</v>
      </c>
      <c r="L2315" t="s">
        <v>8</v>
      </c>
      <c r="M2315" t="s">
        <v>29</v>
      </c>
      <c r="N2315">
        <f>MONTH(Table1[[#This Row],[SaleDate]])</f>
        <v>9</v>
      </c>
      <c r="O2315" t="str">
        <f>TEXT(Table1[[#This Row],[SaleDate]],"MMM")</f>
        <v>Sep</v>
      </c>
    </row>
    <row r="2316" spans="1:15">
      <c r="A2316" s="1">
        <v>45189</v>
      </c>
      <c r="B2316" t="s">
        <v>23</v>
      </c>
      <c r="C2316" t="s">
        <v>19</v>
      </c>
      <c r="D2316">
        <v>2</v>
      </c>
      <c r="E2316" t="s">
        <v>10</v>
      </c>
      <c r="F2316">
        <v>89000</v>
      </c>
      <c r="G2316">
        <v>65000</v>
      </c>
      <c r="H2316">
        <f>Table1[[#This Row],[Qty]]*Table1[[#This Row],[SellingPrice]]</f>
        <v>178000</v>
      </c>
      <c r="I2316">
        <f>Table1[[#This Row],[Qty]]*Table1[[#This Row],[CostPrice]]</f>
        <v>130000</v>
      </c>
      <c r="J2316">
        <v>47664</v>
      </c>
      <c r="K2316">
        <v>335.99999999999994</v>
      </c>
      <c r="L2316" t="s">
        <v>8</v>
      </c>
      <c r="M2316" t="s">
        <v>30</v>
      </c>
      <c r="N2316">
        <f>MONTH(Table1[[#This Row],[SaleDate]])</f>
        <v>9</v>
      </c>
      <c r="O2316" t="str">
        <f>TEXT(Table1[[#This Row],[SaleDate]],"MMM")</f>
        <v>Sep</v>
      </c>
    </row>
    <row r="2317" spans="1:15">
      <c r="A2317" s="1">
        <v>45189</v>
      </c>
      <c r="B2317" t="s">
        <v>26</v>
      </c>
      <c r="C2317" t="s">
        <v>20</v>
      </c>
      <c r="D2317">
        <v>2</v>
      </c>
      <c r="E2317" t="s">
        <v>7</v>
      </c>
      <c r="F2317">
        <v>33000</v>
      </c>
      <c r="G2317">
        <v>18000</v>
      </c>
      <c r="H2317">
        <f>Table1[[#This Row],[Qty]]*Table1[[#This Row],[SellingPrice]]</f>
        <v>66000</v>
      </c>
      <c r="I2317">
        <f>Table1[[#This Row],[Qty]]*Table1[[#This Row],[CostPrice]]</f>
        <v>36000</v>
      </c>
      <c r="J2317">
        <v>29790</v>
      </c>
      <c r="K2317">
        <v>209.99999999999997</v>
      </c>
      <c r="L2317" t="s">
        <v>11</v>
      </c>
      <c r="M2317" t="s">
        <v>28</v>
      </c>
      <c r="N2317">
        <f>MONTH(Table1[[#This Row],[SaleDate]])</f>
        <v>9</v>
      </c>
      <c r="O2317" t="str">
        <f>TEXT(Table1[[#This Row],[SaleDate]],"MMM")</f>
        <v>Sep</v>
      </c>
    </row>
    <row r="2318" spans="1:15">
      <c r="A2318" s="1">
        <v>45189</v>
      </c>
      <c r="B2318" t="s">
        <v>24</v>
      </c>
      <c r="C2318" t="s">
        <v>22</v>
      </c>
      <c r="D2318">
        <v>2</v>
      </c>
      <c r="E2318" t="s">
        <v>7</v>
      </c>
      <c r="F2318">
        <v>33000</v>
      </c>
      <c r="G2318">
        <v>18000</v>
      </c>
      <c r="H2318">
        <f>Table1[[#This Row],[Qty]]*Table1[[#This Row],[SellingPrice]]</f>
        <v>66000</v>
      </c>
      <c r="I2318">
        <f>Table1[[#This Row],[Qty]]*Table1[[#This Row],[CostPrice]]</f>
        <v>36000</v>
      </c>
      <c r="J2318">
        <v>29790</v>
      </c>
      <c r="K2318">
        <v>209.99999999999997</v>
      </c>
      <c r="L2318" t="s">
        <v>12</v>
      </c>
      <c r="M2318" t="s">
        <v>28</v>
      </c>
      <c r="N2318">
        <f>MONTH(Table1[[#This Row],[SaleDate]])</f>
        <v>9</v>
      </c>
      <c r="O2318" t="str">
        <f>TEXT(Table1[[#This Row],[SaleDate]],"MMM")</f>
        <v>Sep</v>
      </c>
    </row>
    <row r="2319" spans="1:15">
      <c r="A2319" s="1">
        <v>45189</v>
      </c>
      <c r="B2319" t="s">
        <v>24</v>
      </c>
      <c r="C2319" t="s">
        <v>22</v>
      </c>
      <c r="D2319">
        <v>2</v>
      </c>
      <c r="E2319" t="s">
        <v>9</v>
      </c>
      <c r="F2319">
        <v>60000</v>
      </c>
      <c r="G2319">
        <v>31000</v>
      </c>
      <c r="H2319">
        <f>Table1[[#This Row],[Qty]]*Table1[[#This Row],[SellingPrice]]</f>
        <v>120000</v>
      </c>
      <c r="I2319">
        <f>Table1[[#This Row],[Qty]]*Table1[[#This Row],[CostPrice]]</f>
        <v>62000</v>
      </c>
      <c r="J2319">
        <v>57594</v>
      </c>
      <c r="K2319">
        <v>405.99999999999994</v>
      </c>
      <c r="L2319" t="s">
        <v>12</v>
      </c>
      <c r="M2319" t="s">
        <v>30</v>
      </c>
      <c r="N2319">
        <f>MONTH(Table1[[#This Row],[SaleDate]])</f>
        <v>9</v>
      </c>
      <c r="O2319" t="str">
        <f>TEXT(Table1[[#This Row],[SaleDate]],"MMM")</f>
        <v>Sep</v>
      </c>
    </row>
    <row r="2320" spans="1:15">
      <c r="A2320" s="1">
        <v>45189</v>
      </c>
      <c r="B2320" t="s">
        <v>24</v>
      </c>
      <c r="C2320" t="s">
        <v>22</v>
      </c>
      <c r="D2320">
        <v>2</v>
      </c>
      <c r="E2320" t="s">
        <v>10</v>
      </c>
      <c r="F2320">
        <v>89000</v>
      </c>
      <c r="G2320">
        <v>65000</v>
      </c>
      <c r="H2320">
        <f>Table1[[#This Row],[Qty]]*Table1[[#This Row],[SellingPrice]]</f>
        <v>178000</v>
      </c>
      <c r="I2320">
        <f>Table1[[#This Row],[Qty]]*Table1[[#This Row],[CostPrice]]</f>
        <v>130000</v>
      </c>
      <c r="J2320">
        <v>47664</v>
      </c>
      <c r="K2320">
        <v>335.99999999999994</v>
      </c>
      <c r="L2320" t="s">
        <v>12</v>
      </c>
      <c r="M2320" t="s">
        <v>29</v>
      </c>
      <c r="N2320">
        <f>MONTH(Table1[[#This Row],[SaleDate]])</f>
        <v>9</v>
      </c>
      <c r="O2320" t="str">
        <f>TEXT(Table1[[#This Row],[SaleDate]],"MMM")</f>
        <v>Sep</v>
      </c>
    </row>
    <row r="2321" spans="1:15">
      <c r="A2321" s="1">
        <v>45189</v>
      </c>
      <c r="B2321" t="s">
        <v>25</v>
      </c>
      <c r="C2321" t="s">
        <v>21</v>
      </c>
      <c r="D2321">
        <v>2</v>
      </c>
      <c r="E2321" t="s">
        <v>7</v>
      </c>
      <c r="F2321">
        <v>33000</v>
      </c>
      <c r="G2321">
        <v>18000</v>
      </c>
      <c r="H2321">
        <f>Table1[[#This Row],[Qty]]*Table1[[#This Row],[SellingPrice]]</f>
        <v>66000</v>
      </c>
      <c r="I2321">
        <f>Table1[[#This Row],[Qty]]*Table1[[#This Row],[CostPrice]]</f>
        <v>36000</v>
      </c>
      <c r="J2321">
        <v>29790</v>
      </c>
      <c r="K2321">
        <v>209.99999999999997</v>
      </c>
      <c r="L2321" t="s">
        <v>13</v>
      </c>
      <c r="M2321" t="s">
        <v>30</v>
      </c>
      <c r="N2321">
        <f>MONTH(Table1[[#This Row],[SaleDate]])</f>
        <v>9</v>
      </c>
      <c r="O2321" t="str">
        <f>TEXT(Table1[[#This Row],[SaleDate]],"MMM")</f>
        <v>Sep</v>
      </c>
    </row>
    <row r="2322" spans="1:15">
      <c r="A2322" s="1">
        <v>45189</v>
      </c>
      <c r="B2322" t="s">
        <v>25</v>
      </c>
      <c r="C2322" t="s">
        <v>21</v>
      </c>
      <c r="D2322">
        <v>2</v>
      </c>
      <c r="E2322" t="s">
        <v>9</v>
      </c>
      <c r="F2322">
        <v>60000</v>
      </c>
      <c r="G2322">
        <v>31000</v>
      </c>
      <c r="H2322">
        <f>Table1[[#This Row],[Qty]]*Table1[[#This Row],[SellingPrice]]</f>
        <v>120000</v>
      </c>
      <c r="I2322">
        <f>Table1[[#This Row],[Qty]]*Table1[[#This Row],[CostPrice]]</f>
        <v>62000</v>
      </c>
      <c r="J2322">
        <v>57594</v>
      </c>
      <c r="K2322">
        <v>405.99999999999994</v>
      </c>
      <c r="L2322" t="s">
        <v>13</v>
      </c>
      <c r="M2322" t="s">
        <v>30</v>
      </c>
      <c r="N2322">
        <f>MONTH(Table1[[#This Row],[SaleDate]])</f>
        <v>9</v>
      </c>
      <c r="O2322" t="str">
        <f>TEXT(Table1[[#This Row],[SaleDate]],"MMM")</f>
        <v>Sep</v>
      </c>
    </row>
    <row r="2323" spans="1:15">
      <c r="A2323" s="1">
        <v>45189</v>
      </c>
      <c r="B2323" t="s">
        <v>25</v>
      </c>
      <c r="C2323" t="s">
        <v>21</v>
      </c>
      <c r="D2323">
        <v>2</v>
      </c>
      <c r="E2323" t="s">
        <v>10</v>
      </c>
      <c r="F2323">
        <v>89000</v>
      </c>
      <c r="G2323">
        <v>65000</v>
      </c>
      <c r="H2323">
        <f>Table1[[#This Row],[Qty]]*Table1[[#This Row],[SellingPrice]]</f>
        <v>178000</v>
      </c>
      <c r="I2323">
        <f>Table1[[#This Row],[Qty]]*Table1[[#This Row],[CostPrice]]</f>
        <v>130000</v>
      </c>
      <c r="J2323">
        <v>47664</v>
      </c>
      <c r="K2323">
        <v>335.99999999999994</v>
      </c>
      <c r="L2323" t="s">
        <v>13</v>
      </c>
      <c r="M2323" t="s">
        <v>29</v>
      </c>
      <c r="N2323">
        <f>MONTH(Table1[[#This Row],[SaleDate]])</f>
        <v>9</v>
      </c>
      <c r="O2323" t="str">
        <f>TEXT(Table1[[#This Row],[SaleDate]],"MMM")</f>
        <v>Sep</v>
      </c>
    </row>
    <row r="2324" spans="1:15">
      <c r="A2324" s="1">
        <v>45190</v>
      </c>
      <c r="B2324" t="s">
        <v>23</v>
      </c>
      <c r="C2324" t="s">
        <v>19</v>
      </c>
      <c r="D2324">
        <v>1</v>
      </c>
      <c r="E2324" t="s">
        <v>7</v>
      </c>
      <c r="F2324">
        <v>33000</v>
      </c>
      <c r="G2324">
        <v>18000</v>
      </c>
      <c r="H2324">
        <f>Table1[[#This Row],[Qty]]*Table1[[#This Row],[SellingPrice]]</f>
        <v>33000</v>
      </c>
      <c r="I2324">
        <f>Table1[[#This Row],[Qty]]*Table1[[#This Row],[CostPrice]]</f>
        <v>18000</v>
      </c>
      <c r="J2324">
        <v>14895</v>
      </c>
      <c r="K2324">
        <v>104.99999999999999</v>
      </c>
      <c r="L2324" t="s">
        <v>8</v>
      </c>
      <c r="M2324" t="s">
        <v>30</v>
      </c>
      <c r="N2324">
        <f>MONTH(Table1[[#This Row],[SaleDate]])</f>
        <v>9</v>
      </c>
      <c r="O2324" t="str">
        <f>TEXT(Table1[[#This Row],[SaleDate]],"MMM")</f>
        <v>Sep</v>
      </c>
    </row>
    <row r="2325" spans="1:15">
      <c r="A2325" s="1">
        <v>45190</v>
      </c>
      <c r="B2325" t="s">
        <v>23</v>
      </c>
      <c r="C2325" t="s">
        <v>19</v>
      </c>
      <c r="D2325">
        <v>1</v>
      </c>
      <c r="E2325" t="s">
        <v>9</v>
      </c>
      <c r="F2325">
        <v>60000</v>
      </c>
      <c r="G2325">
        <v>31000</v>
      </c>
      <c r="H2325">
        <f>Table1[[#This Row],[Qty]]*Table1[[#This Row],[SellingPrice]]</f>
        <v>60000</v>
      </c>
      <c r="I2325">
        <f>Table1[[#This Row],[Qty]]*Table1[[#This Row],[CostPrice]]</f>
        <v>31000</v>
      </c>
      <c r="J2325">
        <v>28797</v>
      </c>
      <c r="K2325">
        <v>202.99999999999997</v>
      </c>
      <c r="L2325" t="s">
        <v>8</v>
      </c>
      <c r="M2325" t="s">
        <v>29</v>
      </c>
      <c r="N2325">
        <f>MONTH(Table1[[#This Row],[SaleDate]])</f>
        <v>9</v>
      </c>
      <c r="O2325" t="str">
        <f>TEXT(Table1[[#This Row],[SaleDate]],"MMM")</f>
        <v>Sep</v>
      </c>
    </row>
    <row r="2326" spans="1:15">
      <c r="A2326" s="1">
        <v>45190</v>
      </c>
      <c r="B2326" t="s">
        <v>23</v>
      </c>
      <c r="C2326" t="s">
        <v>19</v>
      </c>
      <c r="D2326">
        <v>1</v>
      </c>
      <c r="E2326" t="s">
        <v>10</v>
      </c>
      <c r="F2326">
        <v>89000</v>
      </c>
      <c r="G2326">
        <v>65000</v>
      </c>
      <c r="H2326">
        <f>Table1[[#This Row],[Qty]]*Table1[[#This Row],[SellingPrice]]</f>
        <v>89000</v>
      </c>
      <c r="I2326">
        <f>Table1[[#This Row],[Qty]]*Table1[[#This Row],[CostPrice]]</f>
        <v>65000</v>
      </c>
      <c r="J2326">
        <v>23832</v>
      </c>
      <c r="K2326">
        <v>167.99999999999997</v>
      </c>
      <c r="L2326" t="s">
        <v>8</v>
      </c>
      <c r="M2326" t="s">
        <v>30</v>
      </c>
      <c r="N2326">
        <f>MONTH(Table1[[#This Row],[SaleDate]])</f>
        <v>9</v>
      </c>
      <c r="O2326" t="str">
        <f>TEXT(Table1[[#This Row],[SaleDate]],"MMM")</f>
        <v>Sep</v>
      </c>
    </row>
    <row r="2327" spans="1:15">
      <c r="A2327" s="1">
        <v>45190</v>
      </c>
      <c r="B2327" t="s">
        <v>26</v>
      </c>
      <c r="C2327" t="s">
        <v>20</v>
      </c>
      <c r="D2327">
        <v>1</v>
      </c>
      <c r="E2327" t="s">
        <v>7</v>
      </c>
      <c r="F2327">
        <v>33000</v>
      </c>
      <c r="G2327">
        <v>18000</v>
      </c>
      <c r="H2327">
        <f>Table1[[#This Row],[Qty]]*Table1[[#This Row],[SellingPrice]]</f>
        <v>33000</v>
      </c>
      <c r="I2327">
        <f>Table1[[#This Row],[Qty]]*Table1[[#This Row],[CostPrice]]</f>
        <v>18000</v>
      </c>
      <c r="J2327">
        <v>14895</v>
      </c>
      <c r="K2327">
        <v>104.99999999999999</v>
      </c>
      <c r="L2327" t="s">
        <v>11</v>
      </c>
      <c r="M2327" t="s">
        <v>28</v>
      </c>
      <c r="N2327">
        <f>MONTH(Table1[[#This Row],[SaleDate]])</f>
        <v>9</v>
      </c>
      <c r="O2327" t="str">
        <f>TEXT(Table1[[#This Row],[SaleDate]],"MMM")</f>
        <v>Sep</v>
      </c>
    </row>
    <row r="2328" spans="1:15">
      <c r="A2328" s="1">
        <v>45190</v>
      </c>
      <c r="B2328" t="s">
        <v>24</v>
      </c>
      <c r="C2328" t="s">
        <v>22</v>
      </c>
      <c r="D2328">
        <v>1</v>
      </c>
      <c r="E2328" t="s">
        <v>7</v>
      </c>
      <c r="F2328">
        <v>33000</v>
      </c>
      <c r="G2328">
        <v>18000</v>
      </c>
      <c r="H2328">
        <f>Table1[[#This Row],[Qty]]*Table1[[#This Row],[SellingPrice]]</f>
        <v>33000</v>
      </c>
      <c r="I2328">
        <f>Table1[[#This Row],[Qty]]*Table1[[#This Row],[CostPrice]]</f>
        <v>18000</v>
      </c>
      <c r="J2328">
        <v>14895</v>
      </c>
      <c r="K2328">
        <v>104.99999999999999</v>
      </c>
      <c r="L2328" t="s">
        <v>12</v>
      </c>
      <c r="M2328" t="s">
        <v>27</v>
      </c>
      <c r="N2328">
        <f>MONTH(Table1[[#This Row],[SaleDate]])</f>
        <v>9</v>
      </c>
      <c r="O2328" t="str">
        <f>TEXT(Table1[[#This Row],[SaleDate]],"MMM")</f>
        <v>Sep</v>
      </c>
    </row>
    <row r="2329" spans="1:15">
      <c r="A2329" s="1">
        <v>45190</v>
      </c>
      <c r="B2329" t="s">
        <v>24</v>
      </c>
      <c r="C2329" t="s">
        <v>22</v>
      </c>
      <c r="D2329">
        <v>1</v>
      </c>
      <c r="E2329" t="s">
        <v>9</v>
      </c>
      <c r="F2329">
        <v>60000</v>
      </c>
      <c r="G2329">
        <v>31000</v>
      </c>
      <c r="H2329">
        <f>Table1[[#This Row],[Qty]]*Table1[[#This Row],[SellingPrice]]</f>
        <v>60000</v>
      </c>
      <c r="I2329">
        <f>Table1[[#This Row],[Qty]]*Table1[[#This Row],[CostPrice]]</f>
        <v>31000</v>
      </c>
      <c r="J2329">
        <v>28797</v>
      </c>
      <c r="K2329">
        <v>202.99999999999997</v>
      </c>
      <c r="L2329" t="s">
        <v>12</v>
      </c>
      <c r="M2329" t="s">
        <v>30</v>
      </c>
      <c r="N2329">
        <f>MONTH(Table1[[#This Row],[SaleDate]])</f>
        <v>9</v>
      </c>
      <c r="O2329" t="str">
        <f>TEXT(Table1[[#This Row],[SaleDate]],"MMM")</f>
        <v>Sep</v>
      </c>
    </row>
    <row r="2330" spans="1:15">
      <c r="A2330" s="1">
        <v>45190</v>
      </c>
      <c r="B2330" t="s">
        <v>24</v>
      </c>
      <c r="C2330" t="s">
        <v>22</v>
      </c>
      <c r="D2330">
        <v>1</v>
      </c>
      <c r="E2330" t="s">
        <v>10</v>
      </c>
      <c r="F2330">
        <v>89000</v>
      </c>
      <c r="G2330">
        <v>65000</v>
      </c>
      <c r="H2330">
        <f>Table1[[#This Row],[Qty]]*Table1[[#This Row],[SellingPrice]]</f>
        <v>89000</v>
      </c>
      <c r="I2330">
        <f>Table1[[#This Row],[Qty]]*Table1[[#This Row],[CostPrice]]</f>
        <v>65000</v>
      </c>
      <c r="J2330">
        <v>23832</v>
      </c>
      <c r="K2330">
        <v>167.99999999999997</v>
      </c>
      <c r="L2330" t="s">
        <v>12</v>
      </c>
      <c r="M2330" t="s">
        <v>27</v>
      </c>
      <c r="N2330">
        <f>MONTH(Table1[[#This Row],[SaleDate]])</f>
        <v>9</v>
      </c>
      <c r="O2330" t="str">
        <f>TEXT(Table1[[#This Row],[SaleDate]],"MMM")</f>
        <v>Sep</v>
      </c>
    </row>
    <row r="2331" spans="1:15">
      <c r="A2331" s="1">
        <v>45190</v>
      </c>
      <c r="B2331" t="s">
        <v>25</v>
      </c>
      <c r="C2331" t="s">
        <v>21</v>
      </c>
      <c r="D2331">
        <v>1</v>
      </c>
      <c r="E2331" t="s">
        <v>7</v>
      </c>
      <c r="F2331">
        <v>33000</v>
      </c>
      <c r="G2331">
        <v>18000</v>
      </c>
      <c r="H2331">
        <f>Table1[[#This Row],[Qty]]*Table1[[#This Row],[SellingPrice]]</f>
        <v>33000</v>
      </c>
      <c r="I2331">
        <f>Table1[[#This Row],[Qty]]*Table1[[#This Row],[CostPrice]]</f>
        <v>18000</v>
      </c>
      <c r="J2331">
        <v>14895</v>
      </c>
      <c r="K2331">
        <v>104.99999999999999</v>
      </c>
      <c r="L2331" t="s">
        <v>13</v>
      </c>
      <c r="M2331" t="s">
        <v>30</v>
      </c>
      <c r="N2331">
        <f>MONTH(Table1[[#This Row],[SaleDate]])</f>
        <v>9</v>
      </c>
      <c r="O2331" t="str">
        <f>TEXT(Table1[[#This Row],[SaleDate]],"MMM")</f>
        <v>Sep</v>
      </c>
    </row>
    <row r="2332" spans="1:15">
      <c r="A2332" s="1">
        <v>45190</v>
      </c>
      <c r="B2332" t="s">
        <v>25</v>
      </c>
      <c r="C2332" t="s">
        <v>21</v>
      </c>
      <c r="D2332">
        <v>1</v>
      </c>
      <c r="E2332" t="s">
        <v>9</v>
      </c>
      <c r="F2332">
        <v>60000</v>
      </c>
      <c r="G2332">
        <v>31000</v>
      </c>
      <c r="H2332">
        <f>Table1[[#This Row],[Qty]]*Table1[[#This Row],[SellingPrice]]</f>
        <v>60000</v>
      </c>
      <c r="I2332">
        <f>Table1[[#This Row],[Qty]]*Table1[[#This Row],[CostPrice]]</f>
        <v>31000</v>
      </c>
      <c r="J2332">
        <v>28797</v>
      </c>
      <c r="K2332">
        <v>202.99999999999997</v>
      </c>
      <c r="L2332" t="s">
        <v>13</v>
      </c>
      <c r="M2332" t="s">
        <v>30</v>
      </c>
      <c r="N2332">
        <f>MONTH(Table1[[#This Row],[SaleDate]])</f>
        <v>9</v>
      </c>
      <c r="O2332" t="str">
        <f>TEXT(Table1[[#This Row],[SaleDate]],"MMM")</f>
        <v>Sep</v>
      </c>
    </row>
    <row r="2333" spans="1:15">
      <c r="A2333" s="1">
        <v>45190</v>
      </c>
      <c r="B2333" t="s">
        <v>25</v>
      </c>
      <c r="C2333" t="s">
        <v>21</v>
      </c>
      <c r="D2333">
        <v>1</v>
      </c>
      <c r="E2333" t="s">
        <v>10</v>
      </c>
      <c r="F2333">
        <v>89000</v>
      </c>
      <c r="G2333">
        <v>65000</v>
      </c>
      <c r="H2333">
        <f>Table1[[#This Row],[Qty]]*Table1[[#This Row],[SellingPrice]]</f>
        <v>89000</v>
      </c>
      <c r="I2333">
        <f>Table1[[#This Row],[Qty]]*Table1[[#This Row],[CostPrice]]</f>
        <v>65000</v>
      </c>
      <c r="J2333">
        <v>23832</v>
      </c>
      <c r="K2333">
        <v>167.99999999999997</v>
      </c>
      <c r="L2333" t="s">
        <v>13</v>
      </c>
      <c r="M2333" t="s">
        <v>30</v>
      </c>
      <c r="N2333">
        <f>MONTH(Table1[[#This Row],[SaleDate]])</f>
        <v>9</v>
      </c>
      <c r="O2333" t="str">
        <f>TEXT(Table1[[#This Row],[SaleDate]],"MMM")</f>
        <v>Sep</v>
      </c>
    </row>
    <row r="2334" spans="1:15">
      <c r="A2334" s="1">
        <v>45191</v>
      </c>
      <c r="B2334" t="s">
        <v>23</v>
      </c>
      <c r="C2334" t="s">
        <v>19</v>
      </c>
      <c r="D2334">
        <v>2</v>
      </c>
      <c r="E2334" t="s">
        <v>7</v>
      </c>
      <c r="F2334">
        <v>33000</v>
      </c>
      <c r="G2334">
        <v>18000</v>
      </c>
      <c r="H2334">
        <f>Table1[[#This Row],[Qty]]*Table1[[#This Row],[SellingPrice]]</f>
        <v>66000</v>
      </c>
      <c r="I2334">
        <f>Table1[[#This Row],[Qty]]*Table1[[#This Row],[CostPrice]]</f>
        <v>36000</v>
      </c>
      <c r="J2334">
        <v>29790</v>
      </c>
      <c r="K2334">
        <v>209.99999999999997</v>
      </c>
      <c r="L2334" t="s">
        <v>8</v>
      </c>
      <c r="M2334" t="s">
        <v>29</v>
      </c>
      <c r="N2334">
        <f>MONTH(Table1[[#This Row],[SaleDate]])</f>
        <v>9</v>
      </c>
      <c r="O2334" t="str">
        <f>TEXT(Table1[[#This Row],[SaleDate]],"MMM")</f>
        <v>Sep</v>
      </c>
    </row>
    <row r="2335" spans="1:15">
      <c r="A2335" s="1">
        <v>45191</v>
      </c>
      <c r="B2335" t="s">
        <v>23</v>
      </c>
      <c r="C2335" t="s">
        <v>19</v>
      </c>
      <c r="D2335">
        <v>2</v>
      </c>
      <c r="E2335" t="s">
        <v>9</v>
      </c>
      <c r="F2335">
        <v>60000</v>
      </c>
      <c r="G2335">
        <v>31000</v>
      </c>
      <c r="H2335">
        <f>Table1[[#This Row],[Qty]]*Table1[[#This Row],[SellingPrice]]</f>
        <v>120000</v>
      </c>
      <c r="I2335">
        <f>Table1[[#This Row],[Qty]]*Table1[[#This Row],[CostPrice]]</f>
        <v>62000</v>
      </c>
      <c r="J2335">
        <v>57594</v>
      </c>
      <c r="K2335">
        <v>405.99999999999994</v>
      </c>
      <c r="L2335" t="s">
        <v>8</v>
      </c>
      <c r="M2335" t="s">
        <v>28</v>
      </c>
      <c r="N2335">
        <f>MONTH(Table1[[#This Row],[SaleDate]])</f>
        <v>9</v>
      </c>
      <c r="O2335" t="str">
        <f>TEXT(Table1[[#This Row],[SaleDate]],"MMM")</f>
        <v>Sep</v>
      </c>
    </row>
    <row r="2336" spans="1:15">
      <c r="A2336" s="1">
        <v>45191</v>
      </c>
      <c r="B2336" t="s">
        <v>23</v>
      </c>
      <c r="C2336" t="s">
        <v>19</v>
      </c>
      <c r="D2336">
        <v>2</v>
      </c>
      <c r="E2336" t="s">
        <v>10</v>
      </c>
      <c r="F2336">
        <v>89000</v>
      </c>
      <c r="G2336">
        <v>65000</v>
      </c>
      <c r="H2336">
        <f>Table1[[#This Row],[Qty]]*Table1[[#This Row],[SellingPrice]]</f>
        <v>178000</v>
      </c>
      <c r="I2336">
        <f>Table1[[#This Row],[Qty]]*Table1[[#This Row],[CostPrice]]</f>
        <v>130000</v>
      </c>
      <c r="J2336">
        <v>47664</v>
      </c>
      <c r="K2336">
        <v>335.99999999999994</v>
      </c>
      <c r="L2336" t="s">
        <v>8</v>
      </c>
      <c r="M2336" t="s">
        <v>30</v>
      </c>
      <c r="N2336">
        <f>MONTH(Table1[[#This Row],[SaleDate]])</f>
        <v>9</v>
      </c>
      <c r="O2336" t="str">
        <f>TEXT(Table1[[#This Row],[SaleDate]],"MMM")</f>
        <v>Sep</v>
      </c>
    </row>
    <row r="2337" spans="1:15">
      <c r="A2337" s="1">
        <v>45191</v>
      </c>
      <c r="B2337" t="s">
        <v>26</v>
      </c>
      <c r="C2337" t="s">
        <v>20</v>
      </c>
      <c r="D2337">
        <v>2</v>
      </c>
      <c r="E2337" t="s">
        <v>7</v>
      </c>
      <c r="F2337">
        <v>33000</v>
      </c>
      <c r="G2337">
        <v>18000</v>
      </c>
      <c r="H2337">
        <f>Table1[[#This Row],[Qty]]*Table1[[#This Row],[SellingPrice]]</f>
        <v>66000</v>
      </c>
      <c r="I2337">
        <f>Table1[[#This Row],[Qty]]*Table1[[#This Row],[CostPrice]]</f>
        <v>36000</v>
      </c>
      <c r="J2337">
        <v>29790</v>
      </c>
      <c r="K2337">
        <v>209.99999999999997</v>
      </c>
      <c r="L2337" t="s">
        <v>11</v>
      </c>
      <c r="M2337" t="s">
        <v>30</v>
      </c>
      <c r="N2337">
        <f>MONTH(Table1[[#This Row],[SaleDate]])</f>
        <v>9</v>
      </c>
      <c r="O2337" t="str">
        <f>TEXT(Table1[[#This Row],[SaleDate]],"MMM")</f>
        <v>Sep</v>
      </c>
    </row>
    <row r="2338" spans="1:15">
      <c r="A2338" s="1">
        <v>45191</v>
      </c>
      <c r="B2338" t="s">
        <v>24</v>
      </c>
      <c r="C2338" t="s">
        <v>22</v>
      </c>
      <c r="D2338">
        <v>2</v>
      </c>
      <c r="E2338" t="s">
        <v>7</v>
      </c>
      <c r="F2338">
        <v>33000</v>
      </c>
      <c r="G2338">
        <v>18000</v>
      </c>
      <c r="H2338">
        <f>Table1[[#This Row],[Qty]]*Table1[[#This Row],[SellingPrice]]</f>
        <v>66000</v>
      </c>
      <c r="I2338">
        <f>Table1[[#This Row],[Qty]]*Table1[[#This Row],[CostPrice]]</f>
        <v>36000</v>
      </c>
      <c r="J2338">
        <v>29790</v>
      </c>
      <c r="K2338">
        <v>209.99999999999997</v>
      </c>
      <c r="L2338" t="s">
        <v>12</v>
      </c>
      <c r="M2338" t="s">
        <v>27</v>
      </c>
      <c r="N2338">
        <f>MONTH(Table1[[#This Row],[SaleDate]])</f>
        <v>9</v>
      </c>
      <c r="O2338" t="str">
        <f>TEXT(Table1[[#This Row],[SaleDate]],"MMM")</f>
        <v>Sep</v>
      </c>
    </row>
    <row r="2339" spans="1:15">
      <c r="A2339" s="1">
        <v>45191</v>
      </c>
      <c r="B2339" t="s">
        <v>24</v>
      </c>
      <c r="C2339" t="s">
        <v>22</v>
      </c>
      <c r="D2339">
        <v>2</v>
      </c>
      <c r="E2339" t="s">
        <v>9</v>
      </c>
      <c r="F2339">
        <v>60000</v>
      </c>
      <c r="G2339">
        <v>31000</v>
      </c>
      <c r="H2339">
        <f>Table1[[#This Row],[Qty]]*Table1[[#This Row],[SellingPrice]]</f>
        <v>120000</v>
      </c>
      <c r="I2339">
        <f>Table1[[#This Row],[Qty]]*Table1[[#This Row],[CostPrice]]</f>
        <v>62000</v>
      </c>
      <c r="J2339">
        <v>57594</v>
      </c>
      <c r="K2339">
        <v>405.99999999999994</v>
      </c>
      <c r="L2339" t="s">
        <v>12</v>
      </c>
      <c r="M2339" t="s">
        <v>30</v>
      </c>
      <c r="N2339">
        <f>MONTH(Table1[[#This Row],[SaleDate]])</f>
        <v>9</v>
      </c>
      <c r="O2339" t="str">
        <f>TEXT(Table1[[#This Row],[SaleDate]],"MMM")</f>
        <v>Sep</v>
      </c>
    </row>
    <row r="2340" spans="1:15">
      <c r="A2340" s="1">
        <v>45191</v>
      </c>
      <c r="B2340" t="s">
        <v>24</v>
      </c>
      <c r="C2340" t="s">
        <v>22</v>
      </c>
      <c r="D2340">
        <v>2</v>
      </c>
      <c r="E2340" t="s">
        <v>10</v>
      </c>
      <c r="F2340">
        <v>89000</v>
      </c>
      <c r="G2340">
        <v>65000</v>
      </c>
      <c r="H2340">
        <f>Table1[[#This Row],[Qty]]*Table1[[#This Row],[SellingPrice]]</f>
        <v>178000</v>
      </c>
      <c r="I2340">
        <f>Table1[[#This Row],[Qty]]*Table1[[#This Row],[CostPrice]]</f>
        <v>130000</v>
      </c>
      <c r="J2340">
        <v>47664</v>
      </c>
      <c r="K2340">
        <v>335.99999999999994</v>
      </c>
      <c r="L2340" t="s">
        <v>12</v>
      </c>
      <c r="M2340" t="s">
        <v>29</v>
      </c>
      <c r="N2340">
        <f>MONTH(Table1[[#This Row],[SaleDate]])</f>
        <v>9</v>
      </c>
      <c r="O2340" t="str">
        <f>TEXT(Table1[[#This Row],[SaleDate]],"MMM")</f>
        <v>Sep</v>
      </c>
    </row>
    <row r="2341" spans="1:15">
      <c r="A2341" s="1">
        <v>45191</v>
      </c>
      <c r="B2341" t="s">
        <v>25</v>
      </c>
      <c r="C2341" t="s">
        <v>21</v>
      </c>
      <c r="D2341">
        <v>2</v>
      </c>
      <c r="E2341" t="s">
        <v>7</v>
      </c>
      <c r="F2341">
        <v>33000</v>
      </c>
      <c r="G2341">
        <v>18000</v>
      </c>
      <c r="H2341">
        <f>Table1[[#This Row],[Qty]]*Table1[[#This Row],[SellingPrice]]</f>
        <v>66000</v>
      </c>
      <c r="I2341">
        <f>Table1[[#This Row],[Qty]]*Table1[[#This Row],[CostPrice]]</f>
        <v>36000</v>
      </c>
      <c r="J2341">
        <v>29790</v>
      </c>
      <c r="K2341">
        <v>209.99999999999997</v>
      </c>
      <c r="L2341" t="s">
        <v>13</v>
      </c>
      <c r="M2341" t="s">
        <v>30</v>
      </c>
      <c r="N2341">
        <f>MONTH(Table1[[#This Row],[SaleDate]])</f>
        <v>9</v>
      </c>
      <c r="O2341" t="str">
        <f>TEXT(Table1[[#This Row],[SaleDate]],"MMM")</f>
        <v>Sep</v>
      </c>
    </row>
    <row r="2342" spans="1:15">
      <c r="A2342" s="1">
        <v>45191</v>
      </c>
      <c r="B2342" t="s">
        <v>25</v>
      </c>
      <c r="C2342" t="s">
        <v>21</v>
      </c>
      <c r="D2342">
        <v>2</v>
      </c>
      <c r="E2342" t="s">
        <v>9</v>
      </c>
      <c r="F2342">
        <v>60000</v>
      </c>
      <c r="G2342">
        <v>31000</v>
      </c>
      <c r="H2342">
        <f>Table1[[#This Row],[Qty]]*Table1[[#This Row],[SellingPrice]]</f>
        <v>120000</v>
      </c>
      <c r="I2342">
        <f>Table1[[#This Row],[Qty]]*Table1[[#This Row],[CostPrice]]</f>
        <v>62000</v>
      </c>
      <c r="J2342">
        <v>57594</v>
      </c>
      <c r="K2342">
        <v>405.99999999999994</v>
      </c>
      <c r="L2342" t="s">
        <v>13</v>
      </c>
      <c r="M2342" t="s">
        <v>28</v>
      </c>
      <c r="N2342">
        <f>MONTH(Table1[[#This Row],[SaleDate]])</f>
        <v>9</v>
      </c>
      <c r="O2342" t="str">
        <f>TEXT(Table1[[#This Row],[SaleDate]],"MMM")</f>
        <v>Sep</v>
      </c>
    </row>
    <row r="2343" spans="1:15">
      <c r="A2343" s="1">
        <v>45191</v>
      </c>
      <c r="B2343" t="s">
        <v>25</v>
      </c>
      <c r="C2343" t="s">
        <v>21</v>
      </c>
      <c r="D2343">
        <v>2</v>
      </c>
      <c r="E2343" t="s">
        <v>10</v>
      </c>
      <c r="F2343">
        <v>89000</v>
      </c>
      <c r="G2343">
        <v>65000</v>
      </c>
      <c r="H2343">
        <f>Table1[[#This Row],[Qty]]*Table1[[#This Row],[SellingPrice]]</f>
        <v>178000</v>
      </c>
      <c r="I2343">
        <f>Table1[[#This Row],[Qty]]*Table1[[#This Row],[CostPrice]]</f>
        <v>130000</v>
      </c>
      <c r="J2343">
        <v>47664</v>
      </c>
      <c r="K2343">
        <v>335.99999999999994</v>
      </c>
      <c r="L2343" t="s">
        <v>13</v>
      </c>
      <c r="M2343" t="s">
        <v>27</v>
      </c>
      <c r="N2343">
        <f>MONTH(Table1[[#This Row],[SaleDate]])</f>
        <v>9</v>
      </c>
      <c r="O2343" t="str">
        <f>TEXT(Table1[[#This Row],[SaleDate]],"MMM")</f>
        <v>Sep</v>
      </c>
    </row>
    <row r="2344" spans="1:15">
      <c r="A2344" s="1">
        <v>45192</v>
      </c>
      <c r="B2344" t="s">
        <v>23</v>
      </c>
      <c r="C2344" t="s">
        <v>19</v>
      </c>
      <c r="D2344">
        <v>1</v>
      </c>
      <c r="E2344" t="s">
        <v>7</v>
      </c>
      <c r="F2344">
        <v>33000</v>
      </c>
      <c r="G2344">
        <v>18000</v>
      </c>
      <c r="H2344">
        <f>Table1[[#This Row],[Qty]]*Table1[[#This Row],[SellingPrice]]</f>
        <v>33000</v>
      </c>
      <c r="I2344">
        <f>Table1[[#This Row],[Qty]]*Table1[[#This Row],[CostPrice]]</f>
        <v>18000</v>
      </c>
      <c r="J2344">
        <v>14895</v>
      </c>
      <c r="K2344">
        <v>104.99999999999999</v>
      </c>
      <c r="L2344" t="s">
        <v>8</v>
      </c>
      <c r="M2344" t="s">
        <v>28</v>
      </c>
      <c r="N2344">
        <f>MONTH(Table1[[#This Row],[SaleDate]])</f>
        <v>9</v>
      </c>
      <c r="O2344" t="str">
        <f>TEXT(Table1[[#This Row],[SaleDate]],"MMM")</f>
        <v>Sep</v>
      </c>
    </row>
    <row r="2345" spans="1:15">
      <c r="A2345" s="1">
        <v>45192</v>
      </c>
      <c r="B2345" t="s">
        <v>23</v>
      </c>
      <c r="C2345" t="s">
        <v>19</v>
      </c>
      <c r="D2345">
        <v>1</v>
      </c>
      <c r="E2345" t="s">
        <v>9</v>
      </c>
      <c r="F2345">
        <v>60000</v>
      </c>
      <c r="G2345">
        <v>31000</v>
      </c>
      <c r="H2345">
        <f>Table1[[#This Row],[Qty]]*Table1[[#This Row],[SellingPrice]]</f>
        <v>60000</v>
      </c>
      <c r="I2345">
        <f>Table1[[#This Row],[Qty]]*Table1[[#This Row],[CostPrice]]</f>
        <v>31000</v>
      </c>
      <c r="J2345">
        <v>28797</v>
      </c>
      <c r="K2345">
        <v>202.99999999999997</v>
      </c>
      <c r="L2345" t="s">
        <v>8</v>
      </c>
      <c r="M2345" t="s">
        <v>30</v>
      </c>
      <c r="N2345">
        <f>MONTH(Table1[[#This Row],[SaleDate]])</f>
        <v>9</v>
      </c>
      <c r="O2345" t="str">
        <f>TEXT(Table1[[#This Row],[SaleDate]],"MMM")</f>
        <v>Sep</v>
      </c>
    </row>
    <row r="2346" spans="1:15">
      <c r="A2346" s="1">
        <v>45192</v>
      </c>
      <c r="B2346" t="s">
        <v>23</v>
      </c>
      <c r="C2346" t="s">
        <v>19</v>
      </c>
      <c r="D2346">
        <v>1</v>
      </c>
      <c r="E2346" t="s">
        <v>10</v>
      </c>
      <c r="F2346">
        <v>89000</v>
      </c>
      <c r="G2346">
        <v>65000</v>
      </c>
      <c r="H2346">
        <f>Table1[[#This Row],[Qty]]*Table1[[#This Row],[SellingPrice]]</f>
        <v>89000</v>
      </c>
      <c r="I2346">
        <f>Table1[[#This Row],[Qty]]*Table1[[#This Row],[CostPrice]]</f>
        <v>65000</v>
      </c>
      <c r="J2346">
        <v>23832</v>
      </c>
      <c r="K2346">
        <v>167.99999999999997</v>
      </c>
      <c r="L2346" t="s">
        <v>8</v>
      </c>
      <c r="M2346" t="s">
        <v>27</v>
      </c>
      <c r="N2346">
        <f>MONTH(Table1[[#This Row],[SaleDate]])</f>
        <v>9</v>
      </c>
      <c r="O2346" t="str">
        <f>TEXT(Table1[[#This Row],[SaleDate]],"MMM")</f>
        <v>Sep</v>
      </c>
    </row>
    <row r="2347" spans="1:15">
      <c r="A2347" s="1">
        <v>45192</v>
      </c>
      <c r="B2347" t="s">
        <v>26</v>
      </c>
      <c r="C2347" t="s">
        <v>20</v>
      </c>
      <c r="D2347">
        <v>1</v>
      </c>
      <c r="E2347" t="s">
        <v>7</v>
      </c>
      <c r="F2347">
        <v>33000</v>
      </c>
      <c r="G2347">
        <v>18000</v>
      </c>
      <c r="H2347">
        <f>Table1[[#This Row],[Qty]]*Table1[[#This Row],[SellingPrice]]</f>
        <v>33000</v>
      </c>
      <c r="I2347">
        <f>Table1[[#This Row],[Qty]]*Table1[[#This Row],[CostPrice]]</f>
        <v>18000</v>
      </c>
      <c r="J2347">
        <v>14895</v>
      </c>
      <c r="K2347">
        <v>104.99999999999999</v>
      </c>
      <c r="L2347" t="s">
        <v>11</v>
      </c>
      <c r="M2347" t="s">
        <v>29</v>
      </c>
      <c r="N2347">
        <f>MONTH(Table1[[#This Row],[SaleDate]])</f>
        <v>9</v>
      </c>
      <c r="O2347" t="str">
        <f>TEXT(Table1[[#This Row],[SaleDate]],"MMM")</f>
        <v>Sep</v>
      </c>
    </row>
    <row r="2348" spans="1:15">
      <c r="A2348" s="1">
        <v>45192</v>
      </c>
      <c r="B2348" t="s">
        <v>24</v>
      </c>
      <c r="C2348" t="s">
        <v>22</v>
      </c>
      <c r="D2348">
        <v>1</v>
      </c>
      <c r="E2348" t="s">
        <v>7</v>
      </c>
      <c r="F2348">
        <v>33000</v>
      </c>
      <c r="G2348">
        <v>18000</v>
      </c>
      <c r="H2348">
        <f>Table1[[#This Row],[Qty]]*Table1[[#This Row],[SellingPrice]]</f>
        <v>33000</v>
      </c>
      <c r="I2348">
        <f>Table1[[#This Row],[Qty]]*Table1[[#This Row],[CostPrice]]</f>
        <v>18000</v>
      </c>
      <c r="J2348">
        <v>14895</v>
      </c>
      <c r="K2348">
        <v>104.99999999999999</v>
      </c>
      <c r="L2348" t="s">
        <v>12</v>
      </c>
      <c r="M2348" t="s">
        <v>30</v>
      </c>
      <c r="N2348">
        <f>MONTH(Table1[[#This Row],[SaleDate]])</f>
        <v>9</v>
      </c>
      <c r="O2348" t="str">
        <f>TEXT(Table1[[#This Row],[SaleDate]],"MMM")</f>
        <v>Sep</v>
      </c>
    </row>
    <row r="2349" spans="1:15">
      <c r="A2349" s="1">
        <v>45192</v>
      </c>
      <c r="B2349" t="s">
        <v>24</v>
      </c>
      <c r="C2349" t="s">
        <v>22</v>
      </c>
      <c r="D2349">
        <v>1</v>
      </c>
      <c r="E2349" t="s">
        <v>9</v>
      </c>
      <c r="F2349">
        <v>60000</v>
      </c>
      <c r="G2349">
        <v>31000</v>
      </c>
      <c r="H2349">
        <f>Table1[[#This Row],[Qty]]*Table1[[#This Row],[SellingPrice]]</f>
        <v>60000</v>
      </c>
      <c r="I2349">
        <f>Table1[[#This Row],[Qty]]*Table1[[#This Row],[CostPrice]]</f>
        <v>31000</v>
      </c>
      <c r="J2349">
        <v>28797</v>
      </c>
      <c r="K2349">
        <v>202.99999999999997</v>
      </c>
      <c r="L2349" t="s">
        <v>12</v>
      </c>
      <c r="M2349" t="s">
        <v>29</v>
      </c>
      <c r="N2349">
        <f>MONTH(Table1[[#This Row],[SaleDate]])</f>
        <v>9</v>
      </c>
      <c r="O2349" t="str">
        <f>TEXT(Table1[[#This Row],[SaleDate]],"MMM")</f>
        <v>Sep</v>
      </c>
    </row>
    <row r="2350" spans="1:15">
      <c r="A2350" s="1">
        <v>45192</v>
      </c>
      <c r="B2350" t="s">
        <v>24</v>
      </c>
      <c r="C2350" t="s">
        <v>22</v>
      </c>
      <c r="D2350">
        <v>1</v>
      </c>
      <c r="E2350" t="s">
        <v>10</v>
      </c>
      <c r="F2350">
        <v>89000</v>
      </c>
      <c r="G2350">
        <v>65000</v>
      </c>
      <c r="H2350">
        <f>Table1[[#This Row],[Qty]]*Table1[[#This Row],[SellingPrice]]</f>
        <v>89000</v>
      </c>
      <c r="I2350">
        <f>Table1[[#This Row],[Qty]]*Table1[[#This Row],[CostPrice]]</f>
        <v>65000</v>
      </c>
      <c r="J2350">
        <v>23832</v>
      </c>
      <c r="K2350">
        <v>167.99999999999997</v>
      </c>
      <c r="L2350" t="s">
        <v>12</v>
      </c>
      <c r="M2350" t="s">
        <v>29</v>
      </c>
      <c r="N2350">
        <f>MONTH(Table1[[#This Row],[SaleDate]])</f>
        <v>9</v>
      </c>
      <c r="O2350" t="str">
        <f>TEXT(Table1[[#This Row],[SaleDate]],"MMM")</f>
        <v>Sep</v>
      </c>
    </row>
    <row r="2351" spans="1:15">
      <c r="A2351" s="1">
        <v>45192</v>
      </c>
      <c r="B2351" t="s">
        <v>25</v>
      </c>
      <c r="C2351" t="s">
        <v>21</v>
      </c>
      <c r="D2351">
        <v>1</v>
      </c>
      <c r="E2351" t="s">
        <v>7</v>
      </c>
      <c r="F2351">
        <v>33000</v>
      </c>
      <c r="G2351">
        <v>18000</v>
      </c>
      <c r="H2351">
        <f>Table1[[#This Row],[Qty]]*Table1[[#This Row],[SellingPrice]]</f>
        <v>33000</v>
      </c>
      <c r="I2351">
        <f>Table1[[#This Row],[Qty]]*Table1[[#This Row],[CostPrice]]</f>
        <v>18000</v>
      </c>
      <c r="J2351">
        <v>14895</v>
      </c>
      <c r="K2351">
        <v>104.99999999999999</v>
      </c>
      <c r="L2351" t="s">
        <v>13</v>
      </c>
      <c r="M2351" t="s">
        <v>30</v>
      </c>
      <c r="N2351">
        <f>MONTH(Table1[[#This Row],[SaleDate]])</f>
        <v>9</v>
      </c>
      <c r="O2351" t="str">
        <f>TEXT(Table1[[#This Row],[SaleDate]],"MMM")</f>
        <v>Sep</v>
      </c>
    </row>
    <row r="2352" spans="1:15">
      <c r="A2352" s="1">
        <v>45192</v>
      </c>
      <c r="B2352" t="s">
        <v>25</v>
      </c>
      <c r="C2352" t="s">
        <v>21</v>
      </c>
      <c r="D2352">
        <v>1</v>
      </c>
      <c r="E2352" t="s">
        <v>9</v>
      </c>
      <c r="F2352">
        <v>60000</v>
      </c>
      <c r="G2352">
        <v>31000</v>
      </c>
      <c r="H2352">
        <f>Table1[[#This Row],[Qty]]*Table1[[#This Row],[SellingPrice]]</f>
        <v>60000</v>
      </c>
      <c r="I2352">
        <f>Table1[[#This Row],[Qty]]*Table1[[#This Row],[CostPrice]]</f>
        <v>31000</v>
      </c>
      <c r="J2352">
        <v>28797</v>
      </c>
      <c r="K2352">
        <v>202.99999999999997</v>
      </c>
      <c r="L2352" t="s">
        <v>13</v>
      </c>
      <c r="M2352" t="s">
        <v>27</v>
      </c>
      <c r="N2352">
        <f>MONTH(Table1[[#This Row],[SaleDate]])</f>
        <v>9</v>
      </c>
      <c r="O2352" t="str">
        <f>TEXT(Table1[[#This Row],[SaleDate]],"MMM")</f>
        <v>Sep</v>
      </c>
    </row>
    <row r="2353" spans="1:15">
      <c r="A2353" s="1">
        <v>45192</v>
      </c>
      <c r="B2353" t="s">
        <v>25</v>
      </c>
      <c r="C2353" t="s">
        <v>21</v>
      </c>
      <c r="D2353">
        <v>1</v>
      </c>
      <c r="E2353" t="s">
        <v>10</v>
      </c>
      <c r="F2353">
        <v>89000</v>
      </c>
      <c r="G2353">
        <v>65000</v>
      </c>
      <c r="H2353">
        <f>Table1[[#This Row],[Qty]]*Table1[[#This Row],[SellingPrice]]</f>
        <v>89000</v>
      </c>
      <c r="I2353">
        <f>Table1[[#This Row],[Qty]]*Table1[[#This Row],[CostPrice]]</f>
        <v>65000</v>
      </c>
      <c r="J2353">
        <v>23832</v>
      </c>
      <c r="K2353">
        <v>167.99999999999997</v>
      </c>
      <c r="L2353" t="s">
        <v>13</v>
      </c>
      <c r="M2353" t="s">
        <v>30</v>
      </c>
      <c r="N2353">
        <f>MONTH(Table1[[#This Row],[SaleDate]])</f>
        <v>9</v>
      </c>
      <c r="O2353" t="str">
        <f>TEXT(Table1[[#This Row],[SaleDate]],"MMM")</f>
        <v>Sep</v>
      </c>
    </row>
    <row r="2354" spans="1:15">
      <c r="A2354" s="1">
        <v>45193</v>
      </c>
      <c r="B2354" t="s">
        <v>23</v>
      </c>
      <c r="C2354" t="s">
        <v>19</v>
      </c>
      <c r="D2354">
        <v>1</v>
      </c>
      <c r="E2354" t="s">
        <v>7</v>
      </c>
      <c r="F2354">
        <v>33000</v>
      </c>
      <c r="G2354">
        <v>18000</v>
      </c>
      <c r="H2354">
        <f>Table1[[#This Row],[Qty]]*Table1[[#This Row],[SellingPrice]]</f>
        <v>33000</v>
      </c>
      <c r="I2354">
        <f>Table1[[#This Row],[Qty]]*Table1[[#This Row],[CostPrice]]</f>
        <v>18000</v>
      </c>
      <c r="J2354">
        <v>14895</v>
      </c>
      <c r="K2354">
        <v>104.99999999999999</v>
      </c>
      <c r="L2354" t="s">
        <v>8</v>
      </c>
      <c r="M2354" t="s">
        <v>30</v>
      </c>
      <c r="N2354">
        <f>MONTH(Table1[[#This Row],[SaleDate]])</f>
        <v>9</v>
      </c>
      <c r="O2354" t="str">
        <f>TEXT(Table1[[#This Row],[SaleDate]],"MMM")</f>
        <v>Sep</v>
      </c>
    </row>
    <row r="2355" spans="1:15">
      <c r="A2355" s="1">
        <v>45193</v>
      </c>
      <c r="B2355" t="s">
        <v>23</v>
      </c>
      <c r="C2355" t="s">
        <v>19</v>
      </c>
      <c r="D2355">
        <v>1</v>
      </c>
      <c r="E2355" t="s">
        <v>9</v>
      </c>
      <c r="F2355">
        <v>60000</v>
      </c>
      <c r="G2355">
        <v>31000</v>
      </c>
      <c r="H2355">
        <f>Table1[[#This Row],[Qty]]*Table1[[#This Row],[SellingPrice]]</f>
        <v>60000</v>
      </c>
      <c r="I2355">
        <f>Table1[[#This Row],[Qty]]*Table1[[#This Row],[CostPrice]]</f>
        <v>31000</v>
      </c>
      <c r="J2355">
        <v>28797</v>
      </c>
      <c r="K2355">
        <v>202.99999999999997</v>
      </c>
      <c r="L2355" t="s">
        <v>8</v>
      </c>
      <c r="M2355" t="s">
        <v>29</v>
      </c>
      <c r="N2355">
        <f>MONTH(Table1[[#This Row],[SaleDate]])</f>
        <v>9</v>
      </c>
      <c r="O2355" t="str">
        <f>TEXT(Table1[[#This Row],[SaleDate]],"MMM")</f>
        <v>Sep</v>
      </c>
    </row>
    <row r="2356" spans="1:15">
      <c r="A2356" s="1">
        <v>45193</v>
      </c>
      <c r="B2356" t="s">
        <v>23</v>
      </c>
      <c r="C2356" t="s">
        <v>19</v>
      </c>
      <c r="D2356">
        <v>1</v>
      </c>
      <c r="E2356" t="s">
        <v>10</v>
      </c>
      <c r="F2356">
        <v>89000</v>
      </c>
      <c r="G2356">
        <v>65000</v>
      </c>
      <c r="H2356">
        <f>Table1[[#This Row],[Qty]]*Table1[[#This Row],[SellingPrice]]</f>
        <v>89000</v>
      </c>
      <c r="I2356">
        <f>Table1[[#This Row],[Qty]]*Table1[[#This Row],[CostPrice]]</f>
        <v>65000</v>
      </c>
      <c r="J2356">
        <v>23832</v>
      </c>
      <c r="K2356">
        <v>167.99999999999997</v>
      </c>
      <c r="L2356" t="s">
        <v>8</v>
      </c>
      <c r="M2356" t="s">
        <v>27</v>
      </c>
      <c r="N2356">
        <f>MONTH(Table1[[#This Row],[SaleDate]])</f>
        <v>9</v>
      </c>
      <c r="O2356" t="str">
        <f>TEXT(Table1[[#This Row],[SaleDate]],"MMM")</f>
        <v>Sep</v>
      </c>
    </row>
    <row r="2357" spans="1:15">
      <c r="A2357" s="1">
        <v>45193</v>
      </c>
      <c r="B2357" t="s">
        <v>26</v>
      </c>
      <c r="C2357" t="s">
        <v>20</v>
      </c>
      <c r="D2357">
        <v>1</v>
      </c>
      <c r="E2357" t="s">
        <v>7</v>
      </c>
      <c r="F2357">
        <v>33000</v>
      </c>
      <c r="G2357">
        <v>18000</v>
      </c>
      <c r="H2357">
        <f>Table1[[#This Row],[Qty]]*Table1[[#This Row],[SellingPrice]]</f>
        <v>33000</v>
      </c>
      <c r="I2357">
        <f>Table1[[#This Row],[Qty]]*Table1[[#This Row],[CostPrice]]</f>
        <v>18000</v>
      </c>
      <c r="J2357">
        <v>14895</v>
      </c>
      <c r="K2357">
        <v>104.99999999999999</v>
      </c>
      <c r="L2357" t="s">
        <v>11</v>
      </c>
      <c r="M2357" t="s">
        <v>29</v>
      </c>
      <c r="N2357">
        <f>MONTH(Table1[[#This Row],[SaleDate]])</f>
        <v>9</v>
      </c>
      <c r="O2357" t="str">
        <f>TEXT(Table1[[#This Row],[SaleDate]],"MMM")</f>
        <v>Sep</v>
      </c>
    </row>
    <row r="2358" spans="1:15">
      <c r="A2358" s="1">
        <v>45193</v>
      </c>
      <c r="B2358" t="s">
        <v>24</v>
      </c>
      <c r="C2358" t="s">
        <v>22</v>
      </c>
      <c r="D2358">
        <v>1</v>
      </c>
      <c r="E2358" t="s">
        <v>7</v>
      </c>
      <c r="F2358">
        <v>33000</v>
      </c>
      <c r="G2358">
        <v>18000</v>
      </c>
      <c r="H2358">
        <f>Table1[[#This Row],[Qty]]*Table1[[#This Row],[SellingPrice]]</f>
        <v>33000</v>
      </c>
      <c r="I2358">
        <f>Table1[[#This Row],[Qty]]*Table1[[#This Row],[CostPrice]]</f>
        <v>18000</v>
      </c>
      <c r="J2358">
        <v>14895</v>
      </c>
      <c r="K2358">
        <v>104.99999999999999</v>
      </c>
      <c r="L2358" t="s">
        <v>12</v>
      </c>
      <c r="M2358" t="s">
        <v>27</v>
      </c>
      <c r="N2358">
        <f>MONTH(Table1[[#This Row],[SaleDate]])</f>
        <v>9</v>
      </c>
      <c r="O2358" t="str">
        <f>TEXT(Table1[[#This Row],[SaleDate]],"MMM")</f>
        <v>Sep</v>
      </c>
    </row>
    <row r="2359" spans="1:15">
      <c r="A2359" s="1">
        <v>45193</v>
      </c>
      <c r="B2359" t="s">
        <v>24</v>
      </c>
      <c r="C2359" t="s">
        <v>22</v>
      </c>
      <c r="D2359">
        <v>1</v>
      </c>
      <c r="E2359" t="s">
        <v>9</v>
      </c>
      <c r="F2359">
        <v>60000</v>
      </c>
      <c r="G2359">
        <v>31000</v>
      </c>
      <c r="H2359">
        <f>Table1[[#This Row],[Qty]]*Table1[[#This Row],[SellingPrice]]</f>
        <v>60000</v>
      </c>
      <c r="I2359">
        <f>Table1[[#This Row],[Qty]]*Table1[[#This Row],[CostPrice]]</f>
        <v>31000</v>
      </c>
      <c r="J2359">
        <v>28797</v>
      </c>
      <c r="K2359">
        <v>202.99999999999997</v>
      </c>
      <c r="L2359" t="s">
        <v>12</v>
      </c>
      <c r="M2359" t="s">
        <v>27</v>
      </c>
      <c r="N2359">
        <f>MONTH(Table1[[#This Row],[SaleDate]])</f>
        <v>9</v>
      </c>
      <c r="O2359" t="str">
        <f>TEXT(Table1[[#This Row],[SaleDate]],"MMM")</f>
        <v>Sep</v>
      </c>
    </row>
    <row r="2360" spans="1:15">
      <c r="A2360" s="1">
        <v>45193</v>
      </c>
      <c r="B2360" t="s">
        <v>24</v>
      </c>
      <c r="C2360" t="s">
        <v>22</v>
      </c>
      <c r="D2360">
        <v>1</v>
      </c>
      <c r="E2360" t="s">
        <v>10</v>
      </c>
      <c r="F2360">
        <v>89000</v>
      </c>
      <c r="G2360">
        <v>65000</v>
      </c>
      <c r="H2360">
        <f>Table1[[#This Row],[Qty]]*Table1[[#This Row],[SellingPrice]]</f>
        <v>89000</v>
      </c>
      <c r="I2360">
        <f>Table1[[#This Row],[Qty]]*Table1[[#This Row],[CostPrice]]</f>
        <v>65000</v>
      </c>
      <c r="J2360">
        <v>23832</v>
      </c>
      <c r="K2360">
        <v>167.99999999999997</v>
      </c>
      <c r="L2360" t="s">
        <v>12</v>
      </c>
      <c r="M2360" t="s">
        <v>27</v>
      </c>
      <c r="N2360">
        <f>MONTH(Table1[[#This Row],[SaleDate]])</f>
        <v>9</v>
      </c>
      <c r="O2360" t="str">
        <f>TEXT(Table1[[#This Row],[SaleDate]],"MMM")</f>
        <v>Sep</v>
      </c>
    </row>
    <row r="2361" spans="1:15">
      <c r="A2361" s="1">
        <v>45193</v>
      </c>
      <c r="B2361" t="s">
        <v>25</v>
      </c>
      <c r="C2361" t="s">
        <v>21</v>
      </c>
      <c r="D2361">
        <v>1</v>
      </c>
      <c r="E2361" t="s">
        <v>7</v>
      </c>
      <c r="F2361">
        <v>33000</v>
      </c>
      <c r="G2361">
        <v>18000</v>
      </c>
      <c r="H2361">
        <f>Table1[[#This Row],[Qty]]*Table1[[#This Row],[SellingPrice]]</f>
        <v>33000</v>
      </c>
      <c r="I2361">
        <f>Table1[[#This Row],[Qty]]*Table1[[#This Row],[CostPrice]]</f>
        <v>18000</v>
      </c>
      <c r="J2361">
        <v>14895</v>
      </c>
      <c r="K2361">
        <v>104.99999999999999</v>
      </c>
      <c r="L2361" t="s">
        <v>13</v>
      </c>
      <c r="M2361" t="s">
        <v>30</v>
      </c>
      <c r="N2361">
        <f>MONTH(Table1[[#This Row],[SaleDate]])</f>
        <v>9</v>
      </c>
      <c r="O2361" t="str">
        <f>TEXT(Table1[[#This Row],[SaleDate]],"MMM")</f>
        <v>Sep</v>
      </c>
    </row>
    <row r="2362" spans="1:15">
      <c r="A2362" s="1">
        <v>45193</v>
      </c>
      <c r="B2362" t="s">
        <v>25</v>
      </c>
      <c r="C2362" t="s">
        <v>21</v>
      </c>
      <c r="D2362">
        <v>1</v>
      </c>
      <c r="E2362" t="s">
        <v>9</v>
      </c>
      <c r="F2362">
        <v>60000</v>
      </c>
      <c r="G2362">
        <v>31000</v>
      </c>
      <c r="H2362">
        <f>Table1[[#This Row],[Qty]]*Table1[[#This Row],[SellingPrice]]</f>
        <v>60000</v>
      </c>
      <c r="I2362">
        <f>Table1[[#This Row],[Qty]]*Table1[[#This Row],[CostPrice]]</f>
        <v>31000</v>
      </c>
      <c r="J2362">
        <v>28797</v>
      </c>
      <c r="K2362">
        <v>202.99999999999997</v>
      </c>
      <c r="L2362" t="s">
        <v>13</v>
      </c>
      <c r="M2362" t="s">
        <v>30</v>
      </c>
      <c r="N2362">
        <f>MONTH(Table1[[#This Row],[SaleDate]])</f>
        <v>9</v>
      </c>
      <c r="O2362" t="str">
        <f>TEXT(Table1[[#This Row],[SaleDate]],"MMM")</f>
        <v>Sep</v>
      </c>
    </row>
    <row r="2363" spans="1:15">
      <c r="A2363" s="1">
        <v>45193</v>
      </c>
      <c r="B2363" t="s">
        <v>25</v>
      </c>
      <c r="C2363" t="s">
        <v>21</v>
      </c>
      <c r="D2363">
        <v>1</v>
      </c>
      <c r="E2363" t="s">
        <v>10</v>
      </c>
      <c r="F2363">
        <v>89000</v>
      </c>
      <c r="G2363">
        <v>65000</v>
      </c>
      <c r="H2363">
        <f>Table1[[#This Row],[Qty]]*Table1[[#This Row],[SellingPrice]]</f>
        <v>89000</v>
      </c>
      <c r="I2363">
        <f>Table1[[#This Row],[Qty]]*Table1[[#This Row],[CostPrice]]</f>
        <v>65000</v>
      </c>
      <c r="J2363">
        <v>23832</v>
      </c>
      <c r="K2363">
        <v>167.99999999999997</v>
      </c>
      <c r="L2363" t="s">
        <v>13</v>
      </c>
      <c r="M2363" t="s">
        <v>29</v>
      </c>
      <c r="N2363">
        <f>MONTH(Table1[[#This Row],[SaleDate]])</f>
        <v>9</v>
      </c>
      <c r="O2363" t="str">
        <f>TEXT(Table1[[#This Row],[SaleDate]],"MMM")</f>
        <v>Sep</v>
      </c>
    </row>
    <row r="2364" spans="1:15">
      <c r="A2364" s="1">
        <v>45194</v>
      </c>
      <c r="B2364" t="s">
        <v>23</v>
      </c>
      <c r="C2364" t="s">
        <v>19</v>
      </c>
      <c r="D2364">
        <v>1</v>
      </c>
      <c r="E2364" t="s">
        <v>7</v>
      </c>
      <c r="F2364">
        <v>33000</v>
      </c>
      <c r="G2364">
        <v>18000</v>
      </c>
      <c r="H2364">
        <f>Table1[[#This Row],[Qty]]*Table1[[#This Row],[SellingPrice]]</f>
        <v>33000</v>
      </c>
      <c r="I2364">
        <f>Table1[[#This Row],[Qty]]*Table1[[#This Row],[CostPrice]]</f>
        <v>18000</v>
      </c>
      <c r="J2364">
        <v>14895</v>
      </c>
      <c r="K2364">
        <v>104.99999999999999</v>
      </c>
      <c r="L2364" t="s">
        <v>8</v>
      </c>
      <c r="M2364" t="s">
        <v>30</v>
      </c>
      <c r="N2364">
        <f>MONTH(Table1[[#This Row],[SaleDate]])</f>
        <v>9</v>
      </c>
      <c r="O2364" t="str">
        <f>TEXT(Table1[[#This Row],[SaleDate]],"MMM")</f>
        <v>Sep</v>
      </c>
    </row>
    <row r="2365" spans="1:15">
      <c r="A2365" s="1">
        <v>45194</v>
      </c>
      <c r="B2365" t="s">
        <v>23</v>
      </c>
      <c r="C2365" t="s">
        <v>19</v>
      </c>
      <c r="D2365">
        <v>1</v>
      </c>
      <c r="E2365" t="s">
        <v>9</v>
      </c>
      <c r="F2365">
        <v>60000</v>
      </c>
      <c r="G2365">
        <v>31000</v>
      </c>
      <c r="H2365">
        <f>Table1[[#This Row],[Qty]]*Table1[[#This Row],[SellingPrice]]</f>
        <v>60000</v>
      </c>
      <c r="I2365">
        <f>Table1[[#This Row],[Qty]]*Table1[[#This Row],[CostPrice]]</f>
        <v>31000</v>
      </c>
      <c r="J2365">
        <v>28797</v>
      </c>
      <c r="K2365">
        <v>202.99999999999997</v>
      </c>
      <c r="L2365" t="s">
        <v>8</v>
      </c>
      <c r="M2365" t="s">
        <v>30</v>
      </c>
      <c r="N2365">
        <f>MONTH(Table1[[#This Row],[SaleDate]])</f>
        <v>9</v>
      </c>
      <c r="O2365" t="str">
        <f>TEXT(Table1[[#This Row],[SaleDate]],"MMM")</f>
        <v>Sep</v>
      </c>
    </row>
    <row r="2366" spans="1:15">
      <c r="A2366" s="1">
        <v>45194</v>
      </c>
      <c r="B2366" t="s">
        <v>23</v>
      </c>
      <c r="C2366" t="s">
        <v>19</v>
      </c>
      <c r="D2366">
        <v>1</v>
      </c>
      <c r="E2366" t="s">
        <v>10</v>
      </c>
      <c r="F2366">
        <v>89000</v>
      </c>
      <c r="G2366">
        <v>65000</v>
      </c>
      <c r="H2366">
        <f>Table1[[#This Row],[Qty]]*Table1[[#This Row],[SellingPrice]]</f>
        <v>89000</v>
      </c>
      <c r="I2366">
        <f>Table1[[#This Row],[Qty]]*Table1[[#This Row],[CostPrice]]</f>
        <v>65000</v>
      </c>
      <c r="J2366">
        <v>23832</v>
      </c>
      <c r="K2366">
        <v>167.99999999999997</v>
      </c>
      <c r="L2366" t="s">
        <v>8</v>
      </c>
      <c r="M2366" t="s">
        <v>29</v>
      </c>
      <c r="N2366">
        <f>MONTH(Table1[[#This Row],[SaleDate]])</f>
        <v>9</v>
      </c>
      <c r="O2366" t="str">
        <f>TEXT(Table1[[#This Row],[SaleDate]],"MMM")</f>
        <v>Sep</v>
      </c>
    </row>
    <row r="2367" spans="1:15">
      <c r="A2367" s="1">
        <v>45194</v>
      </c>
      <c r="B2367" t="s">
        <v>26</v>
      </c>
      <c r="C2367" t="s">
        <v>20</v>
      </c>
      <c r="D2367">
        <v>1</v>
      </c>
      <c r="E2367" t="s">
        <v>7</v>
      </c>
      <c r="F2367">
        <v>33000</v>
      </c>
      <c r="G2367">
        <v>18000</v>
      </c>
      <c r="H2367">
        <f>Table1[[#This Row],[Qty]]*Table1[[#This Row],[SellingPrice]]</f>
        <v>33000</v>
      </c>
      <c r="I2367">
        <f>Table1[[#This Row],[Qty]]*Table1[[#This Row],[CostPrice]]</f>
        <v>18000</v>
      </c>
      <c r="J2367">
        <v>14895</v>
      </c>
      <c r="K2367">
        <v>104.99999999999999</v>
      </c>
      <c r="L2367" t="s">
        <v>11</v>
      </c>
      <c r="M2367" t="s">
        <v>29</v>
      </c>
      <c r="N2367">
        <f>MONTH(Table1[[#This Row],[SaleDate]])</f>
        <v>9</v>
      </c>
      <c r="O2367" t="str">
        <f>TEXT(Table1[[#This Row],[SaleDate]],"MMM")</f>
        <v>Sep</v>
      </c>
    </row>
    <row r="2368" spans="1:15">
      <c r="A2368" s="1">
        <v>45194</v>
      </c>
      <c r="B2368" t="s">
        <v>24</v>
      </c>
      <c r="C2368" t="s">
        <v>22</v>
      </c>
      <c r="D2368">
        <v>1</v>
      </c>
      <c r="E2368" t="s">
        <v>7</v>
      </c>
      <c r="F2368">
        <v>33000</v>
      </c>
      <c r="G2368">
        <v>18000</v>
      </c>
      <c r="H2368">
        <f>Table1[[#This Row],[Qty]]*Table1[[#This Row],[SellingPrice]]</f>
        <v>33000</v>
      </c>
      <c r="I2368">
        <f>Table1[[#This Row],[Qty]]*Table1[[#This Row],[CostPrice]]</f>
        <v>18000</v>
      </c>
      <c r="J2368">
        <v>14895</v>
      </c>
      <c r="K2368">
        <v>104.99999999999999</v>
      </c>
      <c r="L2368" t="s">
        <v>12</v>
      </c>
      <c r="M2368" t="s">
        <v>28</v>
      </c>
      <c r="N2368">
        <f>MONTH(Table1[[#This Row],[SaleDate]])</f>
        <v>9</v>
      </c>
      <c r="O2368" t="str">
        <f>TEXT(Table1[[#This Row],[SaleDate]],"MMM")</f>
        <v>Sep</v>
      </c>
    </row>
    <row r="2369" spans="1:15">
      <c r="A2369" s="1">
        <v>45194</v>
      </c>
      <c r="B2369" t="s">
        <v>24</v>
      </c>
      <c r="C2369" t="s">
        <v>22</v>
      </c>
      <c r="D2369">
        <v>1</v>
      </c>
      <c r="E2369" t="s">
        <v>9</v>
      </c>
      <c r="F2369">
        <v>60000</v>
      </c>
      <c r="G2369">
        <v>31000</v>
      </c>
      <c r="H2369">
        <f>Table1[[#This Row],[Qty]]*Table1[[#This Row],[SellingPrice]]</f>
        <v>60000</v>
      </c>
      <c r="I2369">
        <f>Table1[[#This Row],[Qty]]*Table1[[#This Row],[CostPrice]]</f>
        <v>31000</v>
      </c>
      <c r="J2369">
        <v>28797</v>
      </c>
      <c r="K2369">
        <v>202.99999999999997</v>
      </c>
      <c r="L2369" t="s">
        <v>12</v>
      </c>
      <c r="M2369" t="s">
        <v>30</v>
      </c>
      <c r="N2369">
        <f>MONTH(Table1[[#This Row],[SaleDate]])</f>
        <v>9</v>
      </c>
      <c r="O2369" t="str">
        <f>TEXT(Table1[[#This Row],[SaleDate]],"MMM")</f>
        <v>Sep</v>
      </c>
    </row>
    <row r="2370" spans="1:15">
      <c r="A2370" s="1">
        <v>45194</v>
      </c>
      <c r="B2370" t="s">
        <v>24</v>
      </c>
      <c r="C2370" t="s">
        <v>22</v>
      </c>
      <c r="D2370">
        <v>1</v>
      </c>
      <c r="E2370" t="s">
        <v>10</v>
      </c>
      <c r="F2370">
        <v>89000</v>
      </c>
      <c r="G2370">
        <v>65000</v>
      </c>
      <c r="H2370">
        <f>Table1[[#This Row],[Qty]]*Table1[[#This Row],[SellingPrice]]</f>
        <v>89000</v>
      </c>
      <c r="I2370">
        <f>Table1[[#This Row],[Qty]]*Table1[[#This Row],[CostPrice]]</f>
        <v>65000</v>
      </c>
      <c r="J2370">
        <v>23832</v>
      </c>
      <c r="K2370">
        <v>167.99999999999997</v>
      </c>
      <c r="L2370" t="s">
        <v>12</v>
      </c>
      <c r="M2370" t="s">
        <v>29</v>
      </c>
      <c r="N2370">
        <f>MONTH(Table1[[#This Row],[SaleDate]])</f>
        <v>9</v>
      </c>
      <c r="O2370" t="str">
        <f>TEXT(Table1[[#This Row],[SaleDate]],"MMM")</f>
        <v>Sep</v>
      </c>
    </row>
    <row r="2371" spans="1:15">
      <c r="A2371" s="1">
        <v>45194</v>
      </c>
      <c r="B2371" t="s">
        <v>25</v>
      </c>
      <c r="C2371" t="s">
        <v>21</v>
      </c>
      <c r="D2371">
        <v>1</v>
      </c>
      <c r="E2371" t="s">
        <v>7</v>
      </c>
      <c r="F2371">
        <v>33000</v>
      </c>
      <c r="G2371">
        <v>18000</v>
      </c>
      <c r="H2371">
        <f>Table1[[#This Row],[Qty]]*Table1[[#This Row],[SellingPrice]]</f>
        <v>33000</v>
      </c>
      <c r="I2371">
        <f>Table1[[#This Row],[Qty]]*Table1[[#This Row],[CostPrice]]</f>
        <v>18000</v>
      </c>
      <c r="J2371">
        <v>14895</v>
      </c>
      <c r="K2371">
        <v>104.99999999999999</v>
      </c>
      <c r="L2371" t="s">
        <v>13</v>
      </c>
      <c r="M2371" t="s">
        <v>27</v>
      </c>
      <c r="N2371">
        <f>MONTH(Table1[[#This Row],[SaleDate]])</f>
        <v>9</v>
      </c>
      <c r="O2371" t="str">
        <f>TEXT(Table1[[#This Row],[SaleDate]],"MMM")</f>
        <v>Sep</v>
      </c>
    </row>
    <row r="2372" spans="1:15">
      <c r="A2372" s="1">
        <v>45194</v>
      </c>
      <c r="B2372" t="s">
        <v>25</v>
      </c>
      <c r="C2372" t="s">
        <v>21</v>
      </c>
      <c r="D2372">
        <v>1</v>
      </c>
      <c r="E2372" t="s">
        <v>9</v>
      </c>
      <c r="F2372">
        <v>60000</v>
      </c>
      <c r="G2372">
        <v>31000</v>
      </c>
      <c r="H2372">
        <f>Table1[[#This Row],[Qty]]*Table1[[#This Row],[SellingPrice]]</f>
        <v>60000</v>
      </c>
      <c r="I2372">
        <f>Table1[[#This Row],[Qty]]*Table1[[#This Row],[CostPrice]]</f>
        <v>31000</v>
      </c>
      <c r="J2372">
        <v>28797</v>
      </c>
      <c r="K2372">
        <v>202.99999999999997</v>
      </c>
      <c r="L2372" t="s">
        <v>13</v>
      </c>
      <c r="M2372" t="s">
        <v>30</v>
      </c>
      <c r="N2372">
        <f>MONTH(Table1[[#This Row],[SaleDate]])</f>
        <v>9</v>
      </c>
      <c r="O2372" t="str">
        <f>TEXT(Table1[[#This Row],[SaleDate]],"MMM")</f>
        <v>Sep</v>
      </c>
    </row>
    <row r="2373" spans="1:15">
      <c r="A2373" s="1">
        <v>45194</v>
      </c>
      <c r="B2373" t="s">
        <v>25</v>
      </c>
      <c r="C2373" t="s">
        <v>21</v>
      </c>
      <c r="D2373">
        <v>1</v>
      </c>
      <c r="E2373" t="s">
        <v>10</v>
      </c>
      <c r="F2373">
        <v>89000</v>
      </c>
      <c r="G2373">
        <v>65000</v>
      </c>
      <c r="H2373">
        <f>Table1[[#This Row],[Qty]]*Table1[[#This Row],[SellingPrice]]</f>
        <v>89000</v>
      </c>
      <c r="I2373">
        <f>Table1[[#This Row],[Qty]]*Table1[[#This Row],[CostPrice]]</f>
        <v>65000</v>
      </c>
      <c r="J2373">
        <v>23832</v>
      </c>
      <c r="K2373">
        <v>167.99999999999997</v>
      </c>
      <c r="L2373" t="s">
        <v>13</v>
      </c>
      <c r="M2373" t="s">
        <v>28</v>
      </c>
      <c r="N2373">
        <f>MONTH(Table1[[#This Row],[SaleDate]])</f>
        <v>9</v>
      </c>
      <c r="O2373" t="str">
        <f>TEXT(Table1[[#This Row],[SaleDate]],"MMM")</f>
        <v>Sep</v>
      </c>
    </row>
    <row r="2374" spans="1:15">
      <c r="A2374" s="1">
        <v>45195</v>
      </c>
      <c r="B2374" t="s">
        <v>23</v>
      </c>
      <c r="C2374" t="s">
        <v>19</v>
      </c>
      <c r="D2374">
        <v>1</v>
      </c>
      <c r="E2374" t="s">
        <v>7</v>
      </c>
      <c r="F2374">
        <v>33000</v>
      </c>
      <c r="G2374">
        <v>18000</v>
      </c>
      <c r="H2374">
        <f>Table1[[#This Row],[Qty]]*Table1[[#This Row],[SellingPrice]]</f>
        <v>33000</v>
      </c>
      <c r="I2374">
        <f>Table1[[#This Row],[Qty]]*Table1[[#This Row],[CostPrice]]</f>
        <v>18000</v>
      </c>
      <c r="J2374">
        <v>14895</v>
      </c>
      <c r="K2374">
        <v>104.99999999999999</v>
      </c>
      <c r="L2374" t="s">
        <v>8</v>
      </c>
      <c r="M2374" t="s">
        <v>29</v>
      </c>
      <c r="N2374">
        <f>MONTH(Table1[[#This Row],[SaleDate]])</f>
        <v>9</v>
      </c>
      <c r="O2374" t="str">
        <f>TEXT(Table1[[#This Row],[SaleDate]],"MMM")</f>
        <v>Sep</v>
      </c>
    </row>
    <row r="2375" spans="1:15">
      <c r="A2375" s="1">
        <v>45195</v>
      </c>
      <c r="B2375" t="s">
        <v>23</v>
      </c>
      <c r="C2375" t="s">
        <v>19</v>
      </c>
      <c r="D2375">
        <v>1</v>
      </c>
      <c r="E2375" t="s">
        <v>9</v>
      </c>
      <c r="F2375">
        <v>60000</v>
      </c>
      <c r="G2375">
        <v>31000</v>
      </c>
      <c r="H2375">
        <f>Table1[[#This Row],[Qty]]*Table1[[#This Row],[SellingPrice]]</f>
        <v>60000</v>
      </c>
      <c r="I2375">
        <f>Table1[[#This Row],[Qty]]*Table1[[#This Row],[CostPrice]]</f>
        <v>31000</v>
      </c>
      <c r="J2375">
        <v>28797</v>
      </c>
      <c r="K2375">
        <v>202.99999999999997</v>
      </c>
      <c r="L2375" t="s">
        <v>8</v>
      </c>
      <c r="M2375" t="s">
        <v>28</v>
      </c>
      <c r="N2375">
        <f>MONTH(Table1[[#This Row],[SaleDate]])</f>
        <v>9</v>
      </c>
      <c r="O2375" t="str">
        <f>TEXT(Table1[[#This Row],[SaleDate]],"MMM")</f>
        <v>Sep</v>
      </c>
    </row>
    <row r="2376" spans="1:15">
      <c r="A2376" s="1">
        <v>45195</v>
      </c>
      <c r="B2376" t="s">
        <v>23</v>
      </c>
      <c r="C2376" t="s">
        <v>19</v>
      </c>
      <c r="D2376">
        <v>1</v>
      </c>
      <c r="E2376" t="s">
        <v>10</v>
      </c>
      <c r="F2376">
        <v>89000</v>
      </c>
      <c r="G2376">
        <v>65000</v>
      </c>
      <c r="H2376">
        <f>Table1[[#This Row],[Qty]]*Table1[[#This Row],[SellingPrice]]</f>
        <v>89000</v>
      </c>
      <c r="I2376">
        <f>Table1[[#This Row],[Qty]]*Table1[[#This Row],[CostPrice]]</f>
        <v>65000</v>
      </c>
      <c r="J2376">
        <v>23832</v>
      </c>
      <c r="K2376">
        <v>167.99999999999997</v>
      </c>
      <c r="L2376" t="s">
        <v>8</v>
      </c>
      <c r="M2376" t="s">
        <v>29</v>
      </c>
      <c r="N2376">
        <f>MONTH(Table1[[#This Row],[SaleDate]])</f>
        <v>9</v>
      </c>
      <c r="O2376" t="str">
        <f>TEXT(Table1[[#This Row],[SaleDate]],"MMM")</f>
        <v>Sep</v>
      </c>
    </row>
    <row r="2377" spans="1:15">
      <c r="A2377" s="1">
        <v>45195</v>
      </c>
      <c r="B2377" t="s">
        <v>26</v>
      </c>
      <c r="C2377" t="s">
        <v>20</v>
      </c>
      <c r="D2377">
        <v>1</v>
      </c>
      <c r="E2377" t="s">
        <v>7</v>
      </c>
      <c r="F2377">
        <v>33000</v>
      </c>
      <c r="G2377">
        <v>18000</v>
      </c>
      <c r="H2377">
        <f>Table1[[#This Row],[Qty]]*Table1[[#This Row],[SellingPrice]]</f>
        <v>33000</v>
      </c>
      <c r="I2377">
        <f>Table1[[#This Row],[Qty]]*Table1[[#This Row],[CostPrice]]</f>
        <v>18000</v>
      </c>
      <c r="J2377">
        <v>14895</v>
      </c>
      <c r="K2377">
        <v>104.99999999999999</v>
      </c>
      <c r="L2377" t="s">
        <v>11</v>
      </c>
      <c r="M2377" t="s">
        <v>30</v>
      </c>
      <c r="N2377">
        <f>MONTH(Table1[[#This Row],[SaleDate]])</f>
        <v>9</v>
      </c>
      <c r="O2377" t="str">
        <f>TEXT(Table1[[#This Row],[SaleDate]],"MMM")</f>
        <v>Sep</v>
      </c>
    </row>
    <row r="2378" spans="1:15">
      <c r="A2378" s="1">
        <v>45195</v>
      </c>
      <c r="B2378" t="s">
        <v>24</v>
      </c>
      <c r="C2378" t="s">
        <v>22</v>
      </c>
      <c r="D2378">
        <v>1</v>
      </c>
      <c r="E2378" t="s">
        <v>7</v>
      </c>
      <c r="F2378">
        <v>33000</v>
      </c>
      <c r="G2378">
        <v>18000</v>
      </c>
      <c r="H2378">
        <f>Table1[[#This Row],[Qty]]*Table1[[#This Row],[SellingPrice]]</f>
        <v>33000</v>
      </c>
      <c r="I2378">
        <f>Table1[[#This Row],[Qty]]*Table1[[#This Row],[CostPrice]]</f>
        <v>18000</v>
      </c>
      <c r="J2378">
        <v>14895</v>
      </c>
      <c r="K2378">
        <v>104.99999999999999</v>
      </c>
      <c r="L2378" t="s">
        <v>12</v>
      </c>
      <c r="M2378" t="s">
        <v>30</v>
      </c>
      <c r="N2378">
        <f>MONTH(Table1[[#This Row],[SaleDate]])</f>
        <v>9</v>
      </c>
      <c r="O2378" t="str">
        <f>TEXT(Table1[[#This Row],[SaleDate]],"MMM")</f>
        <v>Sep</v>
      </c>
    </row>
    <row r="2379" spans="1:15">
      <c r="A2379" s="1">
        <v>45195</v>
      </c>
      <c r="B2379" t="s">
        <v>24</v>
      </c>
      <c r="C2379" t="s">
        <v>22</v>
      </c>
      <c r="D2379">
        <v>1</v>
      </c>
      <c r="E2379" t="s">
        <v>9</v>
      </c>
      <c r="F2379">
        <v>60000</v>
      </c>
      <c r="G2379">
        <v>31000</v>
      </c>
      <c r="H2379">
        <f>Table1[[#This Row],[Qty]]*Table1[[#This Row],[SellingPrice]]</f>
        <v>60000</v>
      </c>
      <c r="I2379">
        <f>Table1[[#This Row],[Qty]]*Table1[[#This Row],[CostPrice]]</f>
        <v>31000</v>
      </c>
      <c r="J2379">
        <v>28797</v>
      </c>
      <c r="K2379">
        <v>202.99999999999997</v>
      </c>
      <c r="L2379" t="s">
        <v>12</v>
      </c>
      <c r="M2379" t="s">
        <v>27</v>
      </c>
      <c r="N2379">
        <f>MONTH(Table1[[#This Row],[SaleDate]])</f>
        <v>9</v>
      </c>
      <c r="O2379" t="str">
        <f>TEXT(Table1[[#This Row],[SaleDate]],"MMM")</f>
        <v>Sep</v>
      </c>
    </row>
    <row r="2380" spans="1:15">
      <c r="A2380" s="1">
        <v>45195</v>
      </c>
      <c r="B2380" t="s">
        <v>24</v>
      </c>
      <c r="C2380" t="s">
        <v>22</v>
      </c>
      <c r="D2380">
        <v>1</v>
      </c>
      <c r="E2380" t="s">
        <v>10</v>
      </c>
      <c r="F2380">
        <v>89000</v>
      </c>
      <c r="G2380">
        <v>65000</v>
      </c>
      <c r="H2380">
        <f>Table1[[#This Row],[Qty]]*Table1[[#This Row],[SellingPrice]]</f>
        <v>89000</v>
      </c>
      <c r="I2380">
        <f>Table1[[#This Row],[Qty]]*Table1[[#This Row],[CostPrice]]</f>
        <v>65000</v>
      </c>
      <c r="J2380">
        <v>23832</v>
      </c>
      <c r="K2380">
        <v>167.99999999999997</v>
      </c>
      <c r="L2380" t="s">
        <v>12</v>
      </c>
      <c r="M2380" t="s">
        <v>27</v>
      </c>
      <c r="N2380">
        <f>MONTH(Table1[[#This Row],[SaleDate]])</f>
        <v>9</v>
      </c>
      <c r="O2380" t="str">
        <f>TEXT(Table1[[#This Row],[SaleDate]],"MMM")</f>
        <v>Sep</v>
      </c>
    </row>
    <row r="2381" spans="1:15">
      <c r="A2381" s="1">
        <v>45195</v>
      </c>
      <c r="B2381" t="s">
        <v>25</v>
      </c>
      <c r="C2381" t="s">
        <v>21</v>
      </c>
      <c r="D2381">
        <v>1</v>
      </c>
      <c r="E2381" t="s">
        <v>7</v>
      </c>
      <c r="F2381">
        <v>33000</v>
      </c>
      <c r="G2381">
        <v>18000</v>
      </c>
      <c r="H2381">
        <f>Table1[[#This Row],[Qty]]*Table1[[#This Row],[SellingPrice]]</f>
        <v>33000</v>
      </c>
      <c r="I2381">
        <f>Table1[[#This Row],[Qty]]*Table1[[#This Row],[CostPrice]]</f>
        <v>18000</v>
      </c>
      <c r="J2381">
        <v>14895</v>
      </c>
      <c r="K2381">
        <v>104.99999999999999</v>
      </c>
      <c r="L2381" t="s">
        <v>13</v>
      </c>
      <c r="M2381" t="s">
        <v>29</v>
      </c>
      <c r="N2381">
        <f>MONTH(Table1[[#This Row],[SaleDate]])</f>
        <v>9</v>
      </c>
      <c r="O2381" t="str">
        <f>TEXT(Table1[[#This Row],[SaleDate]],"MMM")</f>
        <v>Sep</v>
      </c>
    </row>
    <row r="2382" spans="1:15">
      <c r="A2382" s="1">
        <v>45195</v>
      </c>
      <c r="B2382" t="s">
        <v>25</v>
      </c>
      <c r="C2382" t="s">
        <v>21</v>
      </c>
      <c r="D2382">
        <v>1</v>
      </c>
      <c r="E2382" t="s">
        <v>9</v>
      </c>
      <c r="F2382">
        <v>60000</v>
      </c>
      <c r="G2382">
        <v>31000</v>
      </c>
      <c r="H2382">
        <f>Table1[[#This Row],[Qty]]*Table1[[#This Row],[SellingPrice]]</f>
        <v>60000</v>
      </c>
      <c r="I2382">
        <f>Table1[[#This Row],[Qty]]*Table1[[#This Row],[CostPrice]]</f>
        <v>31000</v>
      </c>
      <c r="J2382">
        <v>28797</v>
      </c>
      <c r="K2382">
        <v>202.99999999999997</v>
      </c>
      <c r="L2382" t="s">
        <v>13</v>
      </c>
      <c r="M2382" t="s">
        <v>29</v>
      </c>
      <c r="N2382">
        <f>MONTH(Table1[[#This Row],[SaleDate]])</f>
        <v>9</v>
      </c>
      <c r="O2382" t="str">
        <f>TEXT(Table1[[#This Row],[SaleDate]],"MMM")</f>
        <v>Sep</v>
      </c>
    </row>
    <row r="2383" spans="1:15">
      <c r="A2383" s="1">
        <v>45195</v>
      </c>
      <c r="B2383" t="s">
        <v>25</v>
      </c>
      <c r="C2383" t="s">
        <v>21</v>
      </c>
      <c r="D2383">
        <v>1</v>
      </c>
      <c r="E2383" t="s">
        <v>10</v>
      </c>
      <c r="F2383">
        <v>89000</v>
      </c>
      <c r="G2383">
        <v>65000</v>
      </c>
      <c r="H2383">
        <f>Table1[[#This Row],[Qty]]*Table1[[#This Row],[SellingPrice]]</f>
        <v>89000</v>
      </c>
      <c r="I2383">
        <f>Table1[[#This Row],[Qty]]*Table1[[#This Row],[CostPrice]]</f>
        <v>65000</v>
      </c>
      <c r="J2383">
        <v>23832</v>
      </c>
      <c r="K2383">
        <v>167.99999999999997</v>
      </c>
      <c r="L2383" t="s">
        <v>13</v>
      </c>
      <c r="M2383" t="s">
        <v>30</v>
      </c>
      <c r="N2383">
        <f>MONTH(Table1[[#This Row],[SaleDate]])</f>
        <v>9</v>
      </c>
      <c r="O2383" t="str">
        <f>TEXT(Table1[[#This Row],[SaleDate]],"MMM")</f>
        <v>Sep</v>
      </c>
    </row>
    <row r="2384" spans="1:15">
      <c r="A2384" s="1">
        <v>45196</v>
      </c>
      <c r="B2384" t="s">
        <v>23</v>
      </c>
      <c r="C2384" t="s">
        <v>19</v>
      </c>
      <c r="D2384">
        <v>1</v>
      </c>
      <c r="E2384" t="s">
        <v>7</v>
      </c>
      <c r="F2384">
        <v>33000</v>
      </c>
      <c r="G2384">
        <v>18000</v>
      </c>
      <c r="H2384">
        <f>Table1[[#This Row],[Qty]]*Table1[[#This Row],[SellingPrice]]</f>
        <v>33000</v>
      </c>
      <c r="I2384">
        <f>Table1[[#This Row],[Qty]]*Table1[[#This Row],[CostPrice]]</f>
        <v>18000</v>
      </c>
      <c r="J2384">
        <v>14895</v>
      </c>
      <c r="K2384">
        <v>104.99999999999999</v>
      </c>
      <c r="L2384" t="s">
        <v>8</v>
      </c>
      <c r="M2384" t="s">
        <v>30</v>
      </c>
      <c r="N2384">
        <f>MONTH(Table1[[#This Row],[SaleDate]])</f>
        <v>9</v>
      </c>
      <c r="O2384" t="str">
        <f>TEXT(Table1[[#This Row],[SaleDate]],"MMM")</f>
        <v>Sep</v>
      </c>
    </row>
    <row r="2385" spans="1:15">
      <c r="A2385" s="1">
        <v>45196</v>
      </c>
      <c r="B2385" t="s">
        <v>23</v>
      </c>
      <c r="C2385" t="s">
        <v>19</v>
      </c>
      <c r="D2385">
        <v>1</v>
      </c>
      <c r="E2385" t="s">
        <v>9</v>
      </c>
      <c r="F2385">
        <v>60000</v>
      </c>
      <c r="G2385">
        <v>31000</v>
      </c>
      <c r="H2385">
        <f>Table1[[#This Row],[Qty]]*Table1[[#This Row],[SellingPrice]]</f>
        <v>60000</v>
      </c>
      <c r="I2385">
        <f>Table1[[#This Row],[Qty]]*Table1[[#This Row],[CostPrice]]</f>
        <v>31000</v>
      </c>
      <c r="J2385">
        <v>28797</v>
      </c>
      <c r="K2385">
        <v>202.99999999999997</v>
      </c>
      <c r="L2385" t="s">
        <v>8</v>
      </c>
      <c r="M2385" t="s">
        <v>29</v>
      </c>
      <c r="N2385">
        <f>MONTH(Table1[[#This Row],[SaleDate]])</f>
        <v>9</v>
      </c>
      <c r="O2385" t="str">
        <f>TEXT(Table1[[#This Row],[SaleDate]],"MMM")</f>
        <v>Sep</v>
      </c>
    </row>
    <row r="2386" spans="1:15">
      <c r="A2386" s="1">
        <v>45196</v>
      </c>
      <c r="B2386" t="s">
        <v>23</v>
      </c>
      <c r="C2386" t="s">
        <v>19</v>
      </c>
      <c r="D2386">
        <v>1</v>
      </c>
      <c r="E2386" t="s">
        <v>10</v>
      </c>
      <c r="F2386">
        <v>89000</v>
      </c>
      <c r="G2386">
        <v>65000</v>
      </c>
      <c r="H2386">
        <f>Table1[[#This Row],[Qty]]*Table1[[#This Row],[SellingPrice]]</f>
        <v>89000</v>
      </c>
      <c r="I2386">
        <f>Table1[[#This Row],[Qty]]*Table1[[#This Row],[CostPrice]]</f>
        <v>65000</v>
      </c>
      <c r="J2386">
        <v>23832</v>
      </c>
      <c r="K2386">
        <v>167.99999999999997</v>
      </c>
      <c r="L2386" t="s">
        <v>8</v>
      </c>
      <c r="M2386" t="s">
        <v>30</v>
      </c>
      <c r="N2386">
        <f>MONTH(Table1[[#This Row],[SaleDate]])</f>
        <v>9</v>
      </c>
      <c r="O2386" t="str">
        <f>TEXT(Table1[[#This Row],[SaleDate]],"MMM")</f>
        <v>Sep</v>
      </c>
    </row>
    <row r="2387" spans="1:15">
      <c r="A2387" s="1">
        <v>45196</v>
      </c>
      <c r="B2387" t="s">
        <v>26</v>
      </c>
      <c r="C2387" t="s">
        <v>20</v>
      </c>
      <c r="D2387">
        <v>1</v>
      </c>
      <c r="E2387" t="s">
        <v>7</v>
      </c>
      <c r="F2387">
        <v>33000</v>
      </c>
      <c r="G2387">
        <v>18000</v>
      </c>
      <c r="H2387">
        <f>Table1[[#This Row],[Qty]]*Table1[[#This Row],[SellingPrice]]</f>
        <v>33000</v>
      </c>
      <c r="I2387">
        <f>Table1[[#This Row],[Qty]]*Table1[[#This Row],[CostPrice]]</f>
        <v>18000</v>
      </c>
      <c r="J2387">
        <v>14895</v>
      </c>
      <c r="K2387">
        <v>104.99999999999999</v>
      </c>
      <c r="L2387" t="s">
        <v>11</v>
      </c>
      <c r="M2387" t="s">
        <v>30</v>
      </c>
      <c r="N2387">
        <f>MONTH(Table1[[#This Row],[SaleDate]])</f>
        <v>9</v>
      </c>
      <c r="O2387" t="str">
        <f>TEXT(Table1[[#This Row],[SaleDate]],"MMM")</f>
        <v>Sep</v>
      </c>
    </row>
    <row r="2388" spans="1:15">
      <c r="A2388" s="1">
        <v>45196</v>
      </c>
      <c r="B2388" t="s">
        <v>24</v>
      </c>
      <c r="C2388" t="s">
        <v>22</v>
      </c>
      <c r="D2388">
        <v>1</v>
      </c>
      <c r="E2388" t="s">
        <v>7</v>
      </c>
      <c r="F2388">
        <v>33000</v>
      </c>
      <c r="G2388">
        <v>18000</v>
      </c>
      <c r="H2388">
        <f>Table1[[#This Row],[Qty]]*Table1[[#This Row],[SellingPrice]]</f>
        <v>33000</v>
      </c>
      <c r="I2388">
        <f>Table1[[#This Row],[Qty]]*Table1[[#This Row],[CostPrice]]</f>
        <v>18000</v>
      </c>
      <c r="J2388">
        <v>14895</v>
      </c>
      <c r="K2388">
        <v>104.99999999999999</v>
      </c>
      <c r="L2388" t="s">
        <v>12</v>
      </c>
      <c r="M2388" t="s">
        <v>29</v>
      </c>
      <c r="N2388">
        <f>MONTH(Table1[[#This Row],[SaleDate]])</f>
        <v>9</v>
      </c>
      <c r="O2388" t="str">
        <f>TEXT(Table1[[#This Row],[SaleDate]],"MMM")</f>
        <v>Sep</v>
      </c>
    </row>
    <row r="2389" spans="1:15">
      <c r="A2389" s="1">
        <v>45196</v>
      </c>
      <c r="B2389" t="s">
        <v>24</v>
      </c>
      <c r="C2389" t="s">
        <v>22</v>
      </c>
      <c r="D2389">
        <v>1</v>
      </c>
      <c r="E2389" t="s">
        <v>9</v>
      </c>
      <c r="F2389">
        <v>60000</v>
      </c>
      <c r="G2389">
        <v>31000</v>
      </c>
      <c r="H2389">
        <f>Table1[[#This Row],[Qty]]*Table1[[#This Row],[SellingPrice]]</f>
        <v>60000</v>
      </c>
      <c r="I2389">
        <f>Table1[[#This Row],[Qty]]*Table1[[#This Row],[CostPrice]]</f>
        <v>31000</v>
      </c>
      <c r="J2389">
        <v>28797</v>
      </c>
      <c r="K2389">
        <v>202.99999999999997</v>
      </c>
      <c r="L2389" t="s">
        <v>12</v>
      </c>
      <c r="M2389" t="s">
        <v>30</v>
      </c>
      <c r="N2389">
        <f>MONTH(Table1[[#This Row],[SaleDate]])</f>
        <v>9</v>
      </c>
      <c r="O2389" t="str">
        <f>TEXT(Table1[[#This Row],[SaleDate]],"MMM")</f>
        <v>Sep</v>
      </c>
    </row>
    <row r="2390" spans="1:15">
      <c r="A2390" s="1">
        <v>45196</v>
      </c>
      <c r="B2390" t="s">
        <v>24</v>
      </c>
      <c r="C2390" t="s">
        <v>22</v>
      </c>
      <c r="D2390">
        <v>1</v>
      </c>
      <c r="E2390" t="s">
        <v>10</v>
      </c>
      <c r="F2390">
        <v>89000</v>
      </c>
      <c r="G2390">
        <v>65000</v>
      </c>
      <c r="H2390">
        <f>Table1[[#This Row],[Qty]]*Table1[[#This Row],[SellingPrice]]</f>
        <v>89000</v>
      </c>
      <c r="I2390">
        <f>Table1[[#This Row],[Qty]]*Table1[[#This Row],[CostPrice]]</f>
        <v>65000</v>
      </c>
      <c r="J2390">
        <v>23832</v>
      </c>
      <c r="K2390">
        <v>167.99999999999997</v>
      </c>
      <c r="L2390" t="s">
        <v>12</v>
      </c>
      <c r="M2390" t="s">
        <v>28</v>
      </c>
      <c r="N2390">
        <f>MONTH(Table1[[#This Row],[SaleDate]])</f>
        <v>9</v>
      </c>
      <c r="O2390" t="str">
        <f>TEXT(Table1[[#This Row],[SaleDate]],"MMM")</f>
        <v>Sep</v>
      </c>
    </row>
    <row r="2391" spans="1:15">
      <c r="A2391" s="1">
        <v>45196</v>
      </c>
      <c r="B2391" t="s">
        <v>25</v>
      </c>
      <c r="C2391" t="s">
        <v>21</v>
      </c>
      <c r="D2391">
        <v>1</v>
      </c>
      <c r="E2391" t="s">
        <v>7</v>
      </c>
      <c r="F2391">
        <v>33000</v>
      </c>
      <c r="G2391">
        <v>18000</v>
      </c>
      <c r="H2391">
        <f>Table1[[#This Row],[Qty]]*Table1[[#This Row],[SellingPrice]]</f>
        <v>33000</v>
      </c>
      <c r="I2391">
        <f>Table1[[#This Row],[Qty]]*Table1[[#This Row],[CostPrice]]</f>
        <v>18000</v>
      </c>
      <c r="J2391">
        <v>14895</v>
      </c>
      <c r="K2391">
        <v>104.99999999999999</v>
      </c>
      <c r="L2391" t="s">
        <v>13</v>
      </c>
      <c r="M2391" t="s">
        <v>30</v>
      </c>
      <c r="N2391">
        <f>MONTH(Table1[[#This Row],[SaleDate]])</f>
        <v>9</v>
      </c>
      <c r="O2391" t="str">
        <f>TEXT(Table1[[#This Row],[SaleDate]],"MMM")</f>
        <v>Sep</v>
      </c>
    </row>
    <row r="2392" spans="1:15">
      <c r="A2392" s="1">
        <v>45196</v>
      </c>
      <c r="B2392" t="s">
        <v>25</v>
      </c>
      <c r="C2392" t="s">
        <v>21</v>
      </c>
      <c r="D2392">
        <v>1</v>
      </c>
      <c r="E2392" t="s">
        <v>9</v>
      </c>
      <c r="F2392">
        <v>60000</v>
      </c>
      <c r="G2392">
        <v>31000</v>
      </c>
      <c r="H2392">
        <f>Table1[[#This Row],[Qty]]*Table1[[#This Row],[SellingPrice]]</f>
        <v>60000</v>
      </c>
      <c r="I2392">
        <f>Table1[[#This Row],[Qty]]*Table1[[#This Row],[CostPrice]]</f>
        <v>31000</v>
      </c>
      <c r="J2392">
        <v>28797</v>
      </c>
      <c r="K2392">
        <v>202.99999999999997</v>
      </c>
      <c r="L2392" t="s">
        <v>13</v>
      </c>
      <c r="M2392" t="s">
        <v>29</v>
      </c>
      <c r="N2392">
        <f>MONTH(Table1[[#This Row],[SaleDate]])</f>
        <v>9</v>
      </c>
      <c r="O2392" t="str">
        <f>TEXT(Table1[[#This Row],[SaleDate]],"MMM")</f>
        <v>Sep</v>
      </c>
    </row>
    <row r="2393" spans="1:15">
      <c r="A2393" s="1">
        <v>45196</v>
      </c>
      <c r="B2393" t="s">
        <v>25</v>
      </c>
      <c r="C2393" t="s">
        <v>21</v>
      </c>
      <c r="D2393">
        <v>1</v>
      </c>
      <c r="E2393" t="s">
        <v>10</v>
      </c>
      <c r="F2393">
        <v>89000</v>
      </c>
      <c r="G2393">
        <v>65000</v>
      </c>
      <c r="H2393">
        <f>Table1[[#This Row],[Qty]]*Table1[[#This Row],[SellingPrice]]</f>
        <v>89000</v>
      </c>
      <c r="I2393">
        <f>Table1[[#This Row],[Qty]]*Table1[[#This Row],[CostPrice]]</f>
        <v>65000</v>
      </c>
      <c r="J2393">
        <v>23832</v>
      </c>
      <c r="K2393">
        <v>167.99999999999997</v>
      </c>
      <c r="L2393" t="s">
        <v>13</v>
      </c>
      <c r="M2393" t="s">
        <v>30</v>
      </c>
      <c r="N2393">
        <f>MONTH(Table1[[#This Row],[SaleDate]])</f>
        <v>9</v>
      </c>
      <c r="O2393" t="str">
        <f>TEXT(Table1[[#This Row],[SaleDate]],"MMM")</f>
        <v>Sep</v>
      </c>
    </row>
    <row r="2394" spans="1:15">
      <c r="A2394" s="1">
        <v>45197</v>
      </c>
      <c r="B2394" t="s">
        <v>23</v>
      </c>
      <c r="C2394" t="s">
        <v>19</v>
      </c>
      <c r="D2394">
        <v>1</v>
      </c>
      <c r="E2394" t="s">
        <v>7</v>
      </c>
      <c r="F2394">
        <v>33000</v>
      </c>
      <c r="G2394">
        <v>18000</v>
      </c>
      <c r="H2394">
        <f>Table1[[#This Row],[Qty]]*Table1[[#This Row],[SellingPrice]]</f>
        <v>33000</v>
      </c>
      <c r="I2394">
        <f>Table1[[#This Row],[Qty]]*Table1[[#This Row],[CostPrice]]</f>
        <v>18000</v>
      </c>
      <c r="J2394">
        <v>14895</v>
      </c>
      <c r="K2394">
        <v>104.99999999999999</v>
      </c>
      <c r="L2394" t="s">
        <v>8</v>
      </c>
      <c r="M2394" t="s">
        <v>27</v>
      </c>
      <c r="N2394">
        <f>MONTH(Table1[[#This Row],[SaleDate]])</f>
        <v>9</v>
      </c>
      <c r="O2394" t="str">
        <f>TEXT(Table1[[#This Row],[SaleDate]],"MMM")</f>
        <v>Sep</v>
      </c>
    </row>
    <row r="2395" spans="1:15">
      <c r="A2395" s="1">
        <v>45197</v>
      </c>
      <c r="B2395" t="s">
        <v>23</v>
      </c>
      <c r="C2395" t="s">
        <v>19</v>
      </c>
      <c r="D2395">
        <v>1</v>
      </c>
      <c r="E2395" t="s">
        <v>9</v>
      </c>
      <c r="F2395">
        <v>60000</v>
      </c>
      <c r="G2395">
        <v>31000</v>
      </c>
      <c r="H2395">
        <f>Table1[[#This Row],[Qty]]*Table1[[#This Row],[SellingPrice]]</f>
        <v>60000</v>
      </c>
      <c r="I2395">
        <f>Table1[[#This Row],[Qty]]*Table1[[#This Row],[CostPrice]]</f>
        <v>31000</v>
      </c>
      <c r="J2395">
        <v>28797</v>
      </c>
      <c r="K2395">
        <v>202.99999999999997</v>
      </c>
      <c r="L2395" t="s">
        <v>8</v>
      </c>
      <c r="M2395" t="s">
        <v>27</v>
      </c>
      <c r="N2395">
        <f>MONTH(Table1[[#This Row],[SaleDate]])</f>
        <v>9</v>
      </c>
      <c r="O2395" t="str">
        <f>TEXT(Table1[[#This Row],[SaleDate]],"MMM")</f>
        <v>Sep</v>
      </c>
    </row>
    <row r="2396" spans="1:15">
      <c r="A2396" s="1">
        <v>45197</v>
      </c>
      <c r="B2396" t="s">
        <v>23</v>
      </c>
      <c r="C2396" t="s">
        <v>19</v>
      </c>
      <c r="D2396">
        <v>1</v>
      </c>
      <c r="E2396" t="s">
        <v>10</v>
      </c>
      <c r="F2396">
        <v>89000</v>
      </c>
      <c r="G2396">
        <v>65000</v>
      </c>
      <c r="H2396">
        <f>Table1[[#This Row],[Qty]]*Table1[[#This Row],[SellingPrice]]</f>
        <v>89000</v>
      </c>
      <c r="I2396">
        <f>Table1[[#This Row],[Qty]]*Table1[[#This Row],[CostPrice]]</f>
        <v>65000</v>
      </c>
      <c r="J2396">
        <v>23832</v>
      </c>
      <c r="K2396">
        <v>167.99999999999997</v>
      </c>
      <c r="L2396" t="s">
        <v>8</v>
      </c>
      <c r="M2396" t="s">
        <v>29</v>
      </c>
      <c r="N2396">
        <f>MONTH(Table1[[#This Row],[SaleDate]])</f>
        <v>9</v>
      </c>
      <c r="O2396" t="str">
        <f>TEXT(Table1[[#This Row],[SaleDate]],"MMM")</f>
        <v>Sep</v>
      </c>
    </row>
    <row r="2397" spans="1:15">
      <c r="A2397" s="1">
        <v>45197</v>
      </c>
      <c r="B2397" t="s">
        <v>26</v>
      </c>
      <c r="C2397" t="s">
        <v>20</v>
      </c>
      <c r="D2397">
        <v>1</v>
      </c>
      <c r="E2397" t="s">
        <v>7</v>
      </c>
      <c r="F2397">
        <v>33000</v>
      </c>
      <c r="G2397">
        <v>18000</v>
      </c>
      <c r="H2397">
        <f>Table1[[#This Row],[Qty]]*Table1[[#This Row],[SellingPrice]]</f>
        <v>33000</v>
      </c>
      <c r="I2397">
        <f>Table1[[#This Row],[Qty]]*Table1[[#This Row],[CostPrice]]</f>
        <v>18000</v>
      </c>
      <c r="J2397">
        <v>14895</v>
      </c>
      <c r="K2397">
        <v>104.99999999999999</v>
      </c>
      <c r="L2397" t="s">
        <v>11</v>
      </c>
      <c r="M2397" t="s">
        <v>29</v>
      </c>
      <c r="N2397">
        <f>MONTH(Table1[[#This Row],[SaleDate]])</f>
        <v>9</v>
      </c>
      <c r="O2397" t="str">
        <f>TEXT(Table1[[#This Row],[SaleDate]],"MMM")</f>
        <v>Sep</v>
      </c>
    </row>
    <row r="2398" spans="1:15">
      <c r="A2398" s="1">
        <v>45197</v>
      </c>
      <c r="B2398" t="s">
        <v>24</v>
      </c>
      <c r="C2398" t="s">
        <v>22</v>
      </c>
      <c r="D2398">
        <v>1</v>
      </c>
      <c r="E2398" t="s">
        <v>7</v>
      </c>
      <c r="F2398">
        <v>33000</v>
      </c>
      <c r="G2398">
        <v>18000</v>
      </c>
      <c r="H2398">
        <f>Table1[[#This Row],[Qty]]*Table1[[#This Row],[SellingPrice]]</f>
        <v>33000</v>
      </c>
      <c r="I2398">
        <f>Table1[[#This Row],[Qty]]*Table1[[#This Row],[CostPrice]]</f>
        <v>18000</v>
      </c>
      <c r="J2398">
        <v>14895</v>
      </c>
      <c r="K2398">
        <v>104.99999999999999</v>
      </c>
      <c r="L2398" t="s">
        <v>12</v>
      </c>
      <c r="M2398" t="s">
        <v>29</v>
      </c>
      <c r="N2398">
        <f>MONTH(Table1[[#This Row],[SaleDate]])</f>
        <v>9</v>
      </c>
      <c r="O2398" t="str">
        <f>TEXT(Table1[[#This Row],[SaleDate]],"MMM")</f>
        <v>Sep</v>
      </c>
    </row>
    <row r="2399" spans="1:15">
      <c r="A2399" s="1">
        <v>45197</v>
      </c>
      <c r="B2399" t="s">
        <v>24</v>
      </c>
      <c r="C2399" t="s">
        <v>22</v>
      </c>
      <c r="D2399">
        <v>1</v>
      </c>
      <c r="E2399" t="s">
        <v>9</v>
      </c>
      <c r="F2399">
        <v>60000</v>
      </c>
      <c r="G2399">
        <v>31000</v>
      </c>
      <c r="H2399">
        <f>Table1[[#This Row],[Qty]]*Table1[[#This Row],[SellingPrice]]</f>
        <v>60000</v>
      </c>
      <c r="I2399">
        <f>Table1[[#This Row],[Qty]]*Table1[[#This Row],[CostPrice]]</f>
        <v>31000</v>
      </c>
      <c r="J2399">
        <v>28797</v>
      </c>
      <c r="K2399">
        <v>202.99999999999997</v>
      </c>
      <c r="L2399" t="s">
        <v>12</v>
      </c>
      <c r="M2399" t="s">
        <v>30</v>
      </c>
      <c r="N2399">
        <f>MONTH(Table1[[#This Row],[SaleDate]])</f>
        <v>9</v>
      </c>
      <c r="O2399" t="str">
        <f>TEXT(Table1[[#This Row],[SaleDate]],"MMM")</f>
        <v>Sep</v>
      </c>
    </row>
    <row r="2400" spans="1:15">
      <c r="A2400" s="1">
        <v>45197</v>
      </c>
      <c r="B2400" t="s">
        <v>24</v>
      </c>
      <c r="C2400" t="s">
        <v>22</v>
      </c>
      <c r="D2400">
        <v>1</v>
      </c>
      <c r="E2400" t="s">
        <v>10</v>
      </c>
      <c r="F2400">
        <v>89000</v>
      </c>
      <c r="G2400">
        <v>65000</v>
      </c>
      <c r="H2400">
        <f>Table1[[#This Row],[Qty]]*Table1[[#This Row],[SellingPrice]]</f>
        <v>89000</v>
      </c>
      <c r="I2400">
        <f>Table1[[#This Row],[Qty]]*Table1[[#This Row],[CostPrice]]</f>
        <v>65000</v>
      </c>
      <c r="J2400">
        <v>23832</v>
      </c>
      <c r="K2400">
        <v>167.99999999999997</v>
      </c>
      <c r="L2400" t="s">
        <v>12</v>
      </c>
      <c r="M2400" t="s">
        <v>27</v>
      </c>
      <c r="N2400">
        <f>MONTH(Table1[[#This Row],[SaleDate]])</f>
        <v>9</v>
      </c>
      <c r="O2400" t="str">
        <f>TEXT(Table1[[#This Row],[SaleDate]],"MMM")</f>
        <v>Sep</v>
      </c>
    </row>
    <row r="2401" spans="1:15">
      <c r="A2401" s="1">
        <v>45197</v>
      </c>
      <c r="B2401" t="s">
        <v>25</v>
      </c>
      <c r="C2401" t="s">
        <v>21</v>
      </c>
      <c r="D2401">
        <v>1</v>
      </c>
      <c r="E2401" t="s">
        <v>7</v>
      </c>
      <c r="F2401">
        <v>33000</v>
      </c>
      <c r="G2401">
        <v>18000</v>
      </c>
      <c r="H2401">
        <f>Table1[[#This Row],[Qty]]*Table1[[#This Row],[SellingPrice]]</f>
        <v>33000</v>
      </c>
      <c r="I2401">
        <f>Table1[[#This Row],[Qty]]*Table1[[#This Row],[CostPrice]]</f>
        <v>18000</v>
      </c>
      <c r="J2401">
        <v>14895</v>
      </c>
      <c r="K2401">
        <v>104.99999999999999</v>
      </c>
      <c r="L2401" t="s">
        <v>13</v>
      </c>
      <c r="M2401" t="s">
        <v>30</v>
      </c>
      <c r="N2401">
        <f>MONTH(Table1[[#This Row],[SaleDate]])</f>
        <v>9</v>
      </c>
      <c r="O2401" t="str">
        <f>TEXT(Table1[[#This Row],[SaleDate]],"MMM")</f>
        <v>Sep</v>
      </c>
    </row>
    <row r="2402" spans="1:15">
      <c r="A2402" s="1">
        <v>45197</v>
      </c>
      <c r="B2402" t="s">
        <v>25</v>
      </c>
      <c r="C2402" t="s">
        <v>21</v>
      </c>
      <c r="D2402">
        <v>1</v>
      </c>
      <c r="E2402" t="s">
        <v>9</v>
      </c>
      <c r="F2402">
        <v>60000</v>
      </c>
      <c r="G2402">
        <v>31000</v>
      </c>
      <c r="H2402">
        <f>Table1[[#This Row],[Qty]]*Table1[[#This Row],[SellingPrice]]</f>
        <v>60000</v>
      </c>
      <c r="I2402">
        <f>Table1[[#This Row],[Qty]]*Table1[[#This Row],[CostPrice]]</f>
        <v>31000</v>
      </c>
      <c r="J2402">
        <v>28797</v>
      </c>
      <c r="K2402">
        <v>202.99999999999997</v>
      </c>
      <c r="L2402" t="s">
        <v>13</v>
      </c>
      <c r="M2402" t="s">
        <v>30</v>
      </c>
      <c r="N2402">
        <f>MONTH(Table1[[#This Row],[SaleDate]])</f>
        <v>9</v>
      </c>
      <c r="O2402" t="str">
        <f>TEXT(Table1[[#This Row],[SaleDate]],"MMM")</f>
        <v>Sep</v>
      </c>
    </row>
    <row r="2403" spans="1:15">
      <c r="A2403" s="1">
        <v>45197</v>
      </c>
      <c r="B2403" t="s">
        <v>25</v>
      </c>
      <c r="C2403" t="s">
        <v>21</v>
      </c>
      <c r="D2403">
        <v>1</v>
      </c>
      <c r="E2403" t="s">
        <v>10</v>
      </c>
      <c r="F2403">
        <v>89000</v>
      </c>
      <c r="G2403">
        <v>65000</v>
      </c>
      <c r="H2403">
        <f>Table1[[#This Row],[Qty]]*Table1[[#This Row],[SellingPrice]]</f>
        <v>89000</v>
      </c>
      <c r="I2403">
        <f>Table1[[#This Row],[Qty]]*Table1[[#This Row],[CostPrice]]</f>
        <v>65000</v>
      </c>
      <c r="J2403">
        <v>23832</v>
      </c>
      <c r="K2403">
        <v>167.99999999999997</v>
      </c>
      <c r="L2403" t="s">
        <v>13</v>
      </c>
      <c r="M2403" t="s">
        <v>30</v>
      </c>
      <c r="N2403">
        <f>MONTH(Table1[[#This Row],[SaleDate]])</f>
        <v>9</v>
      </c>
      <c r="O2403" t="str">
        <f>TEXT(Table1[[#This Row],[SaleDate]],"MMM")</f>
        <v>Sep</v>
      </c>
    </row>
    <row r="2404" spans="1:15">
      <c r="A2404" s="1">
        <v>45198</v>
      </c>
      <c r="B2404" t="s">
        <v>23</v>
      </c>
      <c r="C2404" t="s">
        <v>19</v>
      </c>
      <c r="D2404">
        <v>1</v>
      </c>
      <c r="E2404" t="s">
        <v>7</v>
      </c>
      <c r="F2404">
        <v>33000</v>
      </c>
      <c r="G2404">
        <v>18000</v>
      </c>
      <c r="H2404">
        <f>Table1[[#This Row],[Qty]]*Table1[[#This Row],[SellingPrice]]</f>
        <v>33000</v>
      </c>
      <c r="I2404">
        <f>Table1[[#This Row],[Qty]]*Table1[[#This Row],[CostPrice]]</f>
        <v>18000</v>
      </c>
      <c r="J2404">
        <v>14895</v>
      </c>
      <c r="K2404">
        <v>104.99999999999999</v>
      </c>
      <c r="L2404" t="s">
        <v>8</v>
      </c>
      <c r="M2404" t="s">
        <v>29</v>
      </c>
      <c r="N2404">
        <f>MONTH(Table1[[#This Row],[SaleDate]])</f>
        <v>9</v>
      </c>
      <c r="O2404" t="str">
        <f>TEXT(Table1[[#This Row],[SaleDate]],"MMM")</f>
        <v>Sep</v>
      </c>
    </row>
    <row r="2405" spans="1:15">
      <c r="A2405" s="1">
        <v>45198</v>
      </c>
      <c r="B2405" t="s">
        <v>23</v>
      </c>
      <c r="C2405" t="s">
        <v>19</v>
      </c>
      <c r="D2405">
        <v>1</v>
      </c>
      <c r="E2405" t="s">
        <v>9</v>
      </c>
      <c r="F2405">
        <v>60000</v>
      </c>
      <c r="G2405">
        <v>31000</v>
      </c>
      <c r="H2405">
        <f>Table1[[#This Row],[Qty]]*Table1[[#This Row],[SellingPrice]]</f>
        <v>60000</v>
      </c>
      <c r="I2405">
        <f>Table1[[#This Row],[Qty]]*Table1[[#This Row],[CostPrice]]</f>
        <v>31000</v>
      </c>
      <c r="J2405">
        <v>28797</v>
      </c>
      <c r="K2405">
        <v>202.99999999999997</v>
      </c>
      <c r="L2405" t="s">
        <v>8</v>
      </c>
      <c r="M2405" t="s">
        <v>29</v>
      </c>
      <c r="N2405">
        <f>MONTH(Table1[[#This Row],[SaleDate]])</f>
        <v>9</v>
      </c>
      <c r="O2405" t="str">
        <f>TEXT(Table1[[#This Row],[SaleDate]],"MMM")</f>
        <v>Sep</v>
      </c>
    </row>
    <row r="2406" spans="1:15">
      <c r="A2406" s="1">
        <v>45198</v>
      </c>
      <c r="B2406" t="s">
        <v>23</v>
      </c>
      <c r="C2406" t="s">
        <v>19</v>
      </c>
      <c r="D2406">
        <v>1</v>
      </c>
      <c r="E2406" t="s">
        <v>10</v>
      </c>
      <c r="F2406">
        <v>89000</v>
      </c>
      <c r="G2406">
        <v>65000</v>
      </c>
      <c r="H2406">
        <f>Table1[[#This Row],[Qty]]*Table1[[#This Row],[SellingPrice]]</f>
        <v>89000</v>
      </c>
      <c r="I2406">
        <f>Table1[[#This Row],[Qty]]*Table1[[#This Row],[CostPrice]]</f>
        <v>65000</v>
      </c>
      <c r="J2406">
        <v>23832</v>
      </c>
      <c r="K2406">
        <v>167.99999999999997</v>
      </c>
      <c r="L2406" t="s">
        <v>8</v>
      </c>
      <c r="M2406" t="s">
        <v>27</v>
      </c>
      <c r="N2406">
        <f>MONTH(Table1[[#This Row],[SaleDate]])</f>
        <v>9</v>
      </c>
      <c r="O2406" t="str">
        <f>TEXT(Table1[[#This Row],[SaleDate]],"MMM")</f>
        <v>Sep</v>
      </c>
    </row>
    <row r="2407" spans="1:15">
      <c r="A2407" s="1">
        <v>45198</v>
      </c>
      <c r="B2407" t="s">
        <v>26</v>
      </c>
      <c r="C2407" t="s">
        <v>20</v>
      </c>
      <c r="D2407">
        <v>1</v>
      </c>
      <c r="E2407" t="s">
        <v>7</v>
      </c>
      <c r="F2407">
        <v>33000</v>
      </c>
      <c r="G2407">
        <v>18000</v>
      </c>
      <c r="H2407">
        <f>Table1[[#This Row],[Qty]]*Table1[[#This Row],[SellingPrice]]</f>
        <v>33000</v>
      </c>
      <c r="I2407">
        <f>Table1[[#This Row],[Qty]]*Table1[[#This Row],[CostPrice]]</f>
        <v>18000</v>
      </c>
      <c r="J2407">
        <v>14895</v>
      </c>
      <c r="K2407">
        <v>104.99999999999999</v>
      </c>
      <c r="L2407" t="s">
        <v>11</v>
      </c>
      <c r="M2407" t="s">
        <v>29</v>
      </c>
      <c r="N2407">
        <f>MONTH(Table1[[#This Row],[SaleDate]])</f>
        <v>9</v>
      </c>
      <c r="O2407" t="str">
        <f>TEXT(Table1[[#This Row],[SaleDate]],"MMM")</f>
        <v>Sep</v>
      </c>
    </row>
    <row r="2408" spans="1:15">
      <c r="A2408" s="1">
        <v>45198</v>
      </c>
      <c r="B2408" t="s">
        <v>24</v>
      </c>
      <c r="C2408" t="s">
        <v>22</v>
      </c>
      <c r="D2408">
        <v>1</v>
      </c>
      <c r="E2408" t="s">
        <v>7</v>
      </c>
      <c r="F2408">
        <v>33000</v>
      </c>
      <c r="G2408">
        <v>18000</v>
      </c>
      <c r="H2408">
        <f>Table1[[#This Row],[Qty]]*Table1[[#This Row],[SellingPrice]]</f>
        <v>33000</v>
      </c>
      <c r="I2408">
        <f>Table1[[#This Row],[Qty]]*Table1[[#This Row],[CostPrice]]</f>
        <v>18000</v>
      </c>
      <c r="J2408">
        <v>14895</v>
      </c>
      <c r="K2408">
        <v>104.99999999999999</v>
      </c>
      <c r="L2408" t="s">
        <v>12</v>
      </c>
      <c r="M2408" t="s">
        <v>27</v>
      </c>
      <c r="N2408">
        <f>MONTH(Table1[[#This Row],[SaleDate]])</f>
        <v>9</v>
      </c>
      <c r="O2408" t="str">
        <f>TEXT(Table1[[#This Row],[SaleDate]],"MMM")</f>
        <v>Sep</v>
      </c>
    </row>
    <row r="2409" spans="1:15">
      <c r="A2409" s="1">
        <v>45198</v>
      </c>
      <c r="B2409" t="s">
        <v>24</v>
      </c>
      <c r="C2409" t="s">
        <v>22</v>
      </c>
      <c r="D2409">
        <v>1</v>
      </c>
      <c r="E2409" t="s">
        <v>9</v>
      </c>
      <c r="F2409">
        <v>60000</v>
      </c>
      <c r="G2409">
        <v>31000</v>
      </c>
      <c r="H2409">
        <f>Table1[[#This Row],[Qty]]*Table1[[#This Row],[SellingPrice]]</f>
        <v>60000</v>
      </c>
      <c r="I2409">
        <f>Table1[[#This Row],[Qty]]*Table1[[#This Row],[CostPrice]]</f>
        <v>31000</v>
      </c>
      <c r="J2409">
        <v>28797</v>
      </c>
      <c r="K2409">
        <v>202.99999999999997</v>
      </c>
      <c r="L2409" t="s">
        <v>12</v>
      </c>
      <c r="M2409" t="s">
        <v>30</v>
      </c>
      <c r="N2409">
        <f>MONTH(Table1[[#This Row],[SaleDate]])</f>
        <v>9</v>
      </c>
      <c r="O2409" t="str">
        <f>TEXT(Table1[[#This Row],[SaleDate]],"MMM")</f>
        <v>Sep</v>
      </c>
    </row>
    <row r="2410" spans="1:15">
      <c r="A2410" s="1">
        <v>45198</v>
      </c>
      <c r="B2410" t="s">
        <v>24</v>
      </c>
      <c r="C2410" t="s">
        <v>22</v>
      </c>
      <c r="D2410">
        <v>1</v>
      </c>
      <c r="E2410" t="s">
        <v>10</v>
      </c>
      <c r="F2410">
        <v>89000</v>
      </c>
      <c r="G2410">
        <v>65000</v>
      </c>
      <c r="H2410">
        <f>Table1[[#This Row],[Qty]]*Table1[[#This Row],[SellingPrice]]</f>
        <v>89000</v>
      </c>
      <c r="I2410">
        <f>Table1[[#This Row],[Qty]]*Table1[[#This Row],[CostPrice]]</f>
        <v>65000</v>
      </c>
      <c r="J2410">
        <v>23832</v>
      </c>
      <c r="K2410">
        <v>167.99999999999997</v>
      </c>
      <c r="L2410" t="s">
        <v>12</v>
      </c>
      <c r="M2410" t="s">
        <v>30</v>
      </c>
      <c r="N2410">
        <f>MONTH(Table1[[#This Row],[SaleDate]])</f>
        <v>9</v>
      </c>
      <c r="O2410" t="str">
        <f>TEXT(Table1[[#This Row],[SaleDate]],"MMM")</f>
        <v>Sep</v>
      </c>
    </row>
    <row r="2411" spans="1:15">
      <c r="A2411" s="1">
        <v>45198</v>
      </c>
      <c r="B2411" t="s">
        <v>25</v>
      </c>
      <c r="C2411" t="s">
        <v>21</v>
      </c>
      <c r="D2411">
        <v>1</v>
      </c>
      <c r="E2411" t="s">
        <v>7</v>
      </c>
      <c r="F2411">
        <v>33000</v>
      </c>
      <c r="G2411">
        <v>18000</v>
      </c>
      <c r="H2411">
        <f>Table1[[#This Row],[Qty]]*Table1[[#This Row],[SellingPrice]]</f>
        <v>33000</v>
      </c>
      <c r="I2411">
        <f>Table1[[#This Row],[Qty]]*Table1[[#This Row],[CostPrice]]</f>
        <v>18000</v>
      </c>
      <c r="J2411">
        <v>14895</v>
      </c>
      <c r="K2411">
        <v>104.99999999999999</v>
      </c>
      <c r="L2411" t="s">
        <v>13</v>
      </c>
      <c r="M2411" t="s">
        <v>30</v>
      </c>
      <c r="N2411">
        <f>MONTH(Table1[[#This Row],[SaleDate]])</f>
        <v>9</v>
      </c>
      <c r="O2411" t="str">
        <f>TEXT(Table1[[#This Row],[SaleDate]],"MMM")</f>
        <v>Sep</v>
      </c>
    </row>
    <row r="2412" spans="1:15">
      <c r="A2412" s="1">
        <v>45198</v>
      </c>
      <c r="B2412" t="s">
        <v>25</v>
      </c>
      <c r="C2412" t="s">
        <v>21</v>
      </c>
      <c r="D2412">
        <v>1</v>
      </c>
      <c r="E2412" t="s">
        <v>9</v>
      </c>
      <c r="F2412">
        <v>60000</v>
      </c>
      <c r="G2412">
        <v>31000</v>
      </c>
      <c r="H2412">
        <f>Table1[[#This Row],[Qty]]*Table1[[#This Row],[SellingPrice]]</f>
        <v>60000</v>
      </c>
      <c r="I2412">
        <f>Table1[[#This Row],[Qty]]*Table1[[#This Row],[CostPrice]]</f>
        <v>31000</v>
      </c>
      <c r="J2412">
        <v>28797</v>
      </c>
      <c r="K2412">
        <v>202.99999999999997</v>
      </c>
      <c r="L2412" t="s">
        <v>13</v>
      </c>
      <c r="M2412" t="s">
        <v>30</v>
      </c>
      <c r="N2412">
        <f>MONTH(Table1[[#This Row],[SaleDate]])</f>
        <v>9</v>
      </c>
      <c r="O2412" t="str">
        <f>TEXT(Table1[[#This Row],[SaleDate]],"MMM")</f>
        <v>Sep</v>
      </c>
    </row>
    <row r="2413" spans="1:15">
      <c r="A2413" s="1">
        <v>45198</v>
      </c>
      <c r="B2413" t="s">
        <v>25</v>
      </c>
      <c r="C2413" t="s">
        <v>21</v>
      </c>
      <c r="D2413">
        <v>1</v>
      </c>
      <c r="E2413" t="s">
        <v>10</v>
      </c>
      <c r="F2413">
        <v>89000</v>
      </c>
      <c r="G2413">
        <v>65000</v>
      </c>
      <c r="H2413">
        <f>Table1[[#This Row],[Qty]]*Table1[[#This Row],[SellingPrice]]</f>
        <v>89000</v>
      </c>
      <c r="I2413">
        <f>Table1[[#This Row],[Qty]]*Table1[[#This Row],[CostPrice]]</f>
        <v>65000</v>
      </c>
      <c r="J2413">
        <v>23832</v>
      </c>
      <c r="K2413">
        <v>167.99999999999997</v>
      </c>
      <c r="L2413" t="s">
        <v>13</v>
      </c>
      <c r="M2413" t="s">
        <v>27</v>
      </c>
      <c r="N2413">
        <f>MONTH(Table1[[#This Row],[SaleDate]])</f>
        <v>9</v>
      </c>
      <c r="O2413" t="str">
        <f>TEXT(Table1[[#This Row],[SaleDate]],"MMM")</f>
        <v>Sep</v>
      </c>
    </row>
    <row r="2414" spans="1:15">
      <c r="A2414" s="1">
        <v>45199</v>
      </c>
      <c r="B2414" t="s">
        <v>23</v>
      </c>
      <c r="C2414" t="s">
        <v>19</v>
      </c>
      <c r="D2414">
        <v>2</v>
      </c>
      <c r="E2414" t="s">
        <v>7</v>
      </c>
      <c r="F2414">
        <v>33000</v>
      </c>
      <c r="G2414">
        <v>18000</v>
      </c>
      <c r="H2414">
        <f>Table1[[#This Row],[Qty]]*Table1[[#This Row],[SellingPrice]]</f>
        <v>66000</v>
      </c>
      <c r="I2414">
        <f>Table1[[#This Row],[Qty]]*Table1[[#This Row],[CostPrice]]</f>
        <v>36000</v>
      </c>
      <c r="J2414">
        <v>29790</v>
      </c>
      <c r="K2414">
        <v>209.99999999999997</v>
      </c>
      <c r="L2414" t="s">
        <v>8</v>
      </c>
      <c r="M2414" t="s">
        <v>29</v>
      </c>
      <c r="N2414">
        <f>MONTH(Table1[[#This Row],[SaleDate]])</f>
        <v>9</v>
      </c>
      <c r="O2414" t="str">
        <f>TEXT(Table1[[#This Row],[SaleDate]],"MMM")</f>
        <v>Sep</v>
      </c>
    </row>
    <row r="2415" spans="1:15">
      <c r="A2415" s="1">
        <v>45199</v>
      </c>
      <c r="B2415" t="s">
        <v>23</v>
      </c>
      <c r="C2415" t="s">
        <v>19</v>
      </c>
      <c r="D2415">
        <v>2</v>
      </c>
      <c r="E2415" t="s">
        <v>9</v>
      </c>
      <c r="F2415">
        <v>60000</v>
      </c>
      <c r="G2415">
        <v>31000</v>
      </c>
      <c r="H2415">
        <f>Table1[[#This Row],[Qty]]*Table1[[#This Row],[SellingPrice]]</f>
        <v>120000</v>
      </c>
      <c r="I2415">
        <f>Table1[[#This Row],[Qty]]*Table1[[#This Row],[CostPrice]]</f>
        <v>62000</v>
      </c>
      <c r="J2415">
        <v>57594</v>
      </c>
      <c r="K2415">
        <v>405.99999999999994</v>
      </c>
      <c r="L2415" t="s">
        <v>8</v>
      </c>
      <c r="M2415" t="s">
        <v>29</v>
      </c>
      <c r="N2415">
        <f>MONTH(Table1[[#This Row],[SaleDate]])</f>
        <v>9</v>
      </c>
      <c r="O2415" t="str">
        <f>TEXT(Table1[[#This Row],[SaleDate]],"MMM")</f>
        <v>Sep</v>
      </c>
    </row>
    <row r="2416" spans="1:15">
      <c r="A2416" s="1">
        <v>45199</v>
      </c>
      <c r="B2416" t="s">
        <v>23</v>
      </c>
      <c r="C2416" t="s">
        <v>19</v>
      </c>
      <c r="D2416">
        <v>2</v>
      </c>
      <c r="E2416" t="s">
        <v>10</v>
      </c>
      <c r="F2416">
        <v>89000</v>
      </c>
      <c r="G2416">
        <v>65000</v>
      </c>
      <c r="H2416">
        <f>Table1[[#This Row],[Qty]]*Table1[[#This Row],[SellingPrice]]</f>
        <v>178000</v>
      </c>
      <c r="I2416">
        <f>Table1[[#This Row],[Qty]]*Table1[[#This Row],[CostPrice]]</f>
        <v>130000</v>
      </c>
      <c r="J2416">
        <v>47664</v>
      </c>
      <c r="K2416">
        <v>335.99999999999994</v>
      </c>
      <c r="L2416" t="s">
        <v>8</v>
      </c>
      <c r="M2416" t="s">
        <v>29</v>
      </c>
      <c r="N2416">
        <f>MONTH(Table1[[#This Row],[SaleDate]])</f>
        <v>9</v>
      </c>
      <c r="O2416" t="str">
        <f>TEXT(Table1[[#This Row],[SaleDate]],"MMM")</f>
        <v>Sep</v>
      </c>
    </row>
    <row r="2417" spans="1:15">
      <c r="A2417" s="1">
        <v>45199</v>
      </c>
      <c r="B2417" t="s">
        <v>26</v>
      </c>
      <c r="C2417" t="s">
        <v>20</v>
      </c>
      <c r="D2417">
        <v>2</v>
      </c>
      <c r="E2417" t="s">
        <v>7</v>
      </c>
      <c r="F2417">
        <v>33000</v>
      </c>
      <c r="G2417">
        <v>18000</v>
      </c>
      <c r="H2417">
        <f>Table1[[#This Row],[Qty]]*Table1[[#This Row],[SellingPrice]]</f>
        <v>66000</v>
      </c>
      <c r="I2417">
        <f>Table1[[#This Row],[Qty]]*Table1[[#This Row],[CostPrice]]</f>
        <v>36000</v>
      </c>
      <c r="J2417">
        <v>29790</v>
      </c>
      <c r="K2417">
        <v>209.99999999999997</v>
      </c>
      <c r="L2417" t="s">
        <v>11</v>
      </c>
      <c r="M2417" t="s">
        <v>30</v>
      </c>
      <c r="N2417">
        <f>MONTH(Table1[[#This Row],[SaleDate]])</f>
        <v>9</v>
      </c>
      <c r="O2417" t="str">
        <f>TEXT(Table1[[#This Row],[SaleDate]],"MMM")</f>
        <v>Sep</v>
      </c>
    </row>
    <row r="2418" spans="1:15">
      <c r="A2418" s="1">
        <v>45199</v>
      </c>
      <c r="B2418" t="s">
        <v>24</v>
      </c>
      <c r="C2418" t="s">
        <v>22</v>
      </c>
      <c r="D2418">
        <v>2</v>
      </c>
      <c r="E2418" t="s">
        <v>7</v>
      </c>
      <c r="F2418">
        <v>33000</v>
      </c>
      <c r="G2418">
        <v>18000</v>
      </c>
      <c r="H2418">
        <f>Table1[[#This Row],[Qty]]*Table1[[#This Row],[SellingPrice]]</f>
        <v>66000</v>
      </c>
      <c r="I2418">
        <f>Table1[[#This Row],[Qty]]*Table1[[#This Row],[CostPrice]]</f>
        <v>36000</v>
      </c>
      <c r="J2418">
        <v>29790</v>
      </c>
      <c r="K2418">
        <v>209.99999999999997</v>
      </c>
      <c r="L2418" t="s">
        <v>12</v>
      </c>
      <c r="M2418" t="s">
        <v>27</v>
      </c>
      <c r="N2418">
        <f>MONTH(Table1[[#This Row],[SaleDate]])</f>
        <v>9</v>
      </c>
      <c r="O2418" t="str">
        <f>TEXT(Table1[[#This Row],[SaleDate]],"MMM")</f>
        <v>Sep</v>
      </c>
    </row>
    <row r="2419" spans="1:15">
      <c r="A2419" s="1">
        <v>45199</v>
      </c>
      <c r="B2419" t="s">
        <v>24</v>
      </c>
      <c r="C2419" t="s">
        <v>22</v>
      </c>
      <c r="D2419">
        <v>2</v>
      </c>
      <c r="E2419" t="s">
        <v>9</v>
      </c>
      <c r="F2419">
        <v>60000</v>
      </c>
      <c r="G2419">
        <v>31000</v>
      </c>
      <c r="H2419">
        <f>Table1[[#This Row],[Qty]]*Table1[[#This Row],[SellingPrice]]</f>
        <v>120000</v>
      </c>
      <c r="I2419">
        <f>Table1[[#This Row],[Qty]]*Table1[[#This Row],[CostPrice]]</f>
        <v>62000</v>
      </c>
      <c r="J2419">
        <v>57594</v>
      </c>
      <c r="K2419">
        <v>405.99999999999994</v>
      </c>
      <c r="L2419" t="s">
        <v>12</v>
      </c>
      <c r="M2419" t="s">
        <v>29</v>
      </c>
      <c r="N2419">
        <f>MONTH(Table1[[#This Row],[SaleDate]])</f>
        <v>9</v>
      </c>
      <c r="O2419" t="str">
        <f>TEXT(Table1[[#This Row],[SaleDate]],"MMM")</f>
        <v>Sep</v>
      </c>
    </row>
    <row r="2420" spans="1:15">
      <c r="A2420" s="1">
        <v>45199</v>
      </c>
      <c r="B2420" t="s">
        <v>24</v>
      </c>
      <c r="C2420" t="s">
        <v>22</v>
      </c>
      <c r="D2420">
        <v>2</v>
      </c>
      <c r="E2420" t="s">
        <v>10</v>
      </c>
      <c r="F2420">
        <v>89000</v>
      </c>
      <c r="G2420">
        <v>65000</v>
      </c>
      <c r="H2420">
        <f>Table1[[#This Row],[Qty]]*Table1[[#This Row],[SellingPrice]]</f>
        <v>178000</v>
      </c>
      <c r="I2420">
        <f>Table1[[#This Row],[Qty]]*Table1[[#This Row],[CostPrice]]</f>
        <v>130000</v>
      </c>
      <c r="J2420">
        <v>47664</v>
      </c>
      <c r="K2420">
        <v>335.99999999999994</v>
      </c>
      <c r="L2420" t="s">
        <v>12</v>
      </c>
      <c r="M2420" t="s">
        <v>28</v>
      </c>
      <c r="N2420">
        <f>MONTH(Table1[[#This Row],[SaleDate]])</f>
        <v>9</v>
      </c>
      <c r="O2420" t="str">
        <f>TEXT(Table1[[#This Row],[SaleDate]],"MMM")</f>
        <v>Sep</v>
      </c>
    </row>
    <row r="2421" spans="1:15">
      <c r="A2421" s="1">
        <v>45199</v>
      </c>
      <c r="B2421" t="s">
        <v>25</v>
      </c>
      <c r="C2421" t="s">
        <v>21</v>
      </c>
      <c r="D2421">
        <v>2</v>
      </c>
      <c r="E2421" t="s">
        <v>7</v>
      </c>
      <c r="F2421">
        <v>33000</v>
      </c>
      <c r="G2421">
        <v>18000</v>
      </c>
      <c r="H2421">
        <f>Table1[[#This Row],[Qty]]*Table1[[#This Row],[SellingPrice]]</f>
        <v>66000</v>
      </c>
      <c r="I2421">
        <f>Table1[[#This Row],[Qty]]*Table1[[#This Row],[CostPrice]]</f>
        <v>36000</v>
      </c>
      <c r="J2421">
        <v>29790</v>
      </c>
      <c r="K2421">
        <v>209.99999999999997</v>
      </c>
      <c r="L2421" t="s">
        <v>13</v>
      </c>
      <c r="M2421" t="s">
        <v>30</v>
      </c>
      <c r="N2421">
        <f>MONTH(Table1[[#This Row],[SaleDate]])</f>
        <v>9</v>
      </c>
      <c r="O2421" t="str">
        <f>TEXT(Table1[[#This Row],[SaleDate]],"MMM")</f>
        <v>Sep</v>
      </c>
    </row>
    <row r="2422" spans="1:15">
      <c r="A2422" s="1">
        <v>45199</v>
      </c>
      <c r="B2422" t="s">
        <v>25</v>
      </c>
      <c r="C2422" t="s">
        <v>21</v>
      </c>
      <c r="D2422">
        <v>2</v>
      </c>
      <c r="E2422" t="s">
        <v>9</v>
      </c>
      <c r="F2422">
        <v>60000</v>
      </c>
      <c r="G2422">
        <v>31000</v>
      </c>
      <c r="H2422">
        <f>Table1[[#This Row],[Qty]]*Table1[[#This Row],[SellingPrice]]</f>
        <v>120000</v>
      </c>
      <c r="I2422">
        <f>Table1[[#This Row],[Qty]]*Table1[[#This Row],[CostPrice]]</f>
        <v>62000</v>
      </c>
      <c r="J2422">
        <v>57594</v>
      </c>
      <c r="K2422">
        <v>405.99999999999994</v>
      </c>
      <c r="L2422" t="s">
        <v>13</v>
      </c>
      <c r="M2422" t="s">
        <v>30</v>
      </c>
      <c r="N2422">
        <f>MONTH(Table1[[#This Row],[SaleDate]])</f>
        <v>9</v>
      </c>
      <c r="O2422" t="str">
        <f>TEXT(Table1[[#This Row],[SaleDate]],"MMM")</f>
        <v>Sep</v>
      </c>
    </row>
    <row r="2423" spans="1:15">
      <c r="A2423" s="1">
        <v>45199</v>
      </c>
      <c r="B2423" t="s">
        <v>25</v>
      </c>
      <c r="C2423" t="s">
        <v>21</v>
      </c>
      <c r="D2423">
        <v>2</v>
      </c>
      <c r="E2423" t="s">
        <v>10</v>
      </c>
      <c r="F2423">
        <v>89000</v>
      </c>
      <c r="G2423">
        <v>65000</v>
      </c>
      <c r="H2423">
        <f>Table1[[#This Row],[Qty]]*Table1[[#This Row],[SellingPrice]]</f>
        <v>178000</v>
      </c>
      <c r="I2423">
        <f>Table1[[#This Row],[Qty]]*Table1[[#This Row],[CostPrice]]</f>
        <v>130000</v>
      </c>
      <c r="J2423">
        <v>47664</v>
      </c>
      <c r="K2423">
        <v>335.99999999999994</v>
      </c>
      <c r="L2423" t="s">
        <v>13</v>
      </c>
      <c r="M2423" t="s">
        <v>27</v>
      </c>
      <c r="N2423">
        <f>MONTH(Table1[[#This Row],[SaleDate]])</f>
        <v>9</v>
      </c>
      <c r="O2423" t="str">
        <f>TEXT(Table1[[#This Row],[SaleDate]],"MMM")</f>
        <v>Sep</v>
      </c>
    </row>
    <row r="2424" spans="1:15">
      <c r="A2424" s="1">
        <v>45200</v>
      </c>
      <c r="B2424" t="s">
        <v>23</v>
      </c>
      <c r="C2424" t="s">
        <v>19</v>
      </c>
      <c r="D2424">
        <v>2</v>
      </c>
      <c r="E2424" t="s">
        <v>7</v>
      </c>
      <c r="F2424">
        <v>33000</v>
      </c>
      <c r="G2424">
        <v>18000</v>
      </c>
      <c r="H2424">
        <f>Table1[[#This Row],[Qty]]*Table1[[#This Row],[SellingPrice]]</f>
        <v>66000</v>
      </c>
      <c r="I2424">
        <f>Table1[[#This Row],[Qty]]*Table1[[#This Row],[CostPrice]]</f>
        <v>36000</v>
      </c>
      <c r="J2424">
        <v>29790</v>
      </c>
      <c r="K2424">
        <v>209.99999999999997</v>
      </c>
      <c r="L2424" t="s">
        <v>8</v>
      </c>
      <c r="M2424" t="s">
        <v>27</v>
      </c>
      <c r="N2424">
        <f>MONTH(Table1[[#This Row],[SaleDate]])</f>
        <v>10</v>
      </c>
      <c r="O2424" t="str">
        <f>TEXT(Table1[[#This Row],[SaleDate]],"MMM")</f>
        <v>Oct</v>
      </c>
    </row>
    <row r="2425" spans="1:15">
      <c r="A2425" s="1">
        <v>45200</v>
      </c>
      <c r="B2425" t="s">
        <v>23</v>
      </c>
      <c r="C2425" t="s">
        <v>19</v>
      </c>
      <c r="D2425">
        <v>2</v>
      </c>
      <c r="E2425" t="s">
        <v>9</v>
      </c>
      <c r="F2425">
        <v>60000</v>
      </c>
      <c r="G2425">
        <v>31000</v>
      </c>
      <c r="H2425">
        <f>Table1[[#This Row],[Qty]]*Table1[[#This Row],[SellingPrice]]</f>
        <v>120000</v>
      </c>
      <c r="I2425">
        <f>Table1[[#This Row],[Qty]]*Table1[[#This Row],[CostPrice]]</f>
        <v>62000</v>
      </c>
      <c r="J2425">
        <v>57594</v>
      </c>
      <c r="K2425">
        <v>405.99999999999994</v>
      </c>
      <c r="L2425" t="s">
        <v>8</v>
      </c>
      <c r="M2425" t="s">
        <v>27</v>
      </c>
      <c r="N2425">
        <f>MONTH(Table1[[#This Row],[SaleDate]])</f>
        <v>10</v>
      </c>
      <c r="O2425" t="str">
        <f>TEXT(Table1[[#This Row],[SaleDate]],"MMM")</f>
        <v>Oct</v>
      </c>
    </row>
    <row r="2426" spans="1:15">
      <c r="A2426" s="1">
        <v>45200</v>
      </c>
      <c r="B2426" t="s">
        <v>23</v>
      </c>
      <c r="C2426" t="s">
        <v>19</v>
      </c>
      <c r="D2426">
        <v>2</v>
      </c>
      <c r="E2426" t="s">
        <v>10</v>
      </c>
      <c r="F2426">
        <v>89000</v>
      </c>
      <c r="G2426">
        <v>65000</v>
      </c>
      <c r="H2426">
        <f>Table1[[#This Row],[Qty]]*Table1[[#This Row],[SellingPrice]]</f>
        <v>178000</v>
      </c>
      <c r="I2426">
        <f>Table1[[#This Row],[Qty]]*Table1[[#This Row],[CostPrice]]</f>
        <v>130000</v>
      </c>
      <c r="J2426">
        <v>47664</v>
      </c>
      <c r="K2426">
        <v>335.99999999999994</v>
      </c>
      <c r="L2426" t="s">
        <v>8</v>
      </c>
      <c r="M2426" t="s">
        <v>29</v>
      </c>
      <c r="N2426">
        <f>MONTH(Table1[[#This Row],[SaleDate]])</f>
        <v>10</v>
      </c>
      <c r="O2426" t="str">
        <f>TEXT(Table1[[#This Row],[SaleDate]],"MMM")</f>
        <v>Oct</v>
      </c>
    </row>
    <row r="2427" spans="1:15">
      <c r="A2427" s="1">
        <v>45200</v>
      </c>
      <c r="B2427" t="s">
        <v>26</v>
      </c>
      <c r="C2427" t="s">
        <v>20</v>
      </c>
      <c r="D2427">
        <v>2</v>
      </c>
      <c r="E2427" t="s">
        <v>7</v>
      </c>
      <c r="F2427">
        <v>33000</v>
      </c>
      <c r="G2427">
        <v>18000</v>
      </c>
      <c r="H2427">
        <f>Table1[[#This Row],[Qty]]*Table1[[#This Row],[SellingPrice]]</f>
        <v>66000</v>
      </c>
      <c r="I2427">
        <f>Table1[[#This Row],[Qty]]*Table1[[#This Row],[CostPrice]]</f>
        <v>36000</v>
      </c>
      <c r="J2427">
        <v>29790</v>
      </c>
      <c r="K2427">
        <v>209.99999999999997</v>
      </c>
      <c r="L2427" t="s">
        <v>11</v>
      </c>
      <c r="M2427" t="s">
        <v>29</v>
      </c>
      <c r="N2427">
        <f>MONTH(Table1[[#This Row],[SaleDate]])</f>
        <v>10</v>
      </c>
      <c r="O2427" t="str">
        <f>TEXT(Table1[[#This Row],[SaleDate]],"MMM")</f>
        <v>Oct</v>
      </c>
    </row>
    <row r="2428" spans="1:15">
      <c r="A2428" s="1">
        <v>45200</v>
      </c>
      <c r="B2428" t="s">
        <v>24</v>
      </c>
      <c r="C2428" t="s">
        <v>22</v>
      </c>
      <c r="D2428">
        <v>2</v>
      </c>
      <c r="E2428" t="s">
        <v>7</v>
      </c>
      <c r="F2428">
        <v>33000</v>
      </c>
      <c r="G2428">
        <v>18000</v>
      </c>
      <c r="H2428">
        <f>Table1[[#This Row],[Qty]]*Table1[[#This Row],[SellingPrice]]</f>
        <v>66000</v>
      </c>
      <c r="I2428">
        <f>Table1[[#This Row],[Qty]]*Table1[[#This Row],[CostPrice]]</f>
        <v>36000</v>
      </c>
      <c r="J2428">
        <v>29790</v>
      </c>
      <c r="K2428">
        <v>209.99999999999997</v>
      </c>
      <c r="L2428" t="s">
        <v>12</v>
      </c>
      <c r="M2428" t="s">
        <v>29</v>
      </c>
      <c r="N2428">
        <f>MONTH(Table1[[#This Row],[SaleDate]])</f>
        <v>10</v>
      </c>
      <c r="O2428" t="str">
        <f>TEXT(Table1[[#This Row],[SaleDate]],"MMM")</f>
        <v>Oct</v>
      </c>
    </row>
    <row r="2429" spans="1:15">
      <c r="A2429" s="1">
        <v>45200</v>
      </c>
      <c r="B2429" t="s">
        <v>24</v>
      </c>
      <c r="C2429" t="s">
        <v>22</v>
      </c>
      <c r="D2429">
        <v>2</v>
      </c>
      <c r="E2429" t="s">
        <v>9</v>
      </c>
      <c r="F2429">
        <v>60000</v>
      </c>
      <c r="G2429">
        <v>31000</v>
      </c>
      <c r="H2429">
        <f>Table1[[#This Row],[Qty]]*Table1[[#This Row],[SellingPrice]]</f>
        <v>120000</v>
      </c>
      <c r="I2429">
        <f>Table1[[#This Row],[Qty]]*Table1[[#This Row],[CostPrice]]</f>
        <v>62000</v>
      </c>
      <c r="J2429">
        <v>57594</v>
      </c>
      <c r="K2429">
        <v>405.99999999999994</v>
      </c>
      <c r="L2429" t="s">
        <v>12</v>
      </c>
      <c r="M2429" t="s">
        <v>30</v>
      </c>
      <c r="N2429">
        <f>MONTH(Table1[[#This Row],[SaleDate]])</f>
        <v>10</v>
      </c>
      <c r="O2429" t="str">
        <f>TEXT(Table1[[#This Row],[SaleDate]],"MMM")</f>
        <v>Oct</v>
      </c>
    </row>
    <row r="2430" spans="1:15">
      <c r="A2430" s="1">
        <v>45200</v>
      </c>
      <c r="B2430" t="s">
        <v>24</v>
      </c>
      <c r="C2430" t="s">
        <v>22</v>
      </c>
      <c r="D2430">
        <v>2</v>
      </c>
      <c r="E2430" t="s">
        <v>10</v>
      </c>
      <c r="F2430">
        <v>89000</v>
      </c>
      <c r="G2430">
        <v>65000</v>
      </c>
      <c r="H2430">
        <f>Table1[[#This Row],[Qty]]*Table1[[#This Row],[SellingPrice]]</f>
        <v>178000</v>
      </c>
      <c r="I2430">
        <f>Table1[[#This Row],[Qty]]*Table1[[#This Row],[CostPrice]]</f>
        <v>130000</v>
      </c>
      <c r="J2430">
        <v>47664</v>
      </c>
      <c r="K2430">
        <v>335.99999999999994</v>
      </c>
      <c r="L2430" t="s">
        <v>12</v>
      </c>
      <c r="M2430" t="s">
        <v>27</v>
      </c>
      <c r="N2430">
        <f>MONTH(Table1[[#This Row],[SaleDate]])</f>
        <v>10</v>
      </c>
      <c r="O2430" t="str">
        <f>TEXT(Table1[[#This Row],[SaleDate]],"MMM")</f>
        <v>Oct</v>
      </c>
    </row>
    <row r="2431" spans="1:15">
      <c r="A2431" s="1">
        <v>45200</v>
      </c>
      <c r="B2431" t="s">
        <v>25</v>
      </c>
      <c r="C2431" t="s">
        <v>21</v>
      </c>
      <c r="D2431">
        <v>2</v>
      </c>
      <c r="E2431" t="s">
        <v>7</v>
      </c>
      <c r="F2431">
        <v>33000</v>
      </c>
      <c r="G2431">
        <v>18000</v>
      </c>
      <c r="H2431">
        <f>Table1[[#This Row],[Qty]]*Table1[[#This Row],[SellingPrice]]</f>
        <v>66000</v>
      </c>
      <c r="I2431">
        <f>Table1[[#This Row],[Qty]]*Table1[[#This Row],[CostPrice]]</f>
        <v>36000</v>
      </c>
      <c r="J2431">
        <v>29790</v>
      </c>
      <c r="K2431">
        <v>209.99999999999997</v>
      </c>
      <c r="L2431" t="s">
        <v>13</v>
      </c>
      <c r="M2431" t="s">
        <v>29</v>
      </c>
      <c r="N2431">
        <f>MONTH(Table1[[#This Row],[SaleDate]])</f>
        <v>10</v>
      </c>
      <c r="O2431" t="str">
        <f>TEXT(Table1[[#This Row],[SaleDate]],"MMM")</f>
        <v>Oct</v>
      </c>
    </row>
    <row r="2432" spans="1:15">
      <c r="A2432" s="1">
        <v>45200</v>
      </c>
      <c r="B2432" t="s">
        <v>25</v>
      </c>
      <c r="C2432" t="s">
        <v>21</v>
      </c>
      <c r="D2432">
        <v>2</v>
      </c>
      <c r="E2432" t="s">
        <v>9</v>
      </c>
      <c r="F2432">
        <v>60000</v>
      </c>
      <c r="G2432">
        <v>31000</v>
      </c>
      <c r="H2432">
        <f>Table1[[#This Row],[Qty]]*Table1[[#This Row],[SellingPrice]]</f>
        <v>120000</v>
      </c>
      <c r="I2432">
        <f>Table1[[#This Row],[Qty]]*Table1[[#This Row],[CostPrice]]</f>
        <v>62000</v>
      </c>
      <c r="J2432">
        <v>57594</v>
      </c>
      <c r="K2432">
        <v>405.99999999999994</v>
      </c>
      <c r="L2432" t="s">
        <v>13</v>
      </c>
      <c r="M2432" t="s">
        <v>30</v>
      </c>
      <c r="N2432">
        <f>MONTH(Table1[[#This Row],[SaleDate]])</f>
        <v>10</v>
      </c>
      <c r="O2432" t="str">
        <f>TEXT(Table1[[#This Row],[SaleDate]],"MMM")</f>
        <v>Oct</v>
      </c>
    </row>
    <row r="2433" spans="1:15">
      <c r="A2433" s="1">
        <v>45200</v>
      </c>
      <c r="B2433" t="s">
        <v>25</v>
      </c>
      <c r="C2433" t="s">
        <v>21</v>
      </c>
      <c r="D2433">
        <v>2</v>
      </c>
      <c r="E2433" t="s">
        <v>10</v>
      </c>
      <c r="F2433">
        <v>89000</v>
      </c>
      <c r="G2433">
        <v>65000</v>
      </c>
      <c r="H2433">
        <f>Table1[[#This Row],[Qty]]*Table1[[#This Row],[SellingPrice]]</f>
        <v>178000</v>
      </c>
      <c r="I2433">
        <f>Table1[[#This Row],[Qty]]*Table1[[#This Row],[CostPrice]]</f>
        <v>130000</v>
      </c>
      <c r="J2433">
        <v>47664</v>
      </c>
      <c r="K2433">
        <v>335.99999999999994</v>
      </c>
      <c r="L2433" t="s">
        <v>13</v>
      </c>
      <c r="M2433" t="s">
        <v>29</v>
      </c>
      <c r="N2433">
        <f>MONTH(Table1[[#This Row],[SaleDate]])</f>
        <v>10</v>
      </c>
      <c r="O2433" t="str">
        <f>TEXT(Table1[[#This Row],[SaleDate]],"MMM")</f>
        <v>Oct</v>
      </c>
    </row>
    <row r="2434" spans="1:15">
      <c r="A2434" s="1">
        <v>45201</v>
      </c>
      <c r="B2434" t="s">
        <v>23</v>
      </c>
      <c r="C2434" t="s">
        <v>19</v>
      </c>
      <c r="D2434">
        <v>1</v>
      </c>
      <c r="E2434" t="s">
        <v>7</v>
      </c>
      <c r="F2434">
        <v>33000</v>
      </c>
      <c r="G2434">
        <v>18000</v>
      </c>
      <c r="H2434">
        <f>Table1[[#This Row],[Qty]]*Table1[[#This Row],[SellingPrice]]</f>
        <v>33000</v>
      </c>
      <c r="I2434">
        <f>Table1[[#This Row],[Qty]]*Table1[[#This Row],[CostPrice]]</f>
        <v>18000</v>
      </c>
      <c r="J2434">
        <v>14895</v>
      </c>
      <c r="K2434">
        <v>104.99999999999999</v>
      </c>
      <c r="L2434" t="s">
        <v>8</v>
      </c>
      <c r="M2434" t="s">
        <v>27</v>
      </c>
      <c r="N2434">
        <f>MONTH(Table1[[#This Row],[SaleDate]])</f>
        <v>10</v>
      </c>
      <c r="O2434" t="str">
        <f>TEXT(Table1[[#This Row],[SaleDate]],"MMM")</f>
        <v>Oct</v>
      </c>
    </row>
    <row r="2435" spans="1:15">
      <c r="A2435" s="1">
        <v>45201</v>
      </c>
      <c r="B2435" t="s">
        <v>23</v>
      </c>
      <c r="C2435" t="s">
        <v>19</v>
      </c>
      <c r="D2435">
        <v>1</v>
      </c>
      <c r="E2435" t="s">
        <v>9</v>
      </c>
      <c r="F2435">
        <v>60000</v>
      </c>
      <c r="G2435">
        <v>31000</v>
      </c>
      <c r="H2435">
        <f>Table1[[#This Row],[Qty]]*Table1[[#This Row],[SellingPrice]]</f>
        <v>60000</v>
      </c>
      <c r="I2435">
        <f>Table1[[#This Row],[Qty]]*Table1[[#This Row],[CostPrice]]</f>
        <v>31000</v>
      </c>
      <c r="J2435">
        <v>28797</v>
      </c>
      <c r="K2435">
        <v>202.99999999999997</v>
      </c>
      <c r="L2435" t="s">
        <v>8</v>
      </c>
      <c r="M2435" t="s">
        <v>27</v>
      </c>
      <c r="N2435">
        <f>MONTH(Table1[[#This Row],[SaleDate]])</f>
        <v>10</v>
      </c>
      <c r="O2435" t="str">
        <f>TEXT(Table1[[#This Row],[SaleDate]],"MMM")</f>
        <v>Oct</v>
      </c>
    </row>
    <row r="2436" spans="1:15">
      <c r="A2436" s="1">
        <v>45201</v>
      </c>
      <c r="B2436" t="s">
        <v>23</v>
      </c>
      <c r="C2436" t="s">
        <v>19</v>
      </c>
      <c r="D2436">
        <v>1</v>
      </c>
      <c r="E2436" t="s">
        <v>10</v>
      </c>
      <c r="F2436">
        <v>89000</v>
      </c>
      <c r="G2436">
        <v>65000</v>
      </c>
      <c r="H2436">
        <f>Table1[[#This Row],[Qty]]*Table1[[#This Row],[SellingPrice]]</f>
        <v>89000</v>
      </c>
      <c r="I2436">
        <f>Table1[[#This Row],[Qty]]*Table1[[#This Row],[CostPrice]]</f>
        <v>65000</v>
      </c>
      <c r="J2436">
        <v>23832</v>
      </c>
      <c r="K2436">
        <v>167.99999999999997</v>
      </c>
      <c r="L2436" t="s">
        <v>8</v>
      </c>
      <c r="M2436" t="s">
        <v>30</v>
      </c>
      <c r="N2436">
        <f>MONTH(Table1[[#This Row],[SaleDate]])</f>
        <v>10</v>
      </c>
      <c r="O2436" t="str">
        <f>TEXT(Table1[[#This Row],[SaleDate]],"MMM")</f>
        <v>Oct</v>
      </c>
    </row>
    <row r="2437" spans="1:15">
      <c r="A2437" s="1">
        <v>45201</v>
      </c>
      <c r="B2437" t="s">
        <v>26</v>
      </c>
      <c r="C2437" t="s">
        <v>20</v>
      </c>
      <c r="D2437">
        <v>1</v>
      </c>
      <c r="E2437" t="s">
        <v>7</v>
      </c>
      <c r="F2437">
        <v>33000</v>
      </c>
      <c r="G2437">
        <v>18000</v>
      </c>
      <c r="H2437">
        <f>Table1[[#This Row],[Qty]]*Table1[[#This Row],[SellingPrice]]</f>
        <v>33000</v>
      </c>
      <c r="I2437">
        <f>Table1[[#This Row],[Qty]]*Table1[[#This Row],[CostPrice]]</f>
        <v>18000</v>
      </c>
      <c r="J2437">
        <v>14895</v>
      </c>
      <c r="K2437">
        <v>104.99999999999999</v>
      </c>
      <c r="L2437" t="s">
        <v>11</v>
      </c>
      <c r="M2437" t="s">
        <v>29</v>
      </c>
      <c r="N2437">
        <f>MONTH(Table1[[#This Row],[SaleDate]])</f>
        <v>10</v>
      </c>
      <c r="O2437" t="str">
        <f>TEXT(Table1[[#This Row],[SaleDate]],"MMM")</f>
        <v>Oct</v>
      </c>
    </row>
    <row r="2438" spans="1:15">
      <c r="A2438" s="1">
        <v>45201</v>
      </c>
      <c r="B2438" t="s">
        <v>24</v>
      </c>
      <c r="C2438" t="s">
        <v>22</v>
      </c>
      <c r="D2438">
        <v>1</v>
      </c>
      <c r="E2438" t="s">
        <v>7</v>
      </c>
      <c r="F2438">
        <v>33000</v>
      </c>
      <c r="G2438">
        <v>18000</v>
      </c>
      <c r="H2438">
        <f>Table1[[#This Row],[Qty]]*Table1[[#This Row],[SellingPrice]]</f>
        <v>33000</v>
      </c>
      <c r="I2438">
        <f>Table1[[#This Row],[Qty]]*Table1[[#This Row],[CostPrice]]</f>
        <v>18000</v>
      </c>
      <c r="J2438">
        <v>14895</v>
      </c>
      <c r="K2438">
        <v>104.99999999999999</v>
      </c>
      <c r="L2438" t="s">
        <v>12</v>
      </c>
      <c r="M2438" t="s">
        <v>30</v>
      </c>
      <c r="N2438">
        <f>MONTH(Table1[[#This Row],[SaleDate]])</f>
        <v>10</v>
      </c>
      <c r="O2438" t="str">
        <f>TEXT(Table1[[#This Row],[SaleDate]],"MMM")</f>
        <v>Oct</v>
      </c>
    </row>
    <row r="2439" spans="1:15">
      <c r="A2439" s="1">
        <v>45201</v>
      </c>
      <c r="B2439" t="s">
        <v>24</v>
      </c>
      <c r="C2439" t="s">
        <v>22</v>
      </c>
      <c r="D2439">
        <v>1</v>
      </c>
      <c r="E2439" t="s">
        <v>9</v>
      </c>
      <c r="F2439">
        <v>60000</v>
      </c>
      <c r="G2439">
        <v>31000</v>
      </c>
      <c r="H2439">
        <f>Table1[[#This Row],[Qty]]*Table1[[#This Row],[SellingPrice]]</f>
        <v>60000</v>
      </c>
      <c r="I2439">
        <f>Table1[[#This Row],[Qty]]*Table1[[#This Row],[CostPrice]]</f>
        <v>31000</v>
      </c>
      <c r="J2439">
        <v>28797</v>
      </c>
      <c r="K2439">
        <v>202.99999999999997</v>
      </c>
      <c r="L2439" t="s">
        <v>12</v>
      </c>
      <c r="M2439" t="s">
        <v>29</v>
      </c>
      <c r="N2439">
        <f>MONTH(Table1[[#This Row],[SaleDate]])</f>
        <v>10</v>
      </c>
      <c r="O2439" t="str">
        <f>TEXT(Table1[[#This Row],[SaleDate]],"MMM")</f>
        <v>Oct</v>
      </c>
    </row>
    <row r="2440" spans="1:15">
      <c r="A2440" s="1">
        <v>45201</v>
      </c>
      <c r="B2440" t="s">
        <v>24</v>
      </c>
      <c r="C2440" t="s">
        <v>22</v>
      </c>
      <c r="D2440">
        <v>1</v>
      </c>
      <c r="E2440" t="s">
        <v>10</v>
      </c>
      <c r="F2440">
        <v>89000</v>
      </c>
      <c r="G2440">
        <v>65000</v>
      </c>
      <c r="H2440">
        <f>Table1[[#This Row],[Qty]]*Table1[[#This Row],[SellingPrice]]</f>
        <v>89000</v>
      </c>
      <c r="I2440">
        <f>Table1[[#This Row],[Qty]]*Table1[[#This Row],[CostPrice]]</f>
        <v>65000</v>
      </c>
      <c r="J2440">
        <v>23832</v>
      </c>
      <c r="K2440">
        <v>167.99999999999997</v>
      </c>
      <c r="L2440" t="s">
        <v>12</v>
      </c>
      <c r="M2440" t="s">
        <v>29</v>
      </c>
      <c r="N2440">
        <f>MONTH(Table1[[#This Row],[SaleDate]])</f>
        <v>10</v>
      </c>
      <c r="O2440" t="str">
        <f>TEXT(Table1[[#This Row],[SaleDate]],"MMM")</f>
        <v>Oct</v>
      </c>
    </row>
    <row r="2441" spans="1:15">
      <c r="A2441" s="1">
        <v>45201</v>
      </c>
      <c r="B2441" t="s">
        <v>25</v>
      </c>
      <c r="C2441" t="s">
        <v>21</v>
      </c>
      <c r="D2441">
        <v>1</v>
      </c>
      <c r="E2441" t="s">
        <v>7</v>
      </c>
      <c r="F2441">
        <v>33000</v>
      </c>
      <c r="G2441">
        <v>18000</v>
      </c>
      <c r="H2441">
        <f>Table1[[#This Row],[Qty]]*Table1[[#This Row],[SellingPrice]]</f>
        <v>33000</v>
      </c>
      <c r="I2441">
        <f>Table1[[#This Row],[Qty]]*Table1[[#This Row],[CostPrice]]</f>
        <v>18000</v>
      </c>
      <c r="J2441">
        <v>14895</v>
      </c>
      <c r="K2441">
        <v>104.99999999999999</v>
      </c>
      <c r="L2441" t="s">
        <v>13</v>
      </c>
      <c r="M2441" t="s">
        <v>29</v>
      </c>
      <c r="N2441">
        <f>MONTH(Table1[[#This Row],[SaleDate]])</f>
        <v>10</v>
      </c>
      <c r="O2441" t="str">
        <f>TEXT(Table1[[#This Row],[SaleDate]],"MMM")</f>
        <v>Oct</v>
      </c>
    </row>
    <row r="2442" spans="1:15">
      <c r="A2442" s="1">
        <v>45201</v>
      </c>
      <c r="B2442" t="s">
        <v>25</v>
      </c>
      <c r="C2442" t="s">
        <v>21</v>
      </c>
      <c r="D2442">
        <v>1</v>
      </c>
      <c r="E2442" t="s">
        <v>9</v>
      </c>
      <c r="F2442">
        <v>60000</v>
      </c>
      <c r="G2442">
        <v>31000</v>
      </c>
      <c r="H2442">
        <f>Table1[[#This Row],[Qty]]*Table1[[#This Row],[SellingPrice]]</f>
        <v>60000</v>
      </c>
      <c r="I2442">
        <f>Table1[[#This Row],[Qty]]*Table1[[#This Row],[CostPrice]]</f>
        <v>31000</v>
      </c>
      <c r="J2442">
        <v>28797</v>
      </c>
      <c r="K2442">
        <v>202.99999999999997</v>
      </c>
      <c r="L2442" t="s">
        <v>13</v>
      </c>
      <c r="M2442" t="s">
        <v>30</v>
      </c>
      <c r="N2442">
        <f>MONTH(Table1[[#This Row],[SaleDate]])</f>
        <v>10</v>
      </c>
      <c r="O2442" t="str">
        <f>TEXT(Table1[[#This Row],[SaleDate]],"MMM")</f>
        <v>Oct</v>
      </c>
    </row>
    <row r="2443" spans="1:15">
      <c r="A2443" s="1">
        <v>45201</v>
      </c>
      <c r="B2443" t="s">
        <v>25</v>
      </c>
      <c r="C2443" t="s">
        <v>21</v>
      </c>
      <c r="D2443">
        <v>1</v>
      </c>
      <c r="E2443" t="s">
        <v>10</v>
      </c>
      <c r="F2443">
        <v>89000</v>
      </c>
      <c r="G2443">
        <v>65000</v>
      </c>
      <c r="H2443">
        <f>Table1[[#This Row],[Qty]]*Table1[[#This Row],[SellingPrice]]</f>
        <v>89000</v>
      </c>
      <c r="I2443">
        <f>Table1[[#This Row],[Qty]]*Table1[[#This Row],[CostPrice]]</f>
        <v>65000</v>
      </c>
      <c r="J2443">
        <v>23832</v>
      </c>
      <c r="K2443">
        <v>167.99999999999997</v>
      </c>
      <c r="L2443" t="s">
        <v>13</v>
      </c>
      <c r="M2443" t="s">
        <v>30</v>
      </c>
      <c r="N2443">
        <f>MONTH(Table1[[#This Row],[SaleDate]])</f>
        <v>10</v>
      </c>
      <c r="O2443" t="str">
        <f>TEXT(Table1[[#This Row],[SaleDate]],"MMM")</f>
        <v>Oct</v>
      </c>
    </row>
    <row r="2444" spans="1:15">
      <c r="A2444" s="1">
        <v>45202</v>
      </c>
      <c r="B2444" t="s">
        <v>23</v>
      </c>
      <c r="C2444" t="s">
        <v>19</v>
      </c>
      <c r="D2444">
        <v>1</v>
      </c>
      <c r="E2444" t="s">
        <v>7</v>
      </c>
      <c r="F2444">
        <v>33000</v>
      </c>
      <c r="G2444">
        <v>18000</v>
      </c>
      <c r="H2444">
        <f>Table1[[#This Row],[Qty]]*Table1[[#This Row],[SellingPrice]]</f>
        <v>33000</v>
      </c>
      <c r="I2444">
        <f>Table1[[#This Row],[Qty]]*Table1[[#This Row],[CostPrice]]</f>
        <v>18000</v>
      </c>
      <c r="J2444">
        <v>14895</v>
      </c>
      <c r="K2444">
        <v>104.99999999999999</v>
      </c>
      <c r="L2444" t="s">
        <v>8</v>
      </c>
      <c r="M2444" t="s">
        <v>30</v>
      </c>
      <c r="N2444">
        <f>MONTH(Table1[[#This Row],[SaleDate]])</f>
        <v>10</v>
      </c>
      <c r="O2444" t="str">
        <f>TEXT(Table1[[#This Row],[SaleDate]],"MMM")</f>
        <v>Oct</v>
      </c>
    </row>
    <row r="2445" spans="1:15">
      <c r="A2445" s="1">
        <v>45202</v>
      </c>
      <c r="B2445" t="s">
        <v>23</v>
      </c>
      <c r="C2445" t="s">
        <v>19</v>
      </c>
      <c r="D2445">
        <v>1</v>
      </c>
      <c r="E2445" t="s">
        <v>9</v>
      </c>
      <c r="F2445">
        <v>60000</v>
      </c>
      <c r="G2445">
        <v>31000</v>
      </c>
      <c r="H2445">
        <f>Table1[[#This Row],[Qty]]*Table1[[#This Row],[SellingPrice]]</f>
        <v>60000</v>
      </c>
      <c r="I2445">
        <f>Table1[[#This Row],[Qty]]*Table1[[#This Row],[CostPrice]]</f>
        <v>31000</v>
      </c>
      <c r="J2445">
        <v>28797</v>
      </c>
      <c r="K2445">
        <v>202.99999999999997</v>
      </c>
      <c r="L2445" t="s">
        <v>8</v>
      </c>
      <c r="M2445" t="s">
        <v>29</v>
      </c>
      <c r="N2445">
        <f>MONTH(Table1[[#This Row],[SaleDate]])</f>
        <v>10</v>
      </c>
      <c r="O2445" t="str">
        <f>TEXT(Table1[[#This Row],[SaleDate]],"MMM")</f>
        <v>Oct</v>
      </c>
    </row>
    <row r="2446" spans="1:15">
      <c r="A2446" s="1">
        <v>45202</v>
      </c>
      <c r="B2446" t="s">
        <v>23</v>
      </c>
      <c r="C2446" t="s">
        <v>19</v>
      </c>
      <c r="D2446">
        <v>1</v>
      </c>
      <c r="E2446" t="s">
        <v>10</v>
      </c>
      <c r="F2446">
        <v>89000</v>
      </c>
      <c r="G2446">
        <v>65000</v>
      </c>
      <c r="H2446">
        <f>Table1[[#This Row],[Qty]]*Table1[[#This Row],[SellingPrice]]</f>
        <v>89000</v>
      </c>
      <c r="I2446">
        <f>Table1[[#This Row],[Qty]]*Table1[[#This Row],[CostPrice]]</f>
        <v>65000</v>
      </c>
      <c r="J2446">
        <v>23832</v>
      </c>
      <c r="K2446">
        <v>167.99999999999997</v>
      </c>
      <c r="L2446" t="s">
        <v>8</v>
      </c>
      <c r="M2446" t="s">
        <v>30</v>
      </c>
      <c r="N2446">
        <f>MONTH(Table1[[#This Row],[SaleDate]])</f>
        <v>10</v>
      </c>
      <c r="O2446" t="str">
        <f>TEXT(Table1[[#This Row],[SaleDate]],"MMM")</f>
        <v>Oct</v>
      </c>
    </row>
    <row r="2447" spans="1:15">
      <c r="A2447" s="1">
        <v>45202</v>
      </c>
      <c r="B2447" t="s">
        <v>26</v>
      </c>
      <c r="C2447" t="s">
        <v>20</v>
      </c>
      <c r="D2447">
        <v>1</v>
      </c>
      <c r="E2447" t="s">
        <v>7</v>
      </c>
      <c r="F2447">
        <v>33000</v>
      </c>
      <c r="G2447">
        <v>18000</v>
      </c>
      <c r="H2447">
        <f>Table1[[#This Row],[Qty]]*Table1[[#This Row],[SellingPrice]]</f>
        <v>33000</v>
      </c>
      <c r="I2447">
        <f>Table1[[#This Row],[Qty]]*Table1[[#This Row],[CostPrice]]</f>
        <v>18000</v>
      </c>
      <c r="J2447">
        <v>14895</v>
      </c>
      <c r="K2447">
        <v>104.99999999999999</v>
      </c>
      <c r="L2447" t="s">
        <v>11</v>
      </c>
      <c r="M2447" t="s">
        <v>29</v>
      </c>
      <c r="N2447">
        <f>MONTH(Table1[[#This Row],[SaleDate]])</f>
        <v>10</v>
      </c>
      <c r="O2447" t="str">
        <f>TEXT(Table1[[#This Row],[SaleDate]],"MMM")</f>
        <v>Oct</v>
      </c>
    </row>
    <row r="2448" spans="1:15">
      <c r="A2448" s="1">
        <v>45202</v>
      </c>
      <c r="B2448" t="s">
        <v>24</v>
      </c>
      <c r="C2448" t="s">
        <v>22</v>
      </c>
      <c r="D2448">
        <v>1</v>
      </c>
      <c r="E2448" t="s">
        <v>7</v>
      </c>
      <c r="F2448">
        <v>33000</v>
      </c>
      <c r="G2448">
        <v>18000</v>
      </c>
      <c r="H2448">
        <f>Table1[[#This Row],[Qty]]*Table1[[#This Row],[SellingPrice]]</f>
        <v>33000</v>
      </c>
      <c r="I2448">
        <f>Table1[[#This Row],[Qty]]*Table1[[#This Row],[CostPrice]]</f>
        <v>18000</v>
      </c>
      <c r="J2448">
        <v>14895</v>
      </c>
      <c r="K2448">
        <v>104.99999999999999</v>
      </c>
      <c r="L2448" t="s">
        <v>12</v>
      </c>
      <c r="M2448" t="s">
        <v>29</v>
      </c>
      <c r="N2448">
        <f>MONTH(Table1[[#This Row],[SaleDate]])</f>
        <v>10</v>
      </c>
      <c r="O2448" t="str">
        <f>TEXT(Table1[[#This Row],[SaleDate]],"MMM")</f>
        <v>Oct</v>
      </c>
    </row>
    <row r="2449" spans="1:15">
      <c r="A2449" s="1">
        <v>45202</v>
      </c>
      <c r="B2449" t="s">
        <v>24</v>
      </c>
      <c r="C2449" t="s">
        <v>22</v>
      </c>
      <c r="D2449">
        <v>1</v>
      </c>
      <c r="E2449" t="s">
        <v>9</v>
      </c>
      <c r="F2449">
        <v>60000</v>
      </c>
      <c r="G2449">
        <v>31000</v>
      </c>
      <c r="H2449">
        <f>Table1[[#This Row],[Qty]]*Table1[[#This Row],[SellingPrice]]</f>
        <v>60000</v>
      </c>
      <c r="I2449">
        <f>Table1[[#This Row],[Qty]]*Table1[[#This Row],[CostPrice]]</f>
        <v>31000</v>
      </c>
      <c r="J2449">
        <v>28797</v>
      </c>
      <c r="K2449">
        <v>202.99999999999997</v>
      </c>
      <c r="L2449" t="s">
        <v>12</v>
      </c>
      <c r="M2449" t="s">
        <v>27</v>
      </c>
      <c r="N2449">
        <f>MONTH(Table1[[#This Row],[SaleDate]])</f>
        <v>10</v>
      </c>
      <c r="O2449" t="str">
        <f>TEXT(Table1[[#This Row],[SaleDate]],"MMM")</f>
        <v>Oct</v>
      </c>
    </row>
    <row r="2450" spans="1:15">
      <c r="A2450" s="1">
        <v>45202</v>
      </c>
      <c r="B2450" t="s">
        <v>24</v>
      </c>
      <c r="C2450" t="s">
        <v>22</v>
      </c>
      <c r="D2450">
        <v>1</v>
      </c>
      <c r="E2450" t="s">
        <v>10</v>
      </c>
      <c r="F2450">
        <v>89000</v>
      </c>
      <c r="G2450">
        <v>65000</v>
      </c>
      <c r="H2450">
        <f>Table1[[#This Row],[Qty]]*Table1[[#This Row],[SellingPrice]]</f>
        <v>89000</v>
      </c>
      <c r="I2450">
        <f>Table1[[#This Row],[Qty]]*Table1[[#This Row],[CostPrice]]</f>
        <v>65000</v>
      </c>
      <c r="J2450">
        <v>23832</v>
      </c>
      <c r="K2450">
        <v>167.99999999999997</v>
      </c>
      <c r="L2450" t="s">
        <v>12</v>
      </c>
      <c r="M2450" t="s">
        <v>27</v>
      </c>
      <c r="N2450">
        <f>MONTH(Table1[[#This Row],[SaleDate]])</f>
        <v>10</v>
      </c>
      <c r="O2450" t="str">
        <f>TEXT(Table1[[#This Row],[SaleDate]],"MMM")</f>
        <v>Oct</v>
      </c>
    </row>
    <row r="2451" spans="1:15">
      <c r="A2451" s="1">
        <v>45202</v>
      </c>
      <c r="B2451" t="s">
        <v>25</v>
      </c>
      <c r="C2451" t="s">
        <v>21</v>
      </c>
      <c r="D2451">
        <v>1</v>
      </c>
      <c r="E2451" t="s">
        <v>7</v>
      </c>
      <c r="F2451">
        <v>33000</v>
      </c>
      <c r="G2451">
        <v>18000</v>
      </c>
      <c r="H2451">
        <f>Table1[[#This Row],[Qty]]*Table1[[#This Row],[SellingPrice]]</f>
        <v>33000</v>
      </c>
      <c r="I2451">
        <f>Table1[[#This Row],[Qty]]*Table1[[#This Row],[CostPrice]]</f>
        <v>18000</v>
      </c>
      <c r="J2451">
        <v>14895</v>
      </c>
      <c r="K2451">
        <v>104.99999999999999</v>
      </c>
      <c r="L2451" t="s">
        <v>13</v>
      </c>
      <c r="M2451" t="s">
        <v>27</v>
      </c>
      <c r="N2451">
        <f>MONTH(Table1[[#This Row],[SaleDate]])</f>
        <v>10</v>
      </c>
      <c r="O2451" t="str">
        <f>TEXT(Table1[[#This Row],[SaleDate]],"MMM")</f>
        <v>Oct</v>
      </c>
    </row>
    <row r="2452" spans="1:15">
      <c r="A2452" s="1">
        <v>45202</v>
      </c>
      <c r="B2452" t="s">
        <v>25</v>
      </c>
      <c r="C2452" t="s">
        <v>21</v>
      </c>
      <c r="D2452">
        <v>1</v>
      </c>
      <c r="E2452" t="s">
        <v>9</v>
      </c>
      <c r="F2452">
        <v>60000</v>
      </c>
      <c r="G2452">
        <v>31000</v>
      </c>
      <c r="H2452">
        <f>Table1[[#This Row],[Qty]]*Table1[[#This Row],[SellingPrice]]</f>
        <v>60000</v>
      </c>
      <c r="I2452">
        <f>Table1[[#This Row],[Qty]]*Table1[[#This Row],[CostPrice]]</f>
        <v>31000</v>
      </c>
      <c r="J2452">
        <v>28797</v>
      </c>
      <c r="K2452">
        <v>202.99999999999997</v>
      </c>
      <c r="L2452" t="s">
        <v>13</v>
      </c>
      <c r="M2452" t="s">
        <v>27</v>
      </c>
      <c r="N2452">
        <f>MONTH(Table1[[#This Row],[SaleDate]])</f>
        <v>10</v>
      </c>
      <c r="O2452" t="str">
        <f>TEXT(Table1[[#This Row],[SaleDate]],"MMM")</f>
        <v>Oct</v>
      </c>
    </row>
    <row r="2453" spans="1:15">
      <c r="A2453" s="1">
        <v>45202</v>
      </c>
      <c r="B2453" t="s">
        <v>25</v>
      </c>
      <c r="C2453" t="s">
        <v>21</v>
      </c>
      <c r="D2453">
        <v>1</v>
      </c>
      <c r="E2453" t="s">
        <v>10</v>
      </c>
      <c r="F2453">
        <v>89000</v>
      </c>
      <c r="G2453">
        <v>65000</v>
      </c>
      <c r="H2453">
        <f>Table1[[#This Row],[Qty]]*Table1[[#This Row],[SellingPrice]]</f>
        <v>89000</v>
      </c>
      <c r="I2453">
        <f>Table1[[#This Row],[Qty]]*Table1[[#This Row],[CostPrice]]</f>
        <v>65000</v>
      </c>
      <c r="J2453">
        <v>23832</v>
      </c>
      <c r="K2453">
        <v>167.99999999999997</v>
      </c>
      <c r="L2453" t="s">
        <v>13</v>
      </c>
      <c r="M2453" t="s">
        <v>29</v>
      </c>
      <c r="N2453">
        <f>MONTH(Table1[[#This Row],[SaleDate]])</f>
        <v>10</v>
      </c>
      <c r="O2453" t="str">
        <f>TEXT(Table1[[#This Row],[SaleDate]],"MMM")</f>
        <v>Oct</v>
      </c>
    </row>
    <row r="2454" spans="1:15">
      <c r="A2454" s="1">
        <v>45203</v>
      </c>
      <c r="B2454" t="s">
        <v>23</v>
      </c>
      <c r="C2454" t="s">
        <v>19</v>
      </c>
      <c r="D2454">
        <v>1</v>
      </c>
      <c r="E2454" t="s">
        <v>7</v>
      </c>
      <c r="F2454">
        <v>33000</v>
      </c>
      <c r="G2454">
        <v>18000</v>
      </c>
      <c r="H2454">
        <f>Table1[[#This Row],[Qty]]*Table1[[#This Row],[SellingPrice]]</f>
        <v>33000</v>
      </c>
      <c r="I2454">
        <f>Table1[[#This Row],[Qty]]*Table1[[#This Row],[CostPrice]]</f>
        <v>18000</v>
      </c>
      <c r="J2454">
        <v>14895</v>
      </c>
      <c r="K2454">
        <v>104.99999999999999</v>
      </c>
      <c r="L2454" t="s">
        <v>8</v>
      </c>
      <c r="M2454" t="s">
        <v>29</v>
      </c>
      <c r="N2454">
        <f>MONTH(Table1[[#This Row],[SaleDate]])</f>
        <v>10</v>
      </c>
      <c r="O2454" t="str">
        <f>TEXT(Table1[[#This Row],[SaleDate]],"MMM")</f>
        <v>Oct</v>
      </c>
    </row>
    <row r="2455" spans="1:15">
      <c r="A2455" s="1">
        <v>45203</v>
      </c>
      <c r="B2455" t="s">
        <v>23</v>
      </c>
      <c r="C2455" t="s">
        <v>19</v>
      </c>
      <c r="D2455">
        <v>1</v>
      </c>
      <c r="E2455" t="s">
        <v>9</v>
      </c>
      <c r="F2455">
        <v>60000</v>
      </c>
      <c r="G2455">
        <v>31000</v>
      </c>
      <c r="H2455">
        <f>Table1[[#This Row],[Qty]]*Table1[[#This Row],[SellingPrice]]</f>
        <v>60000</v>
      </c>
      <c r="I2455">
        <f>Table1[[#This Row],[Qty]]*Table1[[#This Row],[CostPrice]]</f>
        <v>31000</v>
      </c>
      <c r="J2455">
        <v>28797</v>
      </c>
      <c r="K2455">
        <v>202.99999999999997</v>
      </c>
      <c r="L2455" t="s">
        <v>8</v>
      </c>
      <c r="M2455" t="s">
        <v>29</v>
      </c>
      <c r="N2455">
        <f>MONTH(Table1[[#This Row],[SaleDate]])</f>
        <v>10</v>
      </c>
      <c r="O2455" t="str">
        <f>TEXT(Table1[[#This Row],[SaleDate]],"MMM")</f>
        <v>Oct</v>
      </c>
    </row>
    <row r="2456" spans="1:15">
      <c r="A2456" s="1">
        <v>45203</v>
      </c>
      <c r="B2456" t="s">
        <v>23</v>
      </c>
      <c r="C2456" t="s">
        <v>19</v>
      </c>
      <c r="D2456">
        <v>1</v>
      </c>
      <c r="E2456" t="s">
        <v>10</v>
      </c>
      <c r="F2456">
        <v>89000</v>
      </c>
      <c r="G2456">
        <v>65000</v>
      </c>
      <c r="H2456">
        <f>Table1[[#This Row],[Qty]]*Table1[[#This Row],[SellingPrice]]</f>
        <v>89000</v>
      </c>
      <c r="I2456">
        <f>Table1[[#This Row],[Qty]]*Table1[[#This Row],[CostPrice]]</f>
        <v>65000</v>
      </c>
      <c r="J2456">
        <v>23832</v>
      </c>
      <c r="K2456">
        <v>167.99999999999997</v>
      </c>
      <c r="L2456" t="s">
        <v>8</v>
      </c>
      <c r="M2456" t="s">
        <v>28</v>
      </c>
      <c r="N2456">
        <f>MONTH(Table1[[#This Row],[SaleDate]])</f>
        <v>10</v>
      </c>
      <c r="O2456" t="str">
        <f>TEXT(Table1[[#This Row],[SaleDate]],"MMM")</f>
        <v>Oct</v>
      </c>
    </row>
    <row r="2457" spans="1:15">
      <c r="A2457" s="1">
        <v>45203</v>
      </c>
      <c r="B2457" t="s">
        <v>24</v>
      </c>
      <c r="C2457" t="s">
        <v>22</v>
      </c>
      <c r="D2457">
        <v>1</v>
      </c>
      <c r="E2457" t="s">
        <v>7</v>
      </c>
      <c r="F2457">
        <v>33000</v>
      </c>
      <c r="G2457">
        <v>18000</v>
      </c>
      <c r="H2457">
        <f>Table1[[#This Row],[Qty]]*Table1[[#This Row],[SellingPrice]]</f>
        <v>33000</v>
      </c>
      <c r="I2457">
        <f>Table1[[#This Row],[Qty]]*Table1[[#This Row],[CostPrice]]</f>
        <v>18000</v>
      </c>
      <c r="J2457">
        <v>14895</v>
      </c>
      <c r="K2457">
        <v>104.99999999999999</v>
      </c>
      <c r="L2457" t="s">
        <v>12</v>
      </c>
      <c r="M2457" t="s">
        <v>27</v>
      </c>
      <c r="N2457">
        <f>MONTH(Table1[[#This Row],[SaleDate]])</f>
        <v>10</v>
      </c>
      <c r="O2457" t="str">
        <f>TEXT(Table1[[#This Row],[SaleDate]],"MMM")</f>
        <v>Oct</v>
      </c>
    </row>
    <row r="2458" spans="1:15">
      <c r="A2458" s="1">
        <v>45203</v>
      </c>
      <c r="B2458" t="s">
        <v>24</v>
      </c>
      <c r="C2458" t="s">
        <v>22</v>
      </c>
      <c r="D2458">
        <v>1</v>
      </c>
      <c r="E2458" t="s">
        <v>9</v>
      </c>
      <c r="F2458">
        <v>60000</v>
      </c>
      <c r="G2458">
        <v>31000</v>
      </c>
      <c r="H2458">
        <f>Table1[[#This Row],[Qty]]*Table1[[#This Row],[SellingPrice]]</f>
        <v>60000</v>
      </c>
      <c r="I2458">
        <f>Table1[[#This Row],[Qty]]*Table1[[#This Row],[CostPrice]]</f>
        <v>31000</v>
      </c>
      <c r="J2458">
        <v>28797</v>
      </c>
      <c r="K2458">
        <v>202.99999999999997</v>
      </c>
      <c r="L2458" t="s">
        <v>12</v>
      </c>
      <c r="M2458" t="s">
        <v>29</v>
      </c>
      <c r="N2458">
        <f>MONTH(Table1[[#This Row],[SaleDate]])</f>
        <v>10</v>
      </c>
      <c r="O2458" t="str">
        <f>TEXT(Table1[[#This Row],[SaleDate]],"MMM")</f>
        <v>Oct</v>
      </c>
    </row>
    <row r="2459" spans="1:15">
      <c r="A2459" s="1">
        <v>45203</v>
      </c>
      <c r="B2459" t="s">
        <v>24</v>
      </c>
      <c r="C2459" t="s">
        <v>22</v>
      </c>
      <c r="D2459">
        <v>1</v>
      </c>
      <c r="E2459" t="s">
        <v>10</v>
      </c>
      <c r="F2459">
        <v>89000</v>
      </c>
      <c r="G2459">
        <v>65000</v>
      </c>
      <c r="H2459">
        <f>Table1[[#This Row],[Qty]]*Table1[[#This Row],[SellingPrice]]</f>
        <v>89000</v>
      </c>
      <c r="I2459">
        <f>Table1[[#This Row],[Qty]]*Table1[[#This Row],[CostPrice]]</f>
        <v>65000</v>
      </c>
      <c r="J2459">
        <v>23832</v>
      </c>
      <c r="K2459">
        <v>167.99999999999997</v>
      </c>
      <c r="L2459" t="s">
        <v>12</v>
      </c>
      <c r="M2459" t="s">
        <v>27</v>
      </c>
      <c r="N2459">
        <f>MONTH(Table1[[#This Row],[SaleDate]])</f>
        <v>10</v>
      </c>
      <c r="O2459" t="str">
        <f>TEXT(Table1[[#This Row],[SaleDate]],"MMM")</f>
        <v>Oct</v>
      </c>
    </row>
    <row r="2460" spans="1:15">
      <c r="A2460" s="1">
        <v>45203</v>
      </c>
      <c r="B2460" t="s">
        <v>25</v>
      </c>
      <c r="C2460" t="s">
        <v>21</v>
      </c>
      <c r="D2460">
        <v>1</v>
      </c>
      <c r="E2460" t="s">
        <v>7</v>
      </c>
      <c r="F2460">
        <v>33000</v>
      </c>
      <c r="G2460">
        <v>18000</v>
      </c>
      <c r="H2460">
        <f>Table1[[#This Row],[Qty]]*Table1[[#This Row],[SellingPrice]]</f>
        <v>33000</v>
      </c>
      <c r="I2460">
        <f>Table1[[#This Row],[Qty]]*Table1[[#This Row],[CostPrice]]</f>
        <v>18000</v>
      </c>
      <c r="J2460">
        <v>14895</v>
      </c>
      <c r="K2460">
        <v>104.99999999999999</v>
      </c>
      <c r="L2460" t="s">
        <v>13</v>
      </c>
      <c r="M2460" t="s">
        <v>30</v>
      </c>
      <c r="N2460">
        <f>MONTH(Table1[[#This Row],[SaleDate]])</f>
        <v>10</v>
      </c>
      <c r="O2460" t="str">
        <f>TEXT(Table1[[#This Row],[SaleDate]],"MMM")</f>
        <v>Oct</v>
      </c>
    </row>
    <row r="2461" spans="1:15">
      <c r="A2461" s="1">
        <v>45203</v>
      </c>
      <c r="B2461" t="s">
        <v>25</v>
      </c>
      <c r="C2461" t="s">
        <v>21</v>
      </c>
      <c r="D2461">
        <v>1</v>
      </c>
      <c r="E2461" t="s">
        <v>9</v>
      </c>
      <c r="F2461">
        <v>60000</v>
      </c>
      <c r="G2461">
        <v>31000</v>
      </c>
      <c r="H2461">
        <f>Table1[[#This Row],[Qty]]*Table1[[#This Row],[SellingPrice]]</f>
        <v>60000</v>
      </c>
      <c r="I2461">
        <f>Table1[[#This Row],[Qty]]*Table1[[#This Row],[CostPrice]]</f>
        <v>31000</v>
      </c>
      <c r="J2461">
        <v>28797</v>
      </c>
      <c r="K2461">
        <v>202.99999999999997</v>
      </c>
      <c r="L2461" t="s">
        <v>13</v>
      </c>
      <c r="M2461" t="s">
        <v>30</v>
      </c>
      <c r="N2461">
        <f>MONTH(Table1[[#This Row],[SaleDate]])</f>
        <v>10</v>
      </c>
      <c r="O2461" t="str">
        <f>TEXT(Table1[[#This Row],[SaleDate]],"MMM")</f>
        <v>Oct</v>
      </c>
    </row>
    <row r="2462" spans="1:15">
      <c r="A2462" s="1">
        <v>45203</v>
      </c>
      <c r="B2462" t="s">
        <v>25</v>
      </c>
      <c r="C2462" t="s">
        <v>21</v>
      </c>
      <c r="D2462">
        <v>1</v>
      </c>
      <c r="E2462" t="s">
        <v>10</v>
      </c>
      <c r="F2462">
        <v>89000</v>
      </c>
      <c r="G2462">
        <v>65000</v>
      </c>
      <c r="H2462">
        <f>Table1[[#This Row],[Qty]]*Table1[[#This Row],[SellingPrice]]</f>
        <v>89000</v>
      </c>
      <c r="I2462">
        <f>Table1[[#This Row],[Qty]]*Table1[[#This Row],[CostPrice]]</f>
        <v>65000</v>
      </c>
      <c r="J2462">
        <v>23832</v>
      </c>
      <c r="K2462">
        <v>167.99999999999997</v>
      </c>
      <c r="L2462" t="s">
        <v>13</v>
      </c>
      <c r="M2462" t="s">
        <v>29</v>
      </c>
      <c r="N2462">
        <f>MONTH(Table1[[#This Row],[SaleDate]])</f>
        <v>10</v>
      </c>
      <c r="O2462" t="str">
        <f>TEXT(Table1[[#This Row],[SaleDate]],"MMM")</f>
        <v>Oct</v>
      </c>
    </row>
    <row r="2463" spans="1:15">
      <c r="A2463" s="1">
        <v>45204</v>
      </c>
      <c r="B2463" t="s">
        <v>23</v>
      </c>
      <c r="C2463" t="s">
        <v>19</v>
      </c>
      <c r="D2463">
        <v>2</v>
      </c>
      <c r="E2463" t="s">
        <v>7</v>
      </c>
      <c r="F2463">
        <v>33000</v>
      </c>
      <c r="G2463">
        <v>18000</v>
      </c>
      <c r="H2463">
        <f>Table1[[#This Row],[Qty]]*Table1[[#This Row],[SellingPrice]]</f>
        <v>66000</v>
      </c>
      <c r="I2463">
        <f>Table1[[#This Row],[Qty]]*Table1[[#This Row],[CostPrice]]</f>
        <v>36000</v>
      </c>
      <c r="J2463">
        <v>29790</v>
      </c>
      <c r="K2463">
        <v>209.99999999999997</v>
      </c>
      <c r="L2463" t="s">
        <v>8</v>
      </c>
      <c r="M2463" t="s">
        <v>27</v>
      </c>
      <c r="N2463">
        <f>MONTH(Table1[[#This Row],[SaleDate]])</f>
        <v>10</v>
      </c>
      <c r="O2463" t="str">
        <f>TEXT(Table1[[#This Row],[SaleDate]],"MMM")</f>
        <v>Oct</v>
      </c>
    </row>
    <row r="2464" spans="1:15">
      <c r="A2464" s="1">
        <v>45204</v>
      </c>
      <c r="B2464" t="s">
        <v>23</v>
      </c>
      <c r="C2464" t="s">
        <v>19</v>
      </c>
      <c r="D2464">
        <v>2</v>
      </c>
      <c r="E2464" t="s">
        <v>9</v>
      </c>
      <c r="F2464">
        <v>60000</v>
      </c>
      <c r="G2464">
        <v>31000</v>
      </c>
      <c r="H2464">
        <f>Table1[[#This Row],[Qty]]*Table1[[#This Row],[SellingPrice]]</f>
        <v>120000</v>
      </c>
      <c r="I2464">
        <f>Table1[[#This Row],[Qty]]*Table1[[#This Row],[CostPrice]]</f>
        <v>62000</v>
      </c>
      <c r="J2464">
        <v>57594</v>
      </c>
      <c r="K2464">
        <v>405.99999999999994</v>
      </c>
      <c r="L2464" t="s">
        <v>8</v>
      </c>
      <c r="M2464" t="s">
        <v>29</v>
      </c>
      <c r="N2464">
        <f>MONTH(Table1[[#This Row],[SaleDate]])</f>
        <v>10</v>
      </c>
      <c r="O2464" t="str">
        <f>TEXT(Table1[[#This Row],[SaleDate]],"MMM")</f>
        <v>Oct</v>
      </c>
    </row>
    <row r="2465" spans="1:15">
      <c r="A2465" s="1">
        <v>45204</v>
      </c>
      <c r="B2465" t="s">
        <v>23</v>
      </c>
      <c r="C2465" t="s">
        <v>19</v>
      </c>
      <c r="D2465">
        <v>2</v>
      </c>
      <c r="E2465" t="s">
        <v>10</v>
      </c>
      <c r="F2465">
        <v>89000</v>
      </c>
      <c r="G2465">
        <v>65000</v>
      </c>
      <c r="H2465">
        <f>Table1[[#This Row],[Qty]]*Table1[[#This Row],[SellingPrice]]</f>
        <v>178000</v>
      </c>
      <c r="I2465">
        <f>Table1[[#This Row],[Qty]]*Table1[[#This Row],[CostPrice]]</f>
        <v>130000</v>
      </c>
      <c r="J2465">
        <v>47664</v>
      </c>
      <c r="K2465">
        <v>335.99999999999994</v>
      </c>
      <c r="L2465" t="s">
        <v>8</v>
      </c>
      <c r="M2465" t="s">
        <v>30</v>
      </c>
      <c r="N2465">
        <f>MONTH(Table1[[#This Row],[SaleDate]])</f>
        <v>10</v>
      </c>
      <c r="O2465" t="str">
        <f>TEXT(Table1[[#This Row],[SaleDate]],"MMM")</f>
        <v>Oct</v>
      </c>
    </row>
    <row r="2466" spans="1:15">
      <c r="A2466" s="1">
        <v>45204</v>
      </c>
      <c r="B2466" t="s">
        <v>24</v>
      </c>
      <c r="C2466" t="s">
        <v>22</v>
      </c>
      <c r="D2466">
        <v>2</v>
      </c>
      <c r="E2466" t="s">
        <v>7</v>
      </c>
      <c r="F2466">
        <v>33000</v>
      </c>
      <c r="G2466">
        <v>18000</v>
      </c>
      <c r="H2466">
        <f>Table1[[#This Row],[Qty]]*Table1[[#This Row],[SellingPrice]]</f>
        <v>66000</v>
      </c>
      <c r="I2466">
        <f>Table1[[#This Row],[Qty]]*Table1[[#This Row],[CostPrice]]</f>
        <v>36000</v>
      </c>
      <c r="J2466">
        <v>29790</v>
      </c>
      <c r="K2466">
        <v>209.99999999999997</v>
      </c>
      <c r="L2466" t="s">
        <v>12</v>
      </c>
      <c r="M2466" t="s">
        <v>27</v>
      </c>
      <c r="N2466">
        <f>MONTH(Table1[[#This Row],[SaleDate]])</f>
        <v>10</v>
      </c>
      <c r="O2466" t="str">
        <f>TEXT(Table1[[#This Row],[SaleDate]],"MMM")</f>
        <v>Oct</v>
      </c>
    </row>
    <row r="2467" spans="1:15">
      <c r="A2467" s="1">
        <v>45204</v>
      </c>
      <c r="B2467" t="s">
        <v>24</v>
      </c>
      <c r="C2467" t="s">
        <v>22</v>
      </c>
      <c r="D2467">
        <v>2</v>
      </c>
      <c r="E2467" t="s">
        <v>9</v>
      </c>
      <c r="F2467">
        <v>60000</v>
      </c>
      <c r="G2467">
        <v>31000</v>
      </c>
      <c r="H2467">
        <f>Table1[[#This Row],[Qty]]*Table1[[#This Row],[SellingPrice]]</f>
        <v>120000</v>
      </c>
      <c r="I2467">
        <f>Table1[[#This Row],[Qty]]*Table1[[#This Row],[CostPrice]]</f>
        <v>62000</v>
      </c>
      <c r="J2467">
        <v>57594</v>
      </c>
      <c r="K2467">
        <v>405.99999999999994</v>
      </c>
      <c r="L2467" t="s">
        <v>12</v>
      </c>
      <c r="M2467" t="s">
        <v>30</v>
      </c>
      <c r="N2467">
        <f>MONTH(Table1[[#This Row],[SaleDate]])</f>
        <v>10</v>
      </c>
      <c r="O2467" t="str">
        <f>TEXT(Table1[[#This Row],[SaleDate]],"MMM")</f>
        <v>Oct</v>
      </c>
    </row>
    <row r="2468" spans="1:15">
      <c r="A2468" s="1">
        <v>45204</v>
      </c>
      <c r="B2468" t="s">
        <v>24</v>
      </c>
      <c r="C2468" t="s">
        <v>22</v>
      </c>
      <c r="D2468">
        <v>2</v>
      </c>
      <c r="E2468" t="s">
        <v>10</v>
      </c>
      <c r="F2468">
        <v>89000</v>
      </c>
      <c r="G2468">
        <v>65000</v>
      </c>
      <c r="H2468">
        <f>Table1[[#This Row],[Qty]]*Table1[[#This Row],[SellingPrice]]</f>
        <v>178000</v>
      </c>
      <c r="I2468">
        <f>Table1[[#This Row],[Qty]]*Table1[[#This Row],[CostPrice]]</f>
        <v>130000</v>
      </c>
      <c r="J2468">
        <v>47664</v>
      </c>
      <c r="K2468">
        <v>335.99999999999994</v>
      </c>
      <c r="L2468" t="s">
        <v>12</v>
      </c>
      <c r="M2468" t="s">
        <v>28</v>
      </c>
      <c r="N2468">
        <f>MONTH(Table1[[#This Row],[SaleDate]])</f>
        <v>10</v>
      </c>
      <c r="O2468" t="str">
        <f>TEXT(Table1[[#This Row],[SaleDate]],"MMM")</f>
        <v>Oct</v>
      </c>
    </row>
    <row r="2469" spans="1:15">
      <c r="A2469" s="1">
        <v>45204</v>
      </c>
      <c r="B2469" t="s">
        <v>25</v>
      </c>
      <c r="C2469" t="s">
        <v>21</v>
      </c>
      <c r="D2469">
        <v>2</v>
      </c>
      <c r="E2469" t="s">
        <v>7</v>
      </c>
      <c r="F2469">
        <v>33000</v>
      </c>
      <c r="G2469">
        <v>18000</v>
      </c>
      <c r="H2469">
        <f>Table1[[#This Row],[Qty]]*Table1[[#This Row],[SellingPrice]]</f>
        <v>66000</v>
      </c>
      <c r="I2469">
        <f>Table1[[#This Row],[Qty]]*Table1[[#This Row],[CostPrice]]</f>
        <v>36000</v>
      </c>
      <c r="J2469">
        <v>29790</v>
      </c>
      <c r="K2469">
        <v>209.99999999999997</v>
      </c>
      <c r="L2469" t="s">
        <v>13</v>
      </c>
      <c r="M2469" t="s">
        <v>27</v>
      </c>
      <c r="N2469">
        <f>MONTH(Table1[[#This Row],[SaleDate]])</f>
        <v>10</v>
      </c>
      <c r="O2469" t="str">
        <f>TEXT(Table1[[#This Row],[SaleDate]],"MMM")</f>
        <v>Oct</v>
      </c>
    </row>
    <row r="2470" spans="1:15">
      <c r="A2470" s="1">
        <v>45204</v>
      </c>
      <c r="B2470" t="s">
        <v>25</v>
      </c>
      <c r="C2470" t="s">
        <v>21</v>
      </c>
      <c r="D2470">
        <v>2</v>
      </c>
      <c r="E2470" t="s">
        <v>9</v>
      </c>
      <c r="F2470">
        <v>60000</v>
      </c>
      <c r="G2470">
        <v>31000</v>
      </c>
      <c r="H2470">
        <f>Table1[[#This Row],[Qty]]*Table1[[#This Row],[SellingPrice]]</f>
        <v>120000</v>
      </c>
      <c r="I2470">
        <f>Table1[[#This Row],[Qty]]*Table1[[#This Row],[CostPrice]]</f>
        <v>62000</v>
      </c>
      <c r="J2470">
        <v>57594</v>
      </c>
      <c r="K2470">
        <v>405.99999999999994</v>
      </c>
      <c r="L2470" t="s">
        <v>13</v>
      </c>
      <c r="M2470" t="s">
        <v>30</v>
      </c>
      <c r="N2470">
        <f>MONTH(Table1[[#This Row],[SaleDate]])</f>
        <v>10</v>
      </c>
      <c r="O2470" t="str">
        <f>TEXT(Table1[[#This Row],[SaleDate]],"MMM")</f>
        <v>Oct</v>
      </c>
    </row>
    <row r="2471" spans="1:15">
      <c r="A2471" s="1">
        <v>45204</v>
      </c>
      <c r="B2471" t="s">
        <v>25</v>
      </c>
      <c r="C2471" t="s">
        <v>21</v>
      </c>
      <c r="D2471">
        <v>2</v>
      </c>
      <c r="E2471" t="s">
        <v>10</v>
      </c>
      <c r="F2471">
        <v>89000</v>
      </c>
      <c r="G2471">
        <v>65000</v>
      </c>
      <c r="H2471">
        <f>Table1[[#This Row],[Qty]]*Table1[[#This Row],[SellingPrice]]</f>
        <v>178000</v>
      </c>
      <c r="I2471">
        <f>Table1[[#This Row],[Qty]]*Table1[[#This Row],[CostPrice]]</f>
        <v>130000</v>
      </c>
      <c r="J2471">
        <v>47664</v>
      </c>
      <c r="K2471">
        <v>335.99999999999994</v>
      </c>
      <c r="L2471" t="s">
        <v>13</v>
      </c>
      <c r="M2471" t="s">
        <v>30</v>
      </c>
      <c r="N2471">
        <f>MONTH(Table1[[#This Row],[SaleDate]])</f>
        <v>10</v>
      </c>
      <c r="O2471" t="str">
        <f>TEXT(Table1[[#This Row],[SaleDate]],"MMM")</f>
        <v>Oct</v>
      </c>
    </row>
    <row r="2472" spans="1:15">
      <c r="A2472" s="1">
        <v>45205</v>
      </c>
      <c r="B2472" t="s">
        <v>23</v>
      </c>
      <c r="C2472" t="s">
        <v>19</v>
      </c>
      <c r="D2472">
        <v>1</v>
      </c>
      <c r="E2472" t="s">
        <v>7</v>
      </c>
      <c r="F2472">
        <v>33000</v>
      </c>
      <c r="G2472">
        <v>18000</v>
      </c>
      <c r="H2472">
        <f>Table1[[#This Row],[Qty]]*Table1[[#This Row],[SellingPrice]]</f>
        <v>33000</v>
      </c>
      <c r="I2472">
        <f>Table1[[#This Row],[Qty]]*Table1[[#This Row],[CostPrice]]</f>
        <v>18000</v>
      </c>
      <c r="J2472">
        <v>14895</v>
      </c>
      <c r="K2472">
        <v>104.99999999999999</v>
      </c>
      <c r="L2472" t="s">
        <v>8</v>
      </c>
      <c r="M2472" t="s">
        <v>29</v>
      </c>
      <c r="N2472">
        <f>MONTH(Table1[[#This Row],[SaleDate]])</f>
        <v>10</v>
      </c>
      <c r="O2472" t="str">
        <f>TEXT(Table1[[#This Row],[SaleDate]],"MMM")</f>
        <v>Oct</v>
      </c>
    </row>
    <row r="2473" spans="1:15">
      <c r="A2473" s="1">
        <v>45205</v>
      </c>
      <c r="B2473" t="s">
        <v>23</v>
      </c>
      <c r="C2473" t="s">
        <v>19</v>
      </c>
      <c r="D2473">
        <v>1</v>
      </c>
      <c r="E2473" t="s">
        <v>9</v>
      </c>
      <c r="F2473">
        <v>60000</v>
      </c>
      <c r="G2473">
        <v>31000</v>
      </c>
      <c r="H2473">
        <f>Table1[[#This Row],[Qty]]*Table1[[#This Row],[SellingPrice]]</f>
        <v>60000</v>
      </c>
      <c r="I2473">
        <f>Table1[[#This Row],[Qty]]*Table1[[#This Row],[CostPrice]]</f>
        <v>31000</v>
      </c>
      <c r="J2473">
        <v>28797</v>
      </c>
      <c r="K2473">
        <v>202.99999999999997</v>
      </c>
      <c r="L2473" t="s">
        <v>8</v>
      </c>
      <c r="M2473" t="s">
        <v>30</v>
      </c>
      <c r="N2473">
        <f>MONTH(Table1[[#This Row],[SaleDate]])</f>
        <v>10</v>
      </c>
      <c r="O2473" t="str">
        <f>TEXT(Table1[[#This Row],[SaleDate]],"MMM")</f>
        <v>Oct</v>
      </c>
    </row>
    <row r="2474" spans="1:15">
      <c r="A2474" s="1">
        <v>45205</v>
      </c>
      <c r="B2474" t="s">
        <v>23</v>
      </c>
      <c r="C2474" t="s">
        <v>19</v>
      </c>
      <c r="D2474">
        <v>1</v>
      </c>
      <c r="E2474" t="s">
        <v>10</v>
      </c>
      <c r="F2474">
        <v>89000</v>
      </c>
      <c r="G2474">
        <v>65000</v>
      </c>
      <c r="H2474">
        <f>Table1[[#This Row],[Qty]]*Table1[[#This Row],[SellingPrice]]</f>
        <v>89000</v>
      </c>
      <c r="I2474">
        <f>Table1[[#This Row],[Qty]]*Table1[[#This Row],[CostPrice]]</f>
        <v>65000</v>
      </c>
      <c r="J2474">
        <v>23832</v>
      </c>
      <c r="K2474">
        <v>167.99999999999997</v>
      </c>
      <c r="L2474" t="s">
        <v>8</v>
      </c>
      <c r="M2474" t="s">
        <v>29</v>
      </c>
      <c r="N2474">
        <f>MONTH(Table1[[#This Row],[SaleDate]])</f>
        <v>10</v>
      </c>
      <c r="O2474" t="str">
        <f>TEXT(Table1[[#This Row],[SaleDate]],"MMM")</f>
        <v>Oct</v>
      </c>
    </row>
    <row r="2475" spans="1:15">
      <c r="A2475" s="1">
        <v>45205</v>
      </c>
      <c r="B2475" t="s">
        <v>24</v>
      </c>
      <c r="C2475" t="s">
        <v>22</v>
      </c>
      <c r="D2475">
        <v>1</v>
      </c>
      <c r="E2475" t="s">
        <v>7</v>
      </c>
      <c r="F2475">
        <v>33000</v>
      </c>
      <c r="G2475">
        <v>18000</v>
      </c>
      <c r="H2475">
        <f>Table1[[#This Row],[Qty]]*Table1[[#This Row],[SellingPrice]]</f>
        <v>33000</v>
      </c>
      <c r="I2475">
        <f>Table1[[#This Row],[Qty]]*Table1[[#This Row],[CostPrice]]</f>
        <v>18000</v>
      </c>
      <c r="J2475">
        <v>14895</v>
      </c>
      <c r="K2475">
        <v>104.99999999999999</v>
      </c>
      <c r="L2475" t="s">
        <v>12</v>
      </c>
      <c r="M2475" t="s">
        <v>27</v>
      </c>
      <c r="N2475">
        <f>MONTH(Table1[[#This Row],[SaleDate]])</f>
        <v>10</v>
      </c>
      <c r="O2475" t="str">
        <f>TEXT(Table1[[#This Row],[SaleDate]],"MMM")</f>
        <v>Oct</v>
      </c>
    </row>
    <row r="2476" spans="1:15">
      <c r="A2476" s="1">
        <v>45205</v>
      </c>
      <c r="B2476" t="s">
        <v>24</v>
      </c>
      <c r="C2476" t="s">
        <v>22</v>
      </c>
      <c r="D2476">
        <v>1</v>
      </c>
      <c r="E2476" t="s">
        <v>9</v>
      </c>
      <c r="F2476">
        <v>60000</v>
      </c>
      <c r="G2476">
        <v>31000</v>
      </c>
      <c r="H2476">
        <f>Table1[[#This Row],[Qty]]*Table1[[#This Row],[SellingPrice]]</f>
        <v>60000</v>
      </c>
      <c r="I2476">
        <f>Table1[[#This Row],[Qty]]*Table1[[#This Row],[CostPrice]]</f>
        <v>31000</v>
      </c>
      <c r="J2476">
        <v>28797</v>
      </c>
      <c r="K2476">
        <v>202.99999999999997</v>
      </c>
      <c r="L2476" t="s">
        <v>12</v>
      </c>
      <c r="M2476" t="s">
        <v>28</v>
      </c>
      <c r="N2476">
        <f>MONTH(Table1[[#This Row],[SaleDate]])</f>
        <v>10</v>
      </c>
      <c r="O2476" t="str">
        <f>TEXT(Table1[[#This Row],[SaleDate]],"MMM")</f>
        <v>Oct</v>
      </c>
    </row>
    <row r="2477" spans="1:15">
      <c r="A2477" s="1">
        <v>45205</v>
      </c>
      <c r="B2477" t="s">
        <v>24</v>
      </c>
      <c r="C2477" t="s">
        <v>22</v>
      </c>
      <c r="D2477">
        <v>1</v>
      </c>
      <c r="E2477" t="s">
        <v>10</v>
      </c>
      <c r="F2477">
        <v>89000</v>
      </c>
      <c r="G2477">
        <v>65000</v>
      </c>
      <c r="H2477">
        <f>Table1[[#This Row],[Qty]]*Table1[[#This Row],[SellingPrice]]</f>
        <v>89000</v>
      </c>
      <c r="I2477">
        <f>Table1[[#This Row],[Qty]]*Table1[[#This Row],[CostPrice]]</f>
        <v>65000</v>
      </c>
      <c r="J2477">
        <v>23832</v>
      </c>
      <c r="K2477">
        <v>167.99999999999997</v>
      </c>
      <c r="L2477" t="s">
        <v>12</v>
      </c>
      <c r="M2477" t="s">
        <v>30</v>
      </c>
      <c r="N2477">
        <f>MONTH(Table1[[#This Row],[SaleDate]])</f>
        <v>10</v>
      </c>
      <c r="O2477" t="str">
        <f>TEXT(Table1[[#This Row],[SaleDate]],"MMM")</f>
        <v>Oct</v>
      </c>
    </row>
    <row r="2478" spans="1:15">
      <c r="A2478" s="1">
        <v>45205</v>
      </c>
      <c r="B2478" t="s">
        <v>25</v>
      </c>
      <c r="C2478" t="s">
        <v>21</v>
      </c>
      <c r="D2478">
        <v>1</v>
      </c>
      <c r="E2478" t="s">
        <v>7</v>
      </c>
      <c r="F2478">
        <v>33000</v>
      </c>
      <c r="G2478">
        <v>18000</v>
      </c>
      <c r="H2478">
        <f>Table1[[#This Row],[Qty]]*Table1[[#This Row],[SellingPrice]]</f>
        <v>33000</v>
      </c>
      <c r="I2478">
        <f>Table1[[#This Row],[Qty]]*Table1[[#This Row],[CostPrice]]</f>
        <v>18000</v>
      </c>
      <c r="J2478">
        <v>14895</v>
      </c>
      <c r="K2478">
        <v>104.99999999999999</v>
      </c>
      <c r="L2478" t="s">
        <v>13</v>
      </c>
      <c r="M2478" t="s">
        <v>27</v>
      </c>
      <c r="N2478">
        <f>MONTH(Table1[[#This Row],[SaleDate]])</f>
        <v>10</v>
      </c>
      <c r="O2478" t="str">
        <f>TEXT(Table1[[#This Row],[SaleDate]],"MMM")</f>
        <v>Oct</v>
      </c>
    </row>
    <row r="2479" spans="1:15">
      <c r="A2479" s="1">
        <v>45205</v>
      </c>
      <c r="B2479" t="s">
        <v>25</v>
      </c>
      <c r="C2479" t="s">
        <v>21</v>
      </c>
      <c r="D2479">
        <v>1</v>
      </c>
      <c r="E2479" t="s">
        <v>9</v>
      </c>
      <c r="F2479">
        <v>60000</v>
      </c>
      <c r="G2479">
        <v>31000</v>
      </c>
      <c r="H2479">
        <f>Table1[[#This Row],[Qty]]*Table1[[#This Row],[SellingPrice]]</f>
        <v>60000</v>
      </c>
      <c r="I2479">
        <f>Table1[[#This Row],[Qty]]*Table1[[#This Row],[CostPrice]]</f>
        <v>31000</v>
      </c>
      <c r="J2479">
        <v>28797</v>
      </c>
      <c r="K2479">
        <v>202.99999999999997</v>
      </c>
      <c r="L2479" t="s">
        <v>13</v>
      </c>
      <c r="M2479" t="s">
        <v>30</v>
      </c>
      <c r="N2479">
        <f>MONTH(Table1[[#This Row],[SaleDate]])</f>
        <v>10</v>
      </c>
      <c r="O2479" t="str">
        <f>TEXT(Table1[[#This Row],[SaleDate]],"MMM")</f>
        <v>Oct</v>
      </c>
    </row>
    <row r="2480" spans="1:15">
      <c r="A2480" s="1">
        <v>45205</v>
      </c>
      <c r="B2480" t="s">
        <v>25</v>
      </c>
      <c r="C2480" t="s">
        <v>21</v>
      </c>
      <c r="D2480">
        <v>1</v>
      </c>
      <c r="E2480" t="s">
        <v>10</v>
      </c>
      <c r="F2480">
        <v>89000</v>
      </c>
      <c r="G2480">
        <v>65000</v>
      </c>
      <c r="H2480">
        <f>Table1[[#This Row],[Qty]]*Table1[[#This Row],[SellingPrice]]</f>
        <v>89000</v>
      </c>
      <c r="I2480">
        <f>Table1[[#This Row],[Qty]]*Table1[[#This Row],[CostPrice]]</f>
        <v>65000</v>
      </c>
      <c r="J2480">
        <v>23832</v>
      </c>
      <c r="K2480">
        <v>167.99999999999997</v>
      </c>
      <c r="L2480" t="s">
        <v>13</v>
      </c>
      <c r="M2480" t="s">
        <v>29</v>
      </c>
      <c r="N2480">
        <f>MONTH(Table1[[#This Row],[SaleDate]])</f>
        <v>10</v>
      </c>
      <c r="O2480" t="str">
        <f>TEXT(Table1[[#This Row],[SaleDate]],"MMM")</f>
        <v>Oct</v>
      </c>
    </row>
    <row r="2481" spans="1:15">
      <c r="A2481" s="1">
        <v>45206</v>
      </c>
      <c r="B2481" t="s">
        <v>23</v>
      </c>
      <c r="C2481" t="s">
        <v>19</v>
      </c>
      <c r="D2481">
        <v>1</v>
      </c>
      <c r="E2481" t="s">
        <v>7</v>
      </c>
      <c r="F2481">
        <v>33000</v>
      </c>
      <c r="G2481">
        <v>18000</v>
      </c>
      <c r="H2481">
        <f>Table1[[#This Row],[Qty]]*Table1[[#This Row],[SellingPrice]]</f>
        <v>33000</v>
      </c>
      <c r="I2481">
        <f>Table1[[#This Row],[Qty]]*Table1[[#This Row],[CostPrice]]</f>
        <v>18000</v>
      </c>
      <c r="J2481">
        <v>14895</v>
      </c>
      <c r="K2481">
        <v>104.99999999999999</v>
      </c>
      <c r="L2481" t="s">
        <v>8</v>
      </c>
      <c r="M2481" t="s">
        <v>30</v>
      </c>
      <c r="N2481">
        <f>MONTH(Table1[[#This Row],[SaleDate]])</f>
        <v>10</v>
      </c>
      <c r="O2481" t="str">
        <f>TEXT(Table1[[#This Row],[SaleDate]],"MMM")</f>
        <v>Oct</v>
      </c>
    </row>
    <row r="2482" spans="1:15">
      <c r="A2482" s="1">
        <v>45206</v>
      </c>
      <c r="B2482" t="s">
        <v>23</v>
      </c>
      <c r="C2482" t="s">
        <v>19</v>
      </c>
      <c r="D2482">
        <v>1</v>
      </c>
      <c r="E2482" t="s">
        <v>9</v>
      </c>
      <c r="F2482">
        <v>60000</v>
      </c>
      <c r="G2482">
        <v>31000</v>
      </c>
      <c r="H2482">
        <f>Table1[[#This Row],[Qty]]*Table1[[#This Row],[SellingPrice]]</f>
        <v>60000</v>
      </c>
      <c r="I2482">
        <f>Table1[[#This Row],[Qty]]*Table1[[#This Row],[CostPrice]]</f>
        <v>31000</v>
      </c>
      <c r="J2482">
        <v>28797</v>
      </c>
      <c r="K2482">
        <v>202.99999999999997</v>
      </c>
      <c r="L2482" t="s">
        <v>8</v>
      </c>
      <c r="M2482" t="s">
        <v>28</v>
      </c>
      <c r="N2482">
        <f>MONTH(Table1[[#This Row],[SaleDate]])</f>
        <v>10</v>
      </c>
      <c r="O2482" t="str">
        <f>TEXT(Table1[[#This Row],[SaleDate]],"MMM")</f>
        <v>Oct</v>
      </c>
    </row>
    <row r="2483" spans="1:15">
      <c r="A2483" s="1">
        <v>45206</v>
      </c>
      <c r="B2483" t="s">
        <v>23</v>
      </c>
      <c r="C2483" t="s">
        <v>19</v>
      </c>
      <c r="D2483">
        <v>1</v>
      </c>
      <c r="E2483" t="s">
        <v>10</v>
      </c>
      <c r="F2483">
        <v>89000</v>
      </c>
      <c r="G2483">
        <v>65000</v>
      </c>
      <c r="H2483">
        <f>Table1[[#This Row],[Qty]]*Table1[[#This Row],[SellingPrice]]</f>
        <v>89000</v>
      </c>
      <c r="I2483">
        <f>Table1[[#This Row],[Qty]]*Table1[[#This Row],[CostPrice]]</f>
        <v>65000</v>
      </c>
      <c r="J2483">
        <v>23832</v>
      </c>
      <c r="K2483">
        <v>167.99999999999997</v>
      </c>
      <c r="L2483" t="s">
        <v>8</v>
      </c>
      <c r="M2483" t="s">
        <v>28</v>
      </c>
      <c r="N2483">
        <f>MONTH(Table1[[#This Row],[SaleDate]])</f>
        <v>10</v>
      </c>
      <c r="O2483" t="str">
        <f>TEXT(Table1[[#This Row],[SaleDate]],"MMM")</f>
        <v>Oct</v>
      </c>
    </row>
    <row r="2484" spans="1:15">
      <c r="A2484" s="1">
        <v>45206</v>
      </c>
      <c r="B2484" t="s">
        <v>24</v>
      </c>
      <c r="C2484" t="s">
        <v>22</v>
      </c>
      <c r="D2484">
        <v>1</v>
      </c>
      <c r="E2484" t="s">
        <v>7</v>
      </c>
      <c r="F2484">
        <v>33000</v>
      </c>
      <c r="G2484">
        <v>18000</v>
      </c>
      <c r="H2484">
        <f>Table1[[#This Row],[Qty]]*Table1[[#This Row],[SellingPrice]]</f>
        <v>33000</v>
      </c>
      <c r="I2484">
        <f>Table1[[#This Row],[Qty]]*Table1[[#This Row],[CostPrice]]</f>
        <v>18000</v>
      </c>
      <c r="J2484">
        <v>14895</v>
      </c>
      <c r="K2484">
        <v>104.99999999999999</v>
      </c>
      <c r="L2484" t="s">
        <v>12</v>
      </c>
      <c r="M2484" t="s">
        <v>27</v>
      </c>
      <c r="N2484">
        <f>MONTH(Table1[[#This Row],[SaleDate]])</f>
        <v>10</v>
      </c>
      <c r="O2484" t="str">
        <f>TEXT(Table1[[#This Row],[SaleDate]],"MMM")</f>
        <v>Oct</v>
      </c>
    </row>
    <row r="2485" spans="1:15">
      <c r="A2485" s="1">
        <v>45206</v>
      </c>
      <c r="B2485" t="s">
        <v>24</v>
      </c>
      <c r="C2485" t="s">
        <v>22</v>
      </c>
      <c r="D2485">
        <v>1</v>
      </c>
      <c r="E2485" t="s">
        <v>9</v>
      </c>
      <c r="F2485">
        <v>60000</v>
      </c>
      <c r="G2485">
        <v>31000</v>
      </c>
      <c r="H2485">
        <f>Table1[[#This Row],[Qty]]*Table1[[#This Row],[SellingPrice]]</f>
        <v>60000</v>
      </c>
      <c r="I2485">
        <f>Table1[[#This Row],[Qty]]*Table1[[#This Row],[CostPrice]]</f>
        <v>31000</v>
      </c>
      <c r="J2485">
        <v>28797</v>
      </c>
      <c r="K2485">
        <v>202.99999999999997</v>
      </c>
      <c r="L2485" t="s">
        <v>12</v>
      </c>
      <c r="M2485" t="s">
        <v>30</v>
      </c>
      <c r="N2485">
        <f>MONTH(Table1[[#This Row],[SaleDate]])</f>
        <v>10</v>
      </c>
      <c r="O2485" t="str">
        <f>TEXT(Table1[[#This Row],[SaleDate]],"MMM")</f>
        <v>Oct</v>
      </c>
    </row>
    <row r="2486" spans="1:15">
      <c r="A2486" s="1">
        <v>45206</v>
      </c>
      <c r="B2486" t="s">
        <v>24</v>
      </c>
      <c r="C2486" t="s">
        <v>22</v>
      </c>
      <c r="D2486">
        <v>1</v>
      </c>
      <c r="E2486" t="s">
        <v>10</v>
      </c>
      <c r="F2486">
        <v>89000</v>
      </c>
      <c r="G2486">
        <v>65000</v>
      </c>
      <c r="H2486">
        <f>Table1[[#This Row],[Qty]]*Table1[[#This Row],[SellingPrice]]</f>
        <v>89000</v>
      </c>
      <c r="I2486">
        <f>Table1[[#This Row],[Qty]]*Table1[[#This Row],[CostPrice]]</f>
        <v>65000</v>
      </c>
      <c r="J2486">
        <v>23832</v>
      </c>
      <c r="K2486">
        <v>167.99999999999997</v>
      </c>
      <c r="L2486" t="s">
        <v>12</v>
      </c>
      <c r="M2486" t="s">
        <v>30</v>
      </c>
      <c r="N2486">
        <f>MONTH(Table1[[#This Row],[SaleDate]])</f>
        <v>10</v>
      </c>
      <c r="O2486" t="str">
        <f>TEXT(Table1[[#This Row],[SaleDate]],"MMM")</f>
        <v>Oct</v>
      </c>
    </row>
    <row r="2487" spans="1:15">
      <c r="A2487" s="1">
        <v>45206</v>
      </c>
      <c r="B2487" t="s">
        <v>25</v>
      </c>
      <c r="C2487" t="s">
        <v>21</v>
      </c>
      <c r="D2487">
        <v>1</v>
      </c>
      <c r="E2487" t="s">
        <v>7</v>
      </c>
      <c r="F2487">
        <v>33000</v>
      </c>
      <c r="G2487">
        <v>18000</v>
      </c>
      <c r="H2487">
        <f>Table1[[#This Row],[Qty]]*Table1[[#This Row],[SellingPrice]]</f>
        <v>33000</v>
      </c>
      <c r="I2487">
        <f>Table1[[#This Row],[Qty]]*Table1[[#This Row],[CostPrice]]</f>
        <v>18000</v>
      </c>
      <c r="J2487">
        <v>14895</v>
      </c>
      <c r="K2487">
        <v>104.99999999999999</v>
      </c>
      <c r="L2487" t="s">
        <v>13</v>
      </c>
      <c r="M2487" t="s">
        <v>28</v>
      </c>
      <c r="N2487">
        <f>MONTH(Table1[[#This Row],[SaleDate]])</f>
        <v>10</v>
      </c>
      <c r="O2487" t="str">
        <f>TEXT(Table1[[#This Row],[SaleDate]],"MMM")</f>
        <v>Oct</v>
      </c>
    </row>
    <row r="2488" spans="1:15">
      <c r="A2488" s="1">
        <v>45206</v>
      </c>
      <c r="B2488" t="s">
        <v>25</v>
      </c>
      <c r="C2488" t="s">
        <v>21</v>
      </c>
      <c r="D2488">
        <v>1</v>
      </c>
      <c r="E2488" t="s">
        <v>9</v>
      </c>
      <c r="F2488">
        <v>60000</v>
      </c>
      <c r="G2488">
        <v>31000</v>
      </c>
      <c r="H2488">
        <f>Table1[[#This Row],[Qty]]*Table1[[#This Row],[SellingPrice]]</f>
        <v>60000</v>
      </c>
      <c r="I2488">
        <f>Table1[[#This Row],[Qty]]*Table1[[#This Row],[CostPrice]]</f>
        <v>31000</v>
      </c>
      <c r="J2488">
        <v>28797</v>
      </c>
      <c r="K2488">
        <v>202.99999999999997</v>
      </c>
      <c r="L2488" t="s">
        <v>13</v>
      </c>
      <c r="M2488" t="s">
        <v>29</v>
      </c>
      <c r="N2488">
        <f>MONTH(Table1[[#This Row],[SaleDate]])</f>
        <v>10</v>
      </c>
      <c r="O2488" t="str">
        <f>TEXT(Table1[[#This Row],[SaleDate]],"MMM")</f>
        <v>Oct</v>
      </c>
    </row>
    <row r="2489" spans="1:15">
      <c r="A2489" s="1">
        <v>45206</v>
      </c>
      <c r="B2489" t="s">
        <v>25</v>
      </c>
      <c r="C2489" t="s">
        <v>21</v>
      </c>
      <c r="D2489">
        <v>1</v>
      </c>
      <c r="E2489" t="s">
        <v>10</v>
      </c>
      <c r="F2489">
        <v>89000</v>
      </c>
      <c r="G2489">
        <v>65000</v>
      </c>
      <c r="H2489">
        <f>Table1[[#This Row],[Qty]]*Table1[[#This Row],[SellingPrice]]</f>
        <v>89000</v>
      </c>
      <c r="I2489">
        <f>Table1[[#This Row],[Qty]]*Table1[[#This Row],[CostPrice]]</f>
        <v>65000</v>
      </c>
      <c r="J2489">
        <v>23832</v>
      </c>
      <c r="K2489">
        <v>167.99999999999997</v>
      </c>
      <c r="L2489" t="s">
        <v>13</v>
      </c>
      <c r="M2489" t="s">
        <v>29</v>
      </c>
      <c r="N2489">
        <f>MONTH(Table1[[#This Row],[SaleDate]])</f>
        <v>10</v>
      </c>
      <c r="O2489" t="str">
        <f>TEXT(Table1[[#This Row],[SaleDate]],"MMM")</f>
        <v>Oct</v>
      </c>
    </row>
    <row r="2490" spans="1:15">
      <c r="A2490" s="1">
        <v>45207</v>
      </c>
      <c r="B2490" t="s">
        <v>23</v>
      </c>
      <c r="C2490" t="s">
        <v>19</v>
      </c>
      <c r="D2490">
        <v>1</v>
      </c>
      <c r="E2490" t="s">
        <v>7</v>
      </c>
      <c r="F2490">
        <v>33000</v>
      </c>
      <c r="G2490">
        <v>18000</v>
      </c>
      <c r="H2490">
        <f>Table1[[#This Row],[Qty]]*Table1[[#This Row],[SellingPrice]]</f>
        <v>33000</v>
      </c>
      <c r="I2490">
        <f>Table1[[#This Row],[Qty]]*Table1[[#This Row],[CostPrice]]</f>
        <v>18000</v>
      </c>
      <c r="J2490">
        <v>14895</v>
      </c>
      <c r="K2490">
        <v>104.99999999999999</v>
      </c>
      <c r="L2490" t="s">
        <v>8</v>
      </c>
      <c r="M2490" t="s">
        <v>27</v>
      </c>
      <c r="N2490">
        <f>MONTH(Table1[[#This Row],[SaleDate]])</f>
        <v>10</v>
      </c>
      <c r="O2490" t="str">
        <f>TEXT(Table1[[#This Row],[SaleDate]],"MMM")</f>
        <v>Oct</v>
      </c>
    </row>
    <row r="2491" spans="1:15">
      <c r="A2491" s="1">
        <v>45207</v>
      </c>
      <c r="B2491" t="s">
        <v>23</v>
      </c>
      <c r="C2491" t="s">
        <v>19</v>
      </c>
      <c r="D2491">
        <v>1</v>
      </c>
      <c r="E2491" t="s">
        <v>9</v>
      </c>
      <c r="F2491">
        <v>60000</v>
      </c>
      <c r="G2491">
        <v>31000</v>
      </c>
      <c r="H2491">
        <f>Table1[[#This Row],[Qty]]*Table1[[#This Row],[SellingPrice]]</f>
        <v>60000</v>
      </c>
      <c r="I2491">
        <f>Table1[[#This Row],[Qty]]*Table1[[#This Row],[CostPrice]]</f>
        <v>31000</v>
      </c>
      <c r="J2491">
        <v>28797</v>
      </c>
      <c r="K2491">
        <v>202.99999999999997</v>
      </c>
      <c r="L2491" t="s">
        <v>8</v>
      </c>
      <c r="M2491" t="s">
        <v>30</v>
      </c>
      <c r="N2491">
        <f>MONTH(Table1[[#This Row],[SaleDate]])</f>
        <v>10</v>
      </c>
      <c r="O2491" t="str">
        <f>TEXT(Table1[[#This Row],[SaleDate]],"MMM")</f>
        <v>Oct</v>
      </c>
    </row>
    <row r="2492" spans="1:15">
      <c r="A2492" s="1">
        <v>45207</v>
      </c>
      <c r="B2492" t="s">
        <v>23</v>
      </c>
      <c r="C2492" t="s">
        <v>19</v>
      </c>
      <c r="D2492">
        <v>1</v>
      </c>
      <c r="E2492" t="s">
        <v>10</v>
      </c>
      <c r="F2492">
        <v>89000</v>
      </c>
      <c r="G2492">
        <v>65000</v>
      </c>
      <c r="H2492">
        <f>Table1[[#This Row],[Qty]]*Table1[[#This Row],[SellingPrice]]</f>
        <v>89000</v>
      </c>
      <c r="I2492">
        <f>Table1[[#This Row],[Qty]]*Table1[[#This Row],[CostPrice]]</f>
        <v>65000</v>
      </c>
      <c r="J2492">
        <v>23832</v>
      </c>
      <c r="K2492">
        <v>167.99999999999997</v>
      </c>
      <c r="L2492" t="s">
        <v>8</v>
      </c>
      <c r="M2492" t="s">
        <v>30</v>
      </c>
      <c r="N2492">
        <f>MONTH(Table1[[#This Row],[SaleDate]])</f>
        <v>10</v>
      </c>
      <c r="O2492" t="str">
        <f>TEXT(Table1[[#This Row],[SaleDate]],"MMM")</f>
        <v>Oct</v>
      </c>
    </row>
    <row r="2493" spans="1:15">
      <c r="A2493" s="1">
        <v>45207</v>
      </c>
      <c r="B2493" t="s">
        <v>24</v>
      </c>
      <c r="C2493" t="s">
        <v>22</v>
      </c>
      <c r="D2493">
        <v>1</v>
      </c>
      <c r="E2493" t="s">
        <v>7</v>
      </c>
      <c r="F2493">
        <v>33000</v>
      </c>
      <c r="G2493">
        <v>18000</v>
      </c>
      <c r="H2493">
        <f>Table1[[#This Row],[Qty]]*Table1[[#This Row],[SellingPrice]]</f>
        <v>33000</v>
      </c>
      <c r="I2493">
        <f>Table1[[#This Row],[Qty]]*Table1[[#This Row],[CostPrice]]</f>
        <v>18000</v>
      </c>
      <c r="J2493">
        <v>14895</v>
      </c>
      <c r="K2493">
        <v>104.99999999999999</v>
      </c>
      <c r="L2493" t="s">
        <v>12</v>
      </c>
      <c r="M2493" t="s">
        <v>30</v>
      </c>
      <c r="N2493">
        <f>MONTH(Table1[[#This Row],[SaleDate]])</f>
        <v>10</v>
      </c>
      <c r="O2493" t="str">
        <f>TEXT(Table1[[#This Row],[SaleDate]],"MMM")</f>
        <v>Oct</v>
      </c>
    </row>
    <row r="2494" spans="1:15">
      <c r="A2494" s="1">
        <v>45207</v>
      </c>
      <c r="B2494" t="s">
        <v>24</v>
      </c>
      <c r="C2494" t="s">
        <v>22</v>
      </c>
      <c r="D2494">
        <v>1</v>
      </c>
      <c r="E2494" t="s">
        <v>9</v>
      </c>
      <c r="F2494">
        <v>60000</v>
      </c>
      <c r="G2494">
        <v>31000</v>
      </c>
      <c r="H2494">
        <f>Table1[[#This Row],[Qty]]*Table1[[#This Row],[SellingPrice]]</f>
        <v>60000</v>
      </c>
      <c r="I2494">
        <f>Table1[[#This Row],[Qty]]*Table1[[#This Row],[CostPrice]]</f>
        <v>31000</v>
      </c>
      <c r="J2494">
        <v>28797</v>
      </c>
      <c r="K2494">
        <v>202.99999999999997</v>
      </c>
      <c r="L2494" t="s">
        <v>12</v>
      </c>
      <c r="M2494" t="s">
        <v>27</v>
      </c>
      <c r="N2494">
        <f>MONTH(Table1[[#This Row],[SaleDate]])</f>
        <v>10</v>
      </c>
      <c r="O2494" t="str">
        <f>TEXT(Table1[[#This Row],[SaleDate]],"MMM")</f>
        <v>Oct</v>
      </c>
    </row>
    <row r="2495" spans="1:15">
      <c r="A2495" s="1">
        <v>45207</v>
      </c>
      <c r="B2495" t="s">
        <v>24</v>
      </c>
      <c r="C2495" t="s">
        <v>22</v>
      </c>
      <c r="D2495">
        <v>1</v>
      </c>
      <c r="E2495" t="s">
        <v>10</v>
      </c>
      <c r="F2495">
        <v>89000</v>
      </c>
      <c r="G2495">
        <v>65000</v>
      </c>
      <c r="H2495">
        <f>Table1[[#This Row],[Qty]]*Table1[[#This Row],[SellingPrice]]</f>
        <v>89000</v>
      </c>
      <c r="I2495">
        <f>Table1[[#This Row],[Qty]]*Table1[[#This Row],[CostPrice]]</f>
        <v>65000</v>
      </c>
      <c r="J2495">
        <v>23832</v>
      </c>
      <c r="K2495">
        <v>167.99999999999997</v>
      </c>
      <c r="L2495" t="s">
        <v>12</v>
      </c>
      <c r="M2495" t="s">
        <v>30</v>
      </c>
      <c r="N2495">
        <f>MONTH(Table1[[#This Row],[SaleDate]])</f>
        <v>10</v>
      </c>
      <c r="O2495" t="str">
        <f>TEXT(Table1[[#This Row],[SaleDate]],"MMM")</f>
        <v>Oct</v>
      </c>
    </row>
    <row r="2496" spans="1:15">
      <c r="A2496" s="1">
        <v>45207</v>
      </c>
      <c r="B2496" t="s">
        <v>25</v>
      </c>
      <c r="C2496" t="s">
        <v>21</v>
      </c>
      <c r="D2496">
        <v>1</v>
      </c>
      <c r="E2496" t="s">
        <v>7</v>
      </c>
      <c r="F2496">
        <v>33000</v>
      </c>
      <c r="G2496">
        <v>18000</v>
      </c>
      <c r="H2496">
        <f>Table1[[#This Row],[Qty]]*Table1[[#This Row],[SellingPrice]]</f>
        <v>33000</v>
      </c>
      <c r="I2496">
        <f>Table1[[#This Row],[Qty]]*Table1[[#This Row],[CostPrice]]</f>
        <v>18000</v>
      </c>
      <c r="J2496">
        <v>14895</v>
      </c>
      <c r="K2496">
        <v>104.99999999999999</v>
      </c>
      <c r="L2496" t="s">
        <v>13</v>
      </c>
      <c r="M2496" t="s">
        <v>29</v>
      </c>
      <c r="N2496">
        <f>MONTH(Table1[[#This Row],[SaleDate]])</f>
        <v>10</v>
      </c>
      <c r="O2496" t="str">
        <f>TEXT(Table1[[#This Row],[SaleDate]],"MMM")</f>
        <v>Oct</v>
      </c>
    </row>
    <row r="2497" spans="1:15">
      <c r="A2497" s="1">
        <v>45207</v>
      </c>
      <c r="B2497" t="s">
        <v>25</v>
      </c>
      <c r="C2497" t="s">
        <v>21</v>
      </c>
      <c r="D2497">
        <v>1</v>
      </c>
      <c r="E2497" t="s">
        <v>9</v>
      </c>
      <c r="F2497">
        <v>60000</v>
      </c>
      <c r="G2497">
        <v>31000</v>
      </c>
      <c r="H2497">
        <f>Table1[[#This Row],[Qty]]*Table1[[#This Row],[SellingPrice]]</f>
        <v>60000</v>
      </c>
      <c r="I2497">
        <f>Table1[[#This Row],[Qty]]*Table1[[#This Row],[CostPrice]]</f>
        <v>31000</v>
      </c>
      <c r="J2497">
        <v>28797</v>
      </c>
      <c r="K2497">
        <v>202.99999999999997</v>
      </c>
      <c r="L2497" t="s">
        <v>13</v>
      </c>
      <c r="M2497" t="s">
        <v>30</v>
      </c>
      <c r="N2497">
        <f>MONTH(Table1[[#This Row],[SaleDate]])</f>
        <v>10</v>
      </c>
      <c r="O2497" t="str">
        <f>TEXT(Table1[[#This Row],[SaleDate]],"MMM")</f>
        <v>Oct</v>
      </c>
    </row>
    <row r="2498" spans="1:15">
      <c r="A2498" s="1">
        <v>45207</v>
      </c>
      <c r="B2498" t="s">
        <v>25</v>
      </c>
      <c r="C2498" t="s">
        <v>21</v>
      </c>
      <c r="D2498">
        <v>1</v>
      </c>
      <c r="E2498" t="s">
        <v>10</v>
      </c>
      <c r="F2498">
        <v>89000</v>
      </c>
      <c r="G2498">
        <v>65000</v>
      </c>
      <c r="H2498">
        <f>Table1[[#This Row],[Qty]]*Table1[[#This Row],[SellingPrice]]</f>
        <v>89000</v>
      </c>
      <c r="I2498">
        <f>Table1[[#This Row],[Qty]]*Table1[[#This Row],[CostPrice]]</f>
        <v>65000</v>
      </c>
      <c r="J2498">
        <v>23832</v>
      </c>
      <c r="K2498">
        <v>167.99999999999997</v>
      </c>
      <c r="L2498" t="s">
        <v>13</v>
      </c>
      <c r="M2498" t="s">
        <v>29</v>
      </c>
      <c r="N2498">
        <f>MONTH(Table1[[#This Row],[SaleDate]])</f>
        <v>10</v>
      </c>
      <c r="O2498" t="str">
        <f>TEXT(Table1[[#This Row],[SaleDate]],"MMM")</f>
        <v>Oct</v>
      </c>
    </row>
    <row r="2499" spans="1:15">
      <c r="A2499" s="1">
        <v>45208</v>
      </c>
      <c r="B2499" t="s">
        <v>23</v>
      </c>
      <c r="C2499" t="s">
        <v>19</v>
      </c>
      <c r="D2499">
        <v>1</v>
      </c>
      <c r="E2499" t="s">
        <v>7</v>
      </c>
      <c r="F2499">
        <v>33000</v>
      </c>
      <c r="G2499">
        <v>18000</v>
      </c>
      <c r="H2499">
        <f>Table1[[#This Row],[Qty]]*Table1[[#This Row],[SellingPrice]]</f>
        <v>33000</v>
      </c>
      <c r="I2499">
        <f>Table1[[#This Row],[Qty]]*Table1[[#This Row],[CostPrice]]</f>
        <v>18000</v>
      </c>
      <c r="J2499">
        <v>14895</v>
      </c>
      <c r="K2499">
        <v>104.99999999999999</v>
      </c>
      <c r="L2499" t="s">
        <v>8</v>
      </c>
      <c r="M2499" t="s">
        <v>27</v>
      </c>
      <c r="N2499">
        <f>MONTH(Table1[[#This Row],[SaleDate]])</f>
        <v>10</v>
      </c>
      <c r="O2499" t="str">
        <f>TEXT(Table1[[#This Row],[SaleDate]],"MMM")</f>
        <v>Oct</v>
      </c>
    </row>
    <row r="2500" spans="1:15">
      <c r="A2500" s="1">
        <v>45208</v>
      </c>
      <c r="B2500" t="s">
        <v>23</v>
      </c>
      <c r="C2500" t="s">
        <v>19</v>
      </c>
      <c r="D2500">
        <v>1</v>
      </c>
      <c r="E2500" t="s">
        <v>9</v>
      </c>
      <c r="F2500">
        <v>60000</v>
      </c>
      <c r="G2500">
        <v>31000</v>
      </c>
      <c r="H2500">
        <f>Table1[[#This Row],[Qty]]*Table1[[#This Row],[SellingPrice]]</f>
        <v>60000</v>
      </c>
      <c r="I2500">
        <f>Table1[[#This Row],[Qty]]*Table1[[#This Row],[CostPrice]]</f>
        <v>31000</v>
      </c>
      <c r="J2500">
        <v>28797</v>
      </c>
      <c r="K2500">
        <v>202.99999999999997</v>
      </c>
      <c r="L2500" t="s">
        <v>8</v>
      </c>
      <c r="M2500" t="s">
        <v>29</v>
      </c>
      <c r="N2500">
        <f>MONTH(Table1[[#This Row],[SaleDate]])</f>
        <v>10</v>
      </c>
      <c r="O2500" t="str">
        <f>TEXT(Table1[[#This Row],[SaleDate]],"MMM")</f>
        <v>Oct</v>
      </c>
    </row>
    <row r="2501" spans="1:15">
      <c r="A2501" s="1">
        <v>45208</v>
      </c>
      <c r="B2501" t="s">
        <v>23</v>
      </c>
      <c r="C2501" t="s">
        <v>19</v>
      </c>
      <c r="D2501">
        <v>1</v>
      </c>
      <c r="E2501" t="s">
        <v>10</v>
      </c>
      <c r="F2501">
        <v>89000</v>
      </c>
      <c r="G2501">
        <v>65000</v>
      </c>
      <c r="H2501">
        <f>Table1[[#This Row],[Qty]]*Table1[[#This Row],[SellingPrice]]</f>
        <v>89000</v>
      </c>
      <c r="I2501">
        <f>Table1[[#This Row],[Qty]]*Table1[[#This Row],[CostPrice]]</f>
        <v>65000</v>
      </c>
      <c r="J2501">
        <v>23832</v>
      </c>
      <c r="K2501">
        <v>167.99999999999997</v>
      </c>
      <c r="L2501" t="s">
        <v>8</v>
      </c>
      <c r="M2501" t="s">
        <v>30</v>
      </c>
      <c r="N2501">
        <f>MONTH(Table1[[#This Row],[SaleDate]])</f>
        <v>10</v>
      </c>
      <c r="O2501" t="str">
        <f>TEXT(Table1[[#This Row],[SaleDate]],"MMM")</f>
        <v>Oct</v>
      </c>
    </row>
    <row r="2502" spans="1:15">
      <c r="A2502" s="1">
        <v>45208</v>
      </c>
      <c r="B2502" t="s">
        <v>24</v>
      </c>
      <c r="C2502" t="s">
        <v>22</v>
      </c>
      <c r="D2502">
        <v>1</v>
      </c>
      <c r="E2502" t="s">
        <v>7</v>
      </c>
      <c r="F2502">
        <v>33000</v>
      </c>
      <c r="G2502">
        <v>18000</v>
      </c>
      <c r="H2502">
        <f>Table1[[#This Row],[Qty]]*Table1[[#This Row],[SellingPrice]]</f>
        <v>33000</v>
      </c>
      <c r="I2502">
        <f>Table1[[#This Row],[Qty]]*Table1[[#This Row],[CostPrice]]</f>
        <v>18000</v>
      </c>
      <c r="J2502">
        <v>14895</v>
      </c>
      <c r="K2502">
        <v>104.99999999999999</v>
      </c>
      <c r="L2502" t="s">
        <v>12</v>
      </c>
      <c r="M2502" t="s">
        <v>29</v>
      </c>
      <c r="N2502">
        <f>MONTH(Table1[[#This Row],[SaleDate]])</f>
        <v>10</v>
      </c>
      <c r="O2502" t="str">
        <f>TEXT(Table1[[#This Row],[SaleDate]],"MMM")</f>
        <v>Oct</v>
      </c>
    </row>
    <row r="2503" spans="1:15">
      <c r="A2503" s="1">
        <v>45208</v>
      </c>
      <c r="B2503" t="s">
        <v>24</v>
      </c>
      <c r="C2503" t="s">
        <v>22</v>
      </c>
      <c r="D2503">
        <v>1</v>
      </c>
      <c r="E2503" t="s">
        <v>9</v>
      </c>
      <c r="F2503">
        <v>60000</v>
      </c>
      <c r="G2503">
        <v>31000</v>
      </c>
      <c r="H2503">
        <f>Table1[[#This Row],[Qty]]*Table1[[#This Row],[SellingPrice]]</f>
        <v>60000</v>
      </c>
      <c r="I2503">
        <f>Table1[[#This Row],[Qty]]*Table1[[#This Row],[CostPrice]]</f>
        <v>31000</v>
      </c>
      <c r="J2503">
        <v>28797</v>
      </c>
      <c r="K2503">
        <v>202.99999999999997</v>
      </c>
      <c r="L2503" t="s">
        <v>12</v>
      </c>
      <c r="M2503" t="s">
        <v>29</v>
      </c>
      <c r="N2503">
        <f>MONTH(Table1[[#This Row],[SaleDate]])</f>
        <v>10</v>
      </c>
      <c r="O2503" t="str">
        <f>TEXT(Table1[[#This Row],[SaleDate]],"MMM")</f>
        <v>Oct</v>
      </c>
    </row>
    <row r="2504" spans="1:15">
      <c r="A2504" s="1">
        <v>45208</v>
      </c>
      <c r="B2504" t="s">
        <v>24</v>
      </c>
      <c r="C2504" t="s">
        <v>22</v>
      </c>
      <c r="D2504">
        <v>1</v>
      </c>
      <c r="E2504" t="s">
        <v>10</v>
      </c>
      <c r="F2504">
        <v>89000</v>
      </c>
      <c r="G2504">
        <v>65000</v>
      </c>
      <c r="H2504">
        <f>Table1[[#This Row],[Qty]]*Table1[[#This Row],[SellingPrice]]</f>
        <v>89000</v>
      </c>
      <c r="I2504">
        <f>Table1[[#This Row],[Qty]]*Table1[[#This Row],[CostPrice]]</f>
        <v>65000</v>
      </c>
      <c r="J2504">
        <v>23832</v>
      </c>
      <c r="K2504">
        <v>167.99999999999997</v>
      </c>
      <c r="L2504" t="s">
        <v>12</v>
      </c>
      <c r="M2504" t="s">
        <v>29</v>
      </c>
      <c r="N2504">
        <f>MONTH(Table1[[#This Row],[SaleDate]])</f>
        <v>10</v>
      </c>
      <c r="O2504" t="str">
        <f>TEXT(Table1[[#This Row],[SaleDate]],"MMM")</f>
        <v>Oct</v>
      </c>
    </row>
    <row r="2505" spans="1:15">
      <c r="A2505" s="1">
        <v>45208</v>
      </c>
      <c r="B2505" t="s">
        <v>25</v>
      </c>
      <c r="C2505" t="s">
        <v>21</v>
      </c>
      <c r="D2505">
        <v>1</v>
      </c>
      <c r="E2505" t="s">
        <v>7</v>
      </c>
      <c r="F2505">
        <v>33000</v>
      </c>
      <c r="G2505">
        <v>18000</v>
      </c>
      <c r="H2505">
        <f>Table1[[#This Row],[Qty]]*Table1[[#This Row],[SellingPrice]]</f>
        <v>33000</v>
      </c>
      <c r="I2505">
        <f>Table1[[#This Row],[Qty]]*Table1[[#This Row],[CostPrice]]</f>
        <v>18000</v>
      </c>
      <c r="J2505">
        <v>14895</v>
      </c>
      <c r="K2505">
        <v>104.99999999999999</v>
      </c>
      <c r="L2505" t="s">
        <v>13</v>
      </c>
      <c r="M2505" t="s">
        <v>27</v>
      </c>
      <c r="N2505">
        <f>MONTH(Table1[[#This Row],[SaleDate]])</f>
        <v>10</v>
      </c>
      <c r="O2505" t="str">
        <f>TEXT(Table1[[#This Row],[SaleDate]],"MMM")</f>
        <v>Oct</v>
      </c>
    </row>
    <row r="2506" spans="1:15">
      <c r="A2506" s="1">
        <v>45208</v>
      </c>
      <c r="B2506" t="s">
        <v>25</v>
      </c>
      <c r="C2506" t="s">
        <v>21</v>
      </c>
      <c r="D2506">
        <v>1</v>
      </c>
      <c r="E2506" t="s">
        <v>9</v>
      </c>
      <c r="F2506">
        <v>60000</v>
      </c>
      <c r="G2506">
        <v>31000</v>
      </c>
      <c r="H2506">
        <f>Table1[[#This Row],[Qty]]*Table1[[#This Row],[SellingPrice]]</f>
        <v>60000</v>
      </c>
      <c r="I2506">
        <f>Table1[[#This Row],[Qty]]*Table1[[#This Row],[CostPrice]]</f>
        <v>31000</v>
      </c>
      <c r="J2506">
        <v>28797</v>
      </c>
      <c r="K2506">
        <v>202.99999999999997</v>
      </c>
      <c r="L2506" t="s">
        <v>13</v>
      </c>
      <c r="M2506" t="s">
        <v>27</v>
      </c>
      <c r="N2506">
        <f>MONTH(Table1[[#This Row],[SaleDate]])</f>
        <v>10</v>
      </c>
      <c r="O2506" t="str">
        <f>TEXT(Table1[[#This Row],[SaleDate]],"MMM")</f>
        <v>Oct</v>
      </c>
    </row>
    <row r="2507" spans="1:15">
      <c r="A2507" s="1">
        <v>45208</v>
      </c>
      <c r="B2507" t="s">
        <v>25</v>
      </c>
      <c r="C2507" t="s">
        <v>21</v>
      </c>
      <c r="D2507">
        <v>1</v>
      </c>
      <c r="E2507" t="s">
        <v>10</v>
      </c>
      <c r="F2507">
        <v>89000</v>
      </c>
      <c r="G2507">
        <v>65000</v>
      </c>
      <c r="H2507">
        <f>Table1[[#This Row],[Qty]]*Table1[[#This Row],[SellingPrice]]</f>
        <v>89000</v>
      </c>
      <c r="I2507">
        <f>Table1[[#This Row],[Qty]]*Table1[[#This Row],[CostPrice]]</f>
        <v>65000</v>
      </c>
      <c r="J2507">
        <v>23832</v>
      </c>
      <c r="K2507">
        <v>167.99999999999997</v>
      </c>
      <c r="L2507" t="s">
        <v>13</v>
      </c>
      <c r="M2507" t="s">
        <v>28</v>
      </c>
      <c r="N2507">
        <f>MONTH(Table1[[#This Row],[SaleDate]])</f>
        <v>10</v>
      </c>
      <c r="O2507" t="str">
        <f>TEXT(Table1[[#This Row],[SaleDate]],"MMM")</f>
        <v>Oct</v>
      </c>
    </row>
    <row r="2508" spans="1:15">
      <c r="A2508" s="1">
        <v>45209</v>
      </c>
      <c r="B2508" t="s">
        <v>23</v>
      </c>
      <c r="C2508" t="s">
        <v>19</v>
      </c>
      <c r="D2508">
        <v>1</v>
      </c>
      <c r="E2508" t="s">
        <v>7</v>
      </c>
      <c r="F2508">
        <v>33000</v>
      </c>
      <c r="G2508">
        <v>18000</v>
      </c>
      <c r="H2508">
        <f>Table1[[#This Row],[Qty]]*Table1[[#This Row],[SellingPrice]]</f>
        <v>33000</v>
      </c>
      <c r="I2508">
        <f>Table1[[#This Row],[Qty]]*Table1[[#This Row],[CostPrice]]</f>
        <v>18000</v>
      </c>
      <c r="J2508">
        <v>14895</v>
      </c>
      <c r="K2508">
        <v>104.99999999999999</v>
      </c>
      <c r="L2508" t="s">
        <v>8</v>
      </c>
      <c r="M2508" t="s">
        <v>29</v>
      </c>
      <c r="N2508">
        <f>MONTH(Table1[[#This Row],[SaleDate]])</f>
        <v>10</v>
      </c>
      <c r="O2508" t="str">
        <f>TEXT(Table1[[#This Row],[SaleDate]],"MMM")</f>
        <v>Oct</v>
      </c>
    </row>
    <row r="2509" spans="1:15">
      <c r="A2509" s="1">
        <v>45209</v>
      </c>
      <c r="B2509" t="s">
        <v>23</v>
      </c>
      <c r="C2509" t="s">
        <v>19</v>
      </c>
      <c r="D2509">
        <v>1</v>
      </c>
      <c r="E2509" t="s">
        <v>9</v>
      </c>
      <c r="F2509">
        <v>60000</v>
      </c>
      <c r="G2509">
        <v>31000</v>
      </c>
      <c r="H2509">
        <f>Table1[[#This Row],[Qty]]*Table1[[#This Row],[SellingPrice]]</f>
        <v>60000</v>
      </c>
      <c r="I2509">
        <f>Table1[[#This Row],[Qty]]*Table1[[#This Row],[CostPrice]]</f>
        <v>31000</v>
      </c>
      <c r="J2509">
        <v>28797</v>
      </c>
      <c r="K2509">
        <v>202.99999999999997</v>
      </c>
      <c r="L2509" t="s">
        <v>8</v>
      </c>
      <c r="M2509" t="s">
        <v>30</v>
      </c>
      <c r="N2509">
        <f>MONTH(Table1[[#This Row],[SaleDate]])</f>
        <v>10</v>
      </c>
      <c r="O2509" t="str">
        <f>TEXT(Table1[[#This Row],[SaleDate]],"MMM")</f>
        <v>Oct</v>
      </c>
    </row>
    <row r="2510" spans="1:15">
      <c r="A2510" s="1">
        <v>45209</v>
      </c>
      <c r="B2510" t="s">
        <v>23</v>
      </c>
      <c r="C2510" t="s">
        <v>19</v>
      </c>
      <c r="D2510">
        <v>1</v>
      </c>
      <c r="E2510" t="s">
        <v>10</v>
      </c>
      <c r="F2510">
        <v>89000</v>
      </c>
      <c r="G2510">
        <v>65000</v>
      </c>
      <c r="H2510">
        <f>Table1[[#This Row],[Qty]]*Table1[[#This Row],[SellingPrice]]</f>
        <v>89000</v>
      </c>
      <c r="I2510">
        <f>Table1[[#This Row],[Qty]]*Table1[[#This Row],[CostPrice]]</f>
        <v>65000</v>
      </c>
      <c r="J2510">
        <v>23832</v>
      </c>
      <c r="K2510">
        <v>167.99999999999997</v>
      </c>
      <c r="L2510" t="s">
        <v>8</v>
      </c>
      <c r="M2510" t="s">
        <v>29</v>
      </c>
      <c r="N2510">
        <f>MONTH(Table1[[#This Row],[SaleDate]])</f>
        <v>10</v>
      </c>
      <c r="O2510" t="str">
        <f>TEXT(Table1[[#This Row],[SaleDate]],"MMM")</f>
        <v>Oct</v>
      </c>
    </row>
    <row r="2511" spans="1:15">
      <c r="A2511" s="1">
        <v>45209</v>
      </c>
      <c r="B2511" t="s">
        <v>24</v>
      </c>
      <c r="C2511" t="s">
        <v>22</v>
      </c>
      <c r="D2511">
        <v>1</v>
      </c>
      <c r="E2511" t="s">
        <v>7</v>
      </c>
      <c r="F2511">
        <v>33000</v>
      </c>
      <c r="G2511">
        <v>18000</v>
      </c>
      <c r="H2511">
        <f>Table1[[#This Row],[Qty]]*Table1[[#This Row],[SellingPrice]]</f>
        <v>33000</v>
      </c>
      <c r="I2511">
        <f>Table1[[#This Row],[Qty]]*Table1[[#This Row],[CostPrice]]</f>
        <v>18000</v>
      </c>
      <c r="J2511">
        <v>14895</v>
      </c>
      <c r="K2511">
        <v>104.99999999999999</v>
      </c>
      <c r="L2511" t="s">
        <v>12</v>
      </c>
      <c r="M2511" t="s">
        <v>27</v>
      </c>
      <c r="N2511">
        <f>MONTH(Table1[[#This Row],[SaleDate]])</f>
        <v>10</v>
      </c>
      <c r="O2511" t="str">
        <f>TEXT(Table1[[#This Row],[SaleDate]],"MMM")</f>
        <v>Oct</v>
      </c>
    </row>
    <row r="2512" spans="1:15">
      <c r="A2512" s="1">
        <v>45209</v>
      </c>
      <c r="B2512" t="s">
        <v>24</v>
      </c>
      <c r="C2512" t="s">
        <v>22</v>
      </c>
      <c r="D2512">
        <v>1</v>
      </c>
      <c r="E2512" t="s">
        <v>9</v>
      </c>
      <c r="F2512">
        <v>60000</v>
      </c>
      <c r="G2512">
        <v>31000</v>
      </c>
      <c r="H2512">
        <f>Table1[[#This Row],[Qty]]*Table1[[#This Row],[SellingPrice]]</f>
        <v>60000</v>
      </c>
      <c r="I2512">
        <f>Table1[[#This Row],[Qty]]*Table1[[#This Row],[CostPrice]]</f>
        <v>31000</v>
      </c>
      <c r="J2512">
        <v>28797</v>
      </c>
      <c r="K2512">
        <v>202.99999999999997</v>
      </c>
      <c r="L2512" t="s">
        <v>12</v>
      </c>
      <c r="M2512" t="s">
        <v>30</v>
      </c>
      <c r="N2512">
        <f>MONTH(Table1[[#This Row],[SaleDate]])</f>
        <v>10</v>
      </c>
      <c r="O2512" t="str">
        <f>TEXT(Table1[[#This Row],[SaleDate]],"MMM")</f>
        <v>Oct</v>
      </c>
    </row>
    <row r="2513" spans="1:15">
      <c r="A2513" s="1">
        <v>45209</v>
      </c>
      <c r="B2513" t="s">
        <v>24</v>
      </c>
      <c r="C2513" t="s">
        <v>22</v>
      </c>
      <c r="D2513">
        <v>1</v>
      </c>
      <c r="E2513" t="s">
        <v>10</v>
      </c>
      <c r="F2513">
        <v>89000</v>
      </c>
      <c r="G2513">
        <v>65000</v>
      </c>
      <c r="H2513">
        <f>Table1[[#This Row],[Qty]]*Table1[[#This Row],[SellingPrice]]</f>
        <v>89000</v>
      </c>
      <c r="I2513">
        <f>Table1[[#This Row],[Qty]]*Table1[[#This Row],[CostPrice]]</f>
        <v>65000</v>
      </c>
      <c r="J2513">
        <v>23832</v>
      </c>
      <c r="K2513">
        <v>167.99999999999997</v>
      </c>
      <c r="L2513" t="s">
        <v>12</v>
      </c>
      <c r="M2513" t="s">
        <v>30</v>
      </c>
      <c r="N2513">
        <f>MONTH(Table1[[#This Row],[SaleDate]])</f>
        <v>10</v>
      </c>
      <c r="O2513" t="str">
        <f>TEXT(Table1[[#This Row],[SaleDate]],"MMM")</f>
        <v>Oct</v>
      </c>
    </row>
    <row r="2514" spans="1:15">
      <c r="A2514" s="1">
        <v>45209</v>
      </c>
      <c r="B2514" t="s">
        <v>25</v>
      </c>
      <c r="C2514" t="s">
        <v>21</v>
      </c>
      <c r="D2514">
        <v>1</v>
      </c>
      <c r="E2514" t="s">
        <v>7</v>
      </c>
      <c r="F2514">
        <v>33000</v>
      </c>
      <c r="G2514">
        <v>18000</v>
      </c>
      <c r="H2514">
        <f>Table1[[#This Row],[Qty]]*Table1[[#This Row],[SellingPrice]]</f>
        <v>33000</v>
      </c>
      <c r="I2514">
        <f>Table1[[#This Row],[Qty]]*Table1[[#This Row],[CostPrice]]</f>
        <v>18000</v>
      </c>
      <c r="J2514">
        <v>14895</v>
      </c>
      <c r="K2514">
        <v>104.99999999999999</v>
      </c>
      <c r="L2514" t="s">
        <v>13</v>
      </c>
      <c r="M2514" t="s">
        <v>30</v>
      </c>
      <c r="N2514">
        <f>MONTH(Table1[[#This Row],[SaleDate]])</f>
        <v>10</v>
      </c>
      <c r="O2514" t="str">
        <f>TEXT(Table1[[#This Row],[SaleDate]],"MMM")</f>
        <v>Oct</v>
      </c>
    </row>
    <row r="2515" spans="1:15">
      <c r="A2515" s="1">
        <v>45209</v>
      </c>
      <c r="B2515" t="s">
        <v>25</v>
      </c>
      <c r="C2515" t="s">
        <v>21</v>
      </c>
      <c r="D2515">
        <v>1</v>
      </c>
      <c r="E2515" t="s">
        <v>9</v>
      </c>
      <c r="F2515">
        <v>60000</v>
      </c>
      <c r="G2515">
        <v>31000</v>
      </c>
      <c r="H2515">
        <f>Table1[[#This Row],[Qty]]*Table1[[#This Row],[SellingPrice]]</f>
        <v>60000</v>
      </c>
      <c r="I2515">
        <f>Table1[[#This Row],[Qty]]*Table1[[#This Row],[CostPrice]]</f>
        <v>31000</v>
      </c>
      <c r="J2515">
        <v>28797</v>
      </c>
      <c r="K2515">
        <v>202.99999999999997</v>
      </c>
      <c r="L2515" t="s">
        <v>13</v>
      </c>
      <c r="M2515" t="s">
        <v>30</v>
      </c>
      <c r="N2515">
        <f>MONTH(Table1[[#This Row],[SaleDate]])</f>
        <v>10</v>
      </c>
      <c r="O2515" t="str">
        <f>TEXT(Table1[[#This Row],[SaleDate]],"MMM")</f>
        <v>Oct</v>
      </c>
    </row>
    <row r="2516" spans="1:15">
      <c r="A2516" s="1">
        <v>45209</v>
      </c>
      <c r="B2516" t="s">
        <v>25</v>
      </c>
      <c r="C2516" t="s">
        <v>21</v>
      </c>
      <c r="D2516">
        <v>1</v>
      </c>
      <c r="E2516" t="s">
        <v>10</v>
      </c>
      <c r="F2516">
        <v>89000</v>
      </c>
      <c r="G2516">
        <v>65000</v>
      </c>
      <c r="H2516">
        <f>Table1[[#This Row],[Qty]]*Table1[[#This Row],[SellingPrice]]</f>
        <v>89000</v>
      </c>
      <c r="I2516">
        <f>Table1[[#This Row],[Qty]]*Table1[[#This Row],[CostPrice]]</f>
        <v>65000</v>
      </c>
      <c r="J2516">
        <v>23832</v>
      </c>
      <c r="K2516">
        <v>167.99999999999997</v>
      </c>
      <c r="L2516" t="s">
        <v>13</v>
      </c>
      <c r="M2516" t="s">
        <v>30</v>
      </c>
      <c r="N2516">
        <f>MONTH(Table1[[#This Row],[SaleDate]])</f>
        <v>10</v>
      </c>
      <c r="O2516" t="str">
        <f>TEXT(Table1[[#This Row],[SaleDate]],"MMM")</f>
        <v>Oct</v>
      </c>
    </row>
    <row r="2517" spans="1:15">
      <c r="A2517" s="1">
        <v>45210</v>
      </c>
      <c r="B2517" t="s">
        <v>23</v>
      </c>
      <c r="C2517" t="s">
        <v>19</v>
      </c>
      <c r="D2517">
        <v>2</v>
      </c>
      <c r="E2517" t="s">
        <v>7</v>
      </c>
      <c r="F2517">
        <v>33000</v>
      </c>
      <c r="G2517">
        <v>18000</v>
      </c>
      <c r="H2517">
        <f>Table1[[#This Row],[Qty]]*Table1[[#This Row],[SellingPrice]]</f>
        <v>66000</v>
      </c>
      <c r="I2517">
        <f>Table1[[#This Row],[Qty]]*Table1[[#This Row],[CostPrice]]</f>
        <v>36000</v>
      </c>
      <c r="J2517">
        <v>29790</v>
      </c>
      <c r="K2517">
        <v>209.99999999999997</v>
      </c>
      <c r="L2517" t="s">
        <v>8</v>
      </c>
      <c r="M2517" t="s">
        <v>29</v>
      </c>
      <c r="N2517">
        <f>MONTH(Table1[[#This Row],[SaleDate]])</f>
        <v>10</v>
      </c>
      <c r="O2517" t="str">
        <f>TEXT(Table1[[#This Row],[SaleDate]],"MMM")</f>
        <v>Oct</v>
      </c>
    </row>
    <row r="2518" spans="1:15">
      <c r="A2518" s="1">
        <v>45210</v>
      </c>
      <c r="B2518" t="s">
        <v>23</v>
      </c>
      <c r="C2518" t="s">
        <v>19</v>
      </c>
      <c r="D2518">
        <v>2</v>
      </c>
      <c r="E2518" t="s">
        <v>9</v>
      </c>
      <c r="F2518">
        <v>60000</v>
      </c>
      <c r="G2518">
        <v>31000</v>
      </c>
      <c r="H2518">
        <f>Table1[[#This Row],[Qty]]*Table1[[#This Row],[SellingPrice]]</f>
        <v>120000</v>
      </c>
      <c r="I2518">
        <f>Table1[[#This Row],[Qty]]*Table1[[#This Row],[CostPrice]]</f>
        <v>62000</v>
      </c>
      <c r="J2518">
        <v>57594</v>
      </c>
      <c r="K2518">
        <v>405.99999999999994</v>
      </c>
      <c r="L2518" t="s">
        <v>8</v>
      </c>
      <c r="M2518" t="s">
        <v>29</v>
      </c>
      <c r="N2518">
        <f>MONTH(Table1[[#This Row],[SaleDate]])</f>
        <v>10</v>
      </c>
      <c r="O2518" t="str">
        <f>TEXT(Table1[[#This Row],[SaleDate]],"MMM")</f>
        <v>Oct</v>
      </c>
    </row>
    <row r="2519" spans="1:15">
      <c r="A2519" s="1">
        <v>45210</v>
      </c>
      <c r="B2519" t="s">
        <v>23</v>
      </c>
      <c r="C2519" t="s">
        <v>19</v>
      </c>
      <c r="D2519">
        <v>2</v>
      </c>
      <c r="E2519" t="s">
        <v>10</v>
      </c>
      <c r="F2519">
        <v>89000</v>
      </c>
      <c r="G2519">
        <v>65000</v>
      </c>
      <c r="H2519">
        <f>Table1[[#This Row],[Qty]]*Table1[[#This Row],[SellingPrice]]</f>
        <v>178000</v>
      </c>
      <c r="I2519">
        <f>Table1[[#This Row],[Qty]]*Table1[[#This Row],[CostPrice]]</f>
        <v>130000</v>
      </c>
      <c r="J2519">
        <v>47664</v>
      </c>
      <c r="K2519">
        <v>335.99999999999994</v>
      </c>
      <c r="L2519" t="s">
        <v>8</v>
      </c>
      <c r="M2519" t="s">
        <v>27</v>
      </c>
      <c r="N2519">
        <f>MONTH(Table1[[#This Row],[SaleDate]])</f>
        <v>10</v>
      </c>
      <c r="O2519" t="str">
        <f>TEXT(Table1[[#This Row],[SaleDate]],"MMM")</f>
        <v>Oct</v>
      </c>
    </row>
    <row r="2520" spans="1:15">
      <c r="A2520" s="1">
        <v>45210</v>
      </c>
      <c r="B2520" t="s">
        <v>24</v>
      </c>
      <c r="C2520" t="s">
        <v>22</v>
      </c>
      <c r="D2520">
        <v>2</v>
      </c>
      <c r="E2520" t="s">
        <v>7</v>
      </c>
      <c r="F2520">
        <v>33000</v>
      </c>
      <c r="G2520">
        <v>18000</v>
      </c>
      <c r="H2520">
        <f>Table1[[#This Row],[Qty]]*Table1[[#This Row],[SellingPrice]]</f>
        <v>66000</v>
      </c>
      <c r="I2520">
        <f>Table1[[#This Row],[Qty]]*Table1[[#This Row],[CostPrice]]</f>
        <v>36000</v>
      </c>
      <c r="J2520">
        <v>29790</v>
      </c>
      <c r="K2520">
        <v>209.99999999999997</v>
      </c>
      <c r="L2520" t="s">
        <v>12</v>
      </c>
      <c r="M2520" t="s">
        <v>29</v>
      </c>
      <c r="N2520">
        <f>MONTH(Table1[[#This Row],[SaleDate]])</f>
        <v>10</v>
      </c>
      <c r="O2520" t="str">
        <f>TEXT(Table1[[#This Row],[SaleDate]],"MMM")</f>
        <v>Oct</v>
      </c>
    </row>
    <row r="2521" spans="1:15">
      <c r="A2521" s="1">
        <v>45210</v>
      </c>
      <c r="B2521" t="s">
        <v>24</v>
      </c>
      <c r="C2521" t="s">
        <v>22</v>
      </c>
      <c r="D2521">
        <v>2</v>
      </c>
      <c r="E2521" t="s">
        <v>9</v>
      </c>
      <c r="F2521">
        <v>60000</v>
      </c>
      <c r="G2521">
        <v>31000</v>
      </c>
      <c r="H2521">
        <f>Table1[[#This Row],[Qty]]*Table1[[#This Row],[SellingPrice]]</f>
        <v>120000</v>
      </c>
      <c r="I2521">
        <f>Table1[[#This Row],[Qty]]*Table1[[#This Row],[CostPrice]]</f>
        <v>62000</v>
      </c>
      <c r="J2521">
        <v>57594</v>
      </c>
      <c r="K2521">
        <v>405.99999999999994</v>
      </c>
      <c r="L2521" t="s">
        <v>12</v>
      </c>
      <c r="M2521" t="s">
        <v>29</v>
      </c>
      <c r="N2521">
        <f>MONTH(Table1[[#This Row],[SaleDate]])</f>
        <v>10</v>
      </c>
      <c r="O2521" t="str">
        <f>TEXT(Table1[[#This Row],[SaleDate]],"MMM")</f>
        <v>Oct</v>
      </c>
    </row>
    <row r="2522" spans="1:15">
      <c r="A2522" s="1">
        <v>45210</v>
      </c>
      <c r="B2522" t="s">
        <v>24</v>
      </c>
      <c r="C2522" t="s">
        <v>22</v>
      </c>
      <c r="D2522">
        <v>2</v>
      </c>
      <c r="E2522" t="s">
        <v>10</v>
      </c>
      <c r="F2522">
        <v>89000</v>
      </c>
      <c r="G2522">
        <v>65000</v>
      </c>
      <c r="H2522">
        <f>Table1[[#This Row],[Qty]]*Table1[[#This Row],[SellingPrice]]</f>
        <v>178000</v>
      </c>
      <c r="I2522">
        <f>Table1[[#This Row],[Qty]]*Table1[[#This Row],[CostPrice]]</f>
        <v>130000</v>
      </c>
      <c r="J2522">
        <v>47664</v>
      </c>
      <c r="K2522">
        <v>335.99999999999994</v>
      </c>
      <c r="L2522" t="s">
        <v>12</v>
      </c>
      <c r="M2522" t="s">
        <v>27</v>
      </c>
      <c r="N2522">
        <f>MONTH(Table1[[#This Row],[SaleDate]])</f>
        <v>10</v>
      </c>
      <c r="O2522" t="str">
        <f>TEXT(Table1[[#This Row],[SaleDate]],"MMM")</f>
        <v>Oct</v>
      </c>
    </row>
    <row r="2523" spans="1:15">
      <c r="A2523" s="1">
        <v>45210</v>
      </c>
      <c r="B2523" t="s">
        <v>25</v>
      </c>
      <c r="C2523" t="s">
        <v>21</v>
      </c>
      <c r="D2523">
        <v>2</v>
      </c>
      <c r="E2523" t="s">
        <v>7</v>
      </c>
      <c r="F2523">
        <v>33000</v>
      </c>
      <c r="G2523">
        <v>18000</v>
      </c>
      <c r="H2523">
        <f>Table1[[#This Row],[Qty]]*Table1[[#This Row],[SellingPrice]]</f>
        <v>66000</v>
      </c>
      <c r="I2523">
        <f>Table1[[#This Row],[Qty]]*Table1[[#This Row],[CostPrice]]</f>
        <v>36000</v>
      </c>
      <c r="J2523">
        <v>29790</v>
      </c>
      <c r="K2523">
        <v>209.99999999999997</v>
      </c>
      <c r="L2523" t="s">
        <v>13</v>
      </c>
      <c r="M2523" t="s">
        <v>28</v>
      </c>
      <c r="N2523">
        <f>MONTH(Table1[[#This Row],[SaleDate]])</f>
        <v>10</v>
      </c>
      <c r="O2523" t="str">
        <f>TEXT(Table1[[#This Row],[SaleDate]],"MMM")</f>
        <v>Oct</v>
      </c>
    </row>
    <row r="2524" spans="1:15">
      <c r="A2524" s="1">
        <v>45210</v>
      </c>
      <c r="B2524" t="s">
        <v>25</v>
      </c>
      <c r="C2524" t="s">
        <v>21</v>
      </c>
      <c r="D2524">
        <v>2</v>
      </c>
      <c r="E2524" t="s">
        <v>9</v>
      </c>
      <c r="F2524">
        <v>60000</v>
      </c>
      <c r="G2524">
        <v>31000</v>
      </c>
      <c r="H2524">
        <f>Table1[[#This Row],[Qty]]*Table1[[#This Row],[SellingPrice]]</f>
        <v>120000</v>
      </c>
      <c r="I2524">
        <f>Table1[[#This Row],[Qty]]*Table1[[#This Row],[CostPrice]]</f>
        <v>62000</v>
      </c>
      <c r="J2524">
        <v>57594</v>
      </c>
      <c r="K2524">
        <v>405.99999999999994</v>
      </c>
      <c r="L2524" t="s">
        <v>13</v>
      </c>
      <c r="M2524" t="s">
        <v>29</v>
      </c>
      <c r="N2524">
        <f>MONTH(Table1[[#This Row],[SaleDate]])</f>
        <v>10</v>
      </c>
      <c r="O2524" t="str">
        <f>TEXT(Table1[[#This Row],[SaleDate]],"MMM")</f>
        <v>Oct</v>
      </c>
    </row>
    <row r="2525" spans="1:15">
      <c r="A2525" s="1">
        <v>45210</v>
      </c>
      <c r="B2525" t="s">
        <v>25</v>
      </c>
      <c r="C2525" t="s">
        <v>21</v>
      </c>
      <c r="D2525">
        <v>2</v>
      </c>
      <c r="E2525" t="s">
        <v>10</v>
      </c>
      <c r="F2525">
        <v>89000</v>
      </c>
      <c r="G2525">
        <v>65000</v>
      </c>
      <c r="H2525">
        <f>Table1[[#This Row],[Qty]]*Table1[[#This Row],[SellingPrice]]</f>
        <v>178000</v>
      </c>
      <c r="I2525">
        <f>Table1[[#This Row],[Qty]]*Table1[[#This Row],[CostPrice]]</f>
        <v>130000</v>
      </c>
      <c r="J2525">
        <v>47664</v>
      </c>
      <c r="K2525">
        <v>335.99999999999994</v>
      </c>
      <c r="L2525" t="s">
        <v>13</v>
      </c>
      <c r="M2525" t="s">
        <v>29</v>
      </c>
      <c r="N2525">
        <f>MONTH(Table1[[#This Row],[SaleDate]])</f>
        <v>10</v>
      </c>
      <c r="O2525" t="str">
        <f>TEXT(Table1[[#This Row],[SaleDate]],"MMM")</f>
        <v>Oct</v>
      </c>
    </row>
    <row r="2526" spans="1:15">
      <c r="A2526" s="1">
        <v>45211</v>
      </c>
      <c r="B2526" t="s">
        <v>23</v>
      </c>
      <c r="C2526" t="s">
        <v>19</v>
      </c>
      <c r="D2526">
        <v>1</v>
      </c>
      <c r="E2526" t="s">
        <v>7</v>
      </c>
      <c r="F2526">
        <v>33000</v>
      </c>
      <c r="G2526">
        <v>18000</v>
      </c>
      <c r="H2526">
        <f>Table1[[#This Row],[Qty]]*Table1[[#This Row],[SellingPrice]]</f>
        <v>33000</v>
      </c>
      <c r="I2526">
        <f>Table1[[#This Row],[Qty]]*Table1[[#This Row],[CostPrice]]</f>
        <v>18000</v>
      </c>
      <c r="J2526">
        <v>14895</v>
      </c>
      <c r="K2526">
        <v>104.99999999999999</v>
      </c>
      <c r="L2526" t="s">
        <v>8</v>
      </c>
      <c r="M2526" t="s">
        <v>28</v>
      </c>
      <c r="N2526">
        <f>MONTH(Table1[[#This Row],[SaleDate]])</f>
        <v>10</v>
      </c>
      <c r="O2526" t="str">
        <f>TEXT(Table1[[#This Row],[SaleDate]],"MMM")</f>
        <v>Oct</v>
      </c>
    </row>
    <row r="2527" spans="1:15">
      <c r="A2527" s="1">
        <v>45211</v>
      </c>
      <c r="B2527" t="s">
        <v>23</v>
      </c>
      <c r="C2527" t="s">
        <v>19</v>
      </c>
      <c r="D2527">
        <v>1</v>
      </c>
      <c r="E2527" t="s">
        <v>9</v>
      </c>
      <c r="F2527">
        <v>60000</v>
      </c>
      <c r="G2527">
        <v>31000</v>
      </c>
      <c r="H2527">
        <f>Table1[[#This Row],[Qty]]*Table1[[#This Row],[SellingPrice]]</f>
        <v>60000</v>
      </c>
      <c r="I2527">
        <f>Table1[[#This Row],[Qty]]*Table1[[#This Row],[CostPrice]]</f>
        <v>31000</v>
      </c>
      <c r="J2527">
        <v>28797</v>
      </c>
      <c r="K2527">
        <v>202.99999999999997</v>
      </c>
      <c r="L2527" t="s">
        <v>8</v>
      </c>
      <c r="M2527" t="s">
        <v>30</v>
      </c>
      <c r="N2527">
        <f>MONTH(Table1[[#This Row],[SaleDate]])</f>
        <v>10</v>
      </c>
      <c r="O2527" t="str">
        <f>TEXT(Table1[[#This Row],[SaleDate]],"MMM")</f>
        <v>Oct</v>
      </c>
    </row>
    <row r="2528" spans="1:15">
      <c r="A2528" s="1">
        <v>45211</v>
      </c>
      <c r="B2528" t="s">
        <v>23</v>
      </c>
      <c r="C2528" t="s">
        <v>19</v>
      </c>
      <c r="D2528">
        <v>1</v>
      </c>
      <c r="E2528" t="s">
        <v>10</v>
      </c>
      <c r="F2528">
        <v>89000</v>
      </c>
      <c r="G2528">
        <v>65000</v>
      </c>
      <c r="H2528">
        <f>Table1[[#This Row],[Qty]]*Table1[[#This Row],[SellingPrice]]</f>
        <v>89000</v>
      </c>
      <c r="I2528">
        <f>Table1[[#This Row],[Qty]]*Table1[[#This Row],[CostPrice]]</f>
        <v>65000</v>
      </c>
      <c r="J2528">
        <v>23832</v>
      </c>
      <c r="K2528">
        <v>167.99999999999997</v>
      </c>
      <c r="L2528" t="s">
        <v>8</v>
      </c>
      <c r="M2528" t="s">
        <v>27</v>
      </c>
      <c r="N2528">
        <f>MONTH(Table1[[#This Row],[SaleDate]])</f>
        <v>10</v>
      </c>
      <c r="O2528" t="str">
        <f>TEXT(Table1[[#This Row],[SaleDate]],"MMM")</f>
        <v>Oct</v>
      </c>
    </row>
    <row r="2529" spans="1:15">
      <c r="A2529" s="1">
        <v>45211</v>
      </c>
      <c r="B2529" t="s">
        <v>24</v>
      </c>
      <c r="C2529" t="s">
        <v>22</v>
      </c>
      <c r="D2529">
        <v>1</v>
      </c>
      <c r="E2529" t="s">
        <v>7</v>
      </c>
      <c r="F2529">
        <v>33000</v>
      </c>
      <c r="G2529">
        <v>18000</v>
      </c>
      <c r="H2529">
        <f>Table1[[#This Row],[Qty]]*Table1[[#This Row],[SellingPrice]]</f>
        <v>33000</v>
      </c>
      <c r="I2529">
        <f>Table1[[#This Row],[Qty]]*Table1[[#This Row],[CostPrice]]</f>
        <v>18000</v>
      </c>
      <c r="J2529">
        <v>14895</v>
      </c>
      <c r="K2529">
        <v>104.99999999999999</v>
      </c>
      <c r="L2529" t="s">
        <v>12</v>
      </c>
      <c r="M2529" t="s">
        <v>30</v>
      </c>
      <c r="N2529">
        <f>MONTH(Table1[[#This Row],[SaleDate]])</f>
        <v>10</v>
      </c>
      <c r="O2529" t="str">
        <f>TEXT(Table1[[#This Row],[SaleDate]],"MMM")</f>
        <v>Oct</v>
      </c>
    </row>
    <row r="2530" spans="1:15">
      <c r="A2530" s="1">
        <v>45211</v>
      </c>
      <c r="B2530" t="s">
        <v>24</v>
      </c>
      <c r="C2530" t="s">
        <v>22</v>
      </c>
      <c r="D2530">
        <v>1</v>
      </c>
      <c r="E2530" t="s">
        <v>9</v>
      </c>
      <c r="F2530">
        <v>60000</v>
      </c>
      <c r="G2530">
        <v>31000</v>
      </c>
      <c r="H2530">
        <f>Table1[[#This Row],[Qty]]*Table1[[#This Row],[SellingPrice]]</f>
        <v>60000</v>
      </c>
      <c r="I2530">
        <f>Table1[[#This Row],[Qty]]*Table1[[#This Row],[CostPrice]]</f>
        <v>31000</v>
      </c>
      <c r="J2530">
        <v>28797</v>
      </c>
      <c r="K2530">
        <v>202.99999999999997</v>
      </c>
      <c r="L2530" t="s">
        <v>12</v>
      </c>
      <c r="M2530" t="s">
        <v>30</v>
      </c>
      <c r="N2530">
        <f>MONTH(Table1[[#This Row],[SaleDate]])</f>
        <v>10</v>
      </c>
      <c r="O2530" t="str">
        <f>TEXT(Table1[[#This Row],[SaleDate]],"MMM")</f>
        <v>Oct</v>
      </c>
    </row>
    <row r="2531" spans="1:15">
      <c r="A2531" s="1">
        <v>45211</v>
      </c>
      <c r="B2531" t="s">
        <v>24</v>
      </c>
      <c r="C2531" t="s">
        <v>22</v>
      </c>
      <c r="D2531">
        <v>1</v>
      </c>
      <c r="E2531" t="s">
        <v>10</v>
      </c>
      <c r="F2531">
        <v>89000</v>
      </c>
      <c r="G2531">
        <v>65000</v>
      </c>
      <c r="H2531">
        <f>Table1[[#This Row],[Qty]]*Table1[[#This Row],[SellingPrice]]</f>
        <v>89000</v>
      </c>
      <c r="I2531">
        <f>Table1[[#This Row],[Qty]]*Table1[[#This Row],[CostPrice]]</f>
        <v>65000</v>
      </c>
      <c r="J2531">
        <v>23832</v>
      </c>
      <c r="K2531">
        <v>167.99999999999997</v>
      </c>
      <c r="L2531" t="s">
        <v>12</v>
      </c>
      <c r="M2531" t="s">
        <v>29</v>
      </c>
      <c r="N2531">
        <f>MONTH(Table1[[#This Row],[SaleDate]])</f>
        <v>10</v>
      </c>
      <c r="O2531" t="str">
        <f>TEXT(Table1[[#This Row],[SaleDate]],"MMM")</f>
        <v>Oct</v>
      </c>
    </row>
    <row r="2532" spans="1:15">
      <c r="A2532" s="1">
        <v>45211</v>
      </c>
      <c r="B2532" t="s">
        <v>25</v>
      </c>
      <c r="C2532" t="s">
        <v>21</v>
      </c>
      <c r="D2532">
        <v>1</v>
      </c>
      <c r="E2532" t="s">
        <v>7</v>
      </c>
      <c r="F2532">
        <v>33000</v>
      </c>
      <c r="G2532">
        <v>18000</v>
      </c>
      <c r="H2532">
        <f>Table1[[#This Row],[Qty]]*Table1[[#This Row],[SellingPrice]]</f>
        <v>33000</v>
      </c>
      <c r="I2532">
        <f>Table1[[#This Row],[Qty]]*Table1[[#This Row],[CostPrice]]</f>
        <v>18000</v>
      </c>
      <c r="J2532">
        <v>14895</v>
      </c>
      <c r="K2532">
        <v>104.99999999999999</v>
      </c>
      <c r="L2532" t="s">
        <v>13</v>
      </c>
      <c r="M2532" t="s">
        <v>29</v>
      </c>
      <c r="N2532">
        <f>MONTH(Table1[[#This Row],[SaleDate]])</f>
        <v>10</v>
      </c>
      <c r="O2532" t="str">
        <f>TEXT(Table1[[#This Row],[SaleDate]],"MMM")</f>
        <v>Oct</v>
      </c>
    </row>
    <row r="2533" spans="1:15">
      <c r="A2533" s="1">
        <v>45211</v>
      </c>
      <c r="B2533" t="s">
        <v>25</v>
      </c>
      <c r="C2533" t="s">
        <v>21</v>
      </c>
      <c r="D2533">
        <v>1</v>
      </c>
      <c r="E2533" t="s">
        <v>9</v>
      </c>
      <c r="F2533">
        <v>60000</v>
      </c>
      <c r="G2533">
        <v>31000</v>
      </c>
      <c r="H2533">
        <f>Table1[[#This Row],[Qty]]*Table1[[#This Row],[SellingPrice]]</f>
        <v>60000</v>
      </c>
      <c r="I2533">
        <f>Table1[[#This Row],[Qty]]*Table1[[#This Row],[CostPrice]]</f>
        <v>31000</v>
      </c>
      <c r="J2533">
        <v>28797</v>
      </c>
      <c r="K2533">
        <v>202.99999999999997</v>
      </c>
      <c r="L2533" t="s">
        <v>13</v>
      </c>
      <c r="M2533" t="s">
        <v>27</v>
      </c>
      <c r="N2533">
        <f>MONTH(Table1[[#This Row],[SaleDate]])</f>
        <v>10</v>
      </c>
      <c r="O2533" t="str">
        <f>TEXT(Table1[[#This Row],[SaleDate]],"MMM")</f>
        <v>Oct</v>
      </c>
    </row>
    <row r="2534" spans="1:15">
      <c r="A2534" s="1">
        <v>45211</v>
      </c>
      <c r="B2534" t="s">
        <v>25</v>
      </c>
      <c r="C2534" t="s">
        <v>21</v>
      </c>
      <c r="D2534">
        <v>1</v>
      </c>
      <c r="E2534" t="s">
        <v>10</v>
      </c>
      <c r="F2534">
        <v>89000</v>
      </c>
      <c r="G2534">
        <v>65000</v>
      </c>
      <c r="H2534">
        <f>Table1[[#This Row],[Qty]]*Table1[[#This Row],[SellingPrice]]</f>
        <v>89000</v>
      </c>
      <c r="I2534">
        <f>Table1[[#This Row],[Qty]]*Table1[[#This Row],[CostPrice]]</f>
        <v>65000</v>
      </c>
      <c r="J2534">
        <v>23832</v>
      </c>
      <c r="K2534">
        <v>167.99999999999997</v>
      </c>
      <c r="L2534" t="s">
        <v>13</v>
      </c>
      <c r="M2534" t="s">
        <v>27</v>
      </c>
      <c r="N2534">
        <f>MONTH(Table1[[#This Row],[SaleDate]])</f>
        <v>10</v>
      </c>
      <c r="O2534" t="str">
        <f>TEXT(Table1[[#This Row],[SaleDate]],"MMM")</f>
        <v>Oct</v>
      </c>
    </row>
    <row r="2535" spans="1:15">
      <c r="A2535" s="1">
        <v>45212</v>
      </c>
      <c r="B2535" t="s">
        <v>23</v>
      </c>
      <c r="C2535" t="s">
        <v>19</v>
      </c>
      <c r="D2535">
        <v>1</v>
      </c>
      <c r="E2535" t="s">
        <v>7</v>
      </c>
      <c r="F2535">
        <v>33000</v>
      </c>
      <c r="G2535">
        <v>18000</v>
      </c>
      <c r="H2535">
        <f>Table1[[#This Row],[Qty]]*Table1[[#This Row],[SellingPrice]]</f>
        <v>33000</v>
      </c>
      <c r="I2535">
        <f>Table1[[#This Row],[Qty]]*Table1[[#This Row],[CostPrice]]</f>
        <v>18000</v>
      </c>
      <c r="J2535">
        <v>14895</v>
      </c>
      <c r="K2535">
        <v>104.99999999999999</v>
      </c>
      <c r="L2535" t="s">
        <v>8</v>
      </c>
      <c r="M2535" t="s">
        <v>30</v>
      </c>
      <c r="N2535">
        <f>MONTH(Table1[[#This Row],[SaleDate]])</f>
        <v>10</v>
      </c>
      <c r="O2535" t="str">
        <f>TEXT(Table1[[#This Row],[SaleDate]],"MMM")</f>
        <v>Oct</v>
      </c>
    </row>
    <row r="2536" spans="1:15">
      <c r="A2536" s="1">
        <v>45212</v>
      </c>
      <c r="B2536" t="s">
        <v>23</v>
      </c>
      <c r="C2536" t="s">
        <v>19</v>
      </c>
      <c r="D2536">
        <v>1</v>
      </c>
      <c r="E2536" t="s">
        <v>9</v>
      </c>
      <c r="F2536">
        <v>60000</v>
      </c>
      <c r="G2536">
        <v>31000</v>
      </c>
      <c r="H2536">
        <f>Table1[[#This Row],[Qty]]*Table1[[#This Row],[SellingPrice]]</f>
        <v>60000</v>
      </c>
      <c r="I2536">
        <f>Table1[[#This Row],[Qty]]*Table1[[#This Row],[CostPrice]]</f>
        <v>31000</v>
      </c>
      <c r="J2536">
        <v>28797</v>
      </c>
      <c r="K2536">
        <v>202.99999999999997</v>
      </c>
      <c r="L2536" t="s">
        <v>8</v>
      </c>
      <c r="M2536" t="s">
        <v>29</v>
      </c>
      <c r="N2536">
        <f>MONTH(Table1[[#This Row],[SaleDate]])</f>
        <v>10</v>
      </c>
      <c r="O2536" t="str">
        <f>TEXT(Table1[[#This Row],[SaleDate]],"MMM")</f>
        <v>Oct</v>
      </c>
    </row>
    <row r="2537" spans="1:15">
      <c r="A2537" s="1">
        <v>45212</v>
      </c>
      <c r="B2537" t="s">
        <v>23</v>
      </c>
      <c r="C2537" t="s">
        <v>19</v>
      </c>
      <c r="D2537">
        <v>1</v>
      </c>
      <c r="E2537" t="s">
        <v>10</v>
      </c>
      <c r="F2537">
        <v>89000</v>
      </c>
      <c r="G2537">
        <v>65000</v>
      </c>
      <c r="H2537">
        <f>Table1[[#This Row],[Qty]]*Table1[[#This Row],[SellingPrice]]</f>
        <v>89000</v>
      </c>
      <c r="I2537">
        <f>Table1[[#This Row],[Qty]]*Table1[[#This Row],[CostPrice]]</f>
        <v>65000</v>
      </c>
      <c r="J2537">
        <v>23832</v>
      </c>
      <c r="K2537">
        <v>167.99999999999997</v>
      </c>
      <c r="L2537" t="s">
        <v>8</v>
      </c>
      <c r="M2537" t="s">
        <v>29</v>
      </c>
      <c r="N2537">
        <f>MONTH(Table1[[#This Row],[SaleDate]])</f>
        <v>10</v>
      </c>
      <c r="O2537" t="str">
        <f>TEXT(Table1[[#This Row],[SaleDate]],"MMM")</f>
        <v>Oct</v>
      </c>
    </row>
    <row r="2538" spans="1:15">
      <c r="A2538" s="1">
        <v>45212</v>
      </c>
      <c r="B2538" t="s">
        <v>24</v>
      </c>
      <c r="C2538" t="s">
        <v>22</v>
      </c>
      <c r="D2538">
        <v>1</v>
      </c>
      <c r="E2538" t="s">
        <v>7</v>
      </c>
      <c r="F2538">
        <v>33000</v>
      </c>
      <c r="G2538">
        <v>18000</v>
      </c>
      <c r="H2538">
        <f>Table1[[#This Row],[Qty]]*Table1[[#This Row],[SellingPrice]]</f>
        <v>33000</v>
      </c>
      <c r="I2538">
        <f>Table1[[#This Row],[Qty]]*Table1[[#This Row],[CostPrice]]</f>
        <v>18000</v>
      </c>
      <c r="J2538">
        <v>14895</v>
      </c>
      <c r="K2538">
        <v>104.99999999999999</v>
      </c>
      <c r="L2538" t="s">
        <v>12</v>
      </c>
      <c r="M2538" t="s">
        <v>29</v>
      </c>
      <c r="N2538">
        <f>MONTH(Table1[[#This Row],[SaleDate]])</f>
        <v>10</v>
      </c>
      <c r="O2538" t="str">
        <f>TEXT(Table1[[#This Row],[SaleDate]],"MMM")</f>
        <v>Oct</v>
      </c>
    </row>
    <row r="2539" spans="1:15">
      <c r="A2539" s="1">
        <v>45212</v>
      </c>
      <c r="B2539" t="s">
        <v>24</v>
      </c>
      <c r="C2539" t="s">
        <v>22</v>
      </c>
      <c r="D2539">
        <v>1</v>
      </c>
      <c r="E2539" t="s">
        <v>9</v>
      </c>
      <c r="F2539">
        <v>60000</v>
      </c>
      <c r="G2539">
        <v>31000</v>
      </c>
      <c r="H2539">
        <f>Table1[[#This Row],[Qty]]*Table1[[#This Row],[SellingPrice]]</f>
        <v>60000</v>
      </c>
      <c r="I2539">
        <f>Table1[[#This Row],[Qty]]*Table1[[#This Row],[CostPrice]]</f>
        <v>31000</v>
      </c>
      <c r="J2539">
        <v>28797</v>
      </c>
      <c r="K2539">
        <v>202.99999999999997</v>
      </c>
      <c r="L2539" t="s">
        <v>12</v>
      </c>
      <c r="M2539" t="s">
        <v>29</v>
      </c>
      <c r="N2539">
        <f>MONTH(Table1[[#This Row],[SaleDate]])</f>
        <v>10</v>
      </c>
      <c r="O2539" t="str">
        <f>TEXT(Table1[[#This Row],[SaleDate]],"MMM")</f>
        <v>Oct</v>
      </c>
    </row>
    <row r="2540" spans="1:15">
      <c r="A2540" s="1">
        <v>45212</v>
      </c>
      <c r="B2540" t="s">
        <v>24</v>
      </c>
      <c r="C2540" t="s">
        <v>22</v>
      </c>
      <c r="D2540">
        <v>1</v>
      </c>
      <c r="E2540" t="s">
        <v>10</v>
      </c>
      <c r="F2540">
        <v>89000</v>
      </c>
      <c r="G2540">
        <v>65000</v>
      </c>
      <c r="H2540">
        <f>Table1[[#This Row],[Qty]]*Table1[[#This Row],[SellingPrice]]</f>
        <v>89000</v>
      </c>
      <c r="I2540">
        <f>Table1[[#This Row],[Qty]]*Table1[[#This Row],[CostPrice]]</f>
        <v>65000</v>
      </c>
      <c r="J2540">
        <v>23832</v>
      </c>
      <c r="K2540">
        <v>167.99999999999997</v>
      </c>
      <c r="L2540" t="s">
        <v>12</v>
      </c>
      <c r="M2540" t="s">
        <v>29</v>
      </c>
      <c r="N2540">
        <f>MONTH(Table1[[#This Row],[SaleDate]])</f>
        <v>10</v>
      </c>
      <c r="O2540" t="str">
        <f>TEXT(Table1[[#This Row],[SaleDate]],"MMM")</f>
        <v>Oct</v>
      </c>
    </row>
    <row r="2541" spans="1:15">
      <c r="A2541" s="1">
        <v>45212</v>
      </c>
      <c r="B2541" t="s">
        <v>25</v>
      </c>
      <c r="C2541" t="s">
        <v>21</v>
      </c>
      <c r="D2541">
        <v>1</v>
      </c>
      <c r="E2541" t="s">
        <v>7</v>
      </c>
      <c r="F2541">
        <v>33000</v>
      </c>
      <c r="G2541">
        <v>18000</v>
      </c>
      <c r="H2541">
        <f>Table1[[#This Row],[Qty]]*Table1[[#This Row],[SellingPrice]]</f>
        <v>33000</v>
      </c>
      <c r="I2541">
        <f>Table1[[#This Row],[Qty]]*Table1[[#This Row],[CostPrice]]</f>
        <v>18000</v>
      </c>
      <c r="J2541">
        <v>14895</v>
      </c>
      <c r="K2541">
        <v>104.99999999999999</v>
      </c>
      <c r="L2541" t="s">
        <v>13</v>
      </c>
      <c r="M2541" t="s">
        <v>28</v>
      </c>
      <c r="N2541">
        <f>MONTH(Table1[[#This Row],[SaleDate]])</f>
        <v>10</v>
      </c>
      <c r="O2541" t="str">
        <f>TEXT(Table1[[#This Row],[SaleDate]],"MMM")</f>
        <v>Oct</v>
      </c>
    </row>
    <row r="2542" spans="1:15">
      <c r="A2542" s="1">
        <v>45212</v>
      </c>
      <c r="B2542" t="s">
        <v>25</v>
      </c>
      <c r="C2542" t="s">
        <v>21</v>
      </c>
      <c r="D2542">
        <v>1</v>
      </c>
      <c r="E2542" t="s">
        <v>9</v>
      </c>
      <c r="F2542">
        <v>60000</v>
      </c>
      <c r="G2542">
        <v>31000</v>
      </c>
      <c r="H2542">
        <f>Table1[[#This Row],[Qty]]*Table1[[#This Row],[SellingPrice]]</f>
        <v>60000</v>
      </c>
      <c r="I2542">
        <f>Table1[[#This Row],[Qty]]*Table1[[#This Row],[CostPrice]]</f>
        <v>31000</v>
      </c>
      <c r="J2542">
        <v>28797</v>
      </c>
      <c r="K2542">
        <v>202.99999999999997</v>
      </c>
      <c r="L2542" t="s">
        <v>13</v>
      </c>
      <c r="M2542" t="s">
        <v>30</v>
      </c>
      <c r="N2542">
        <f>MONTH(Table1[[#This Row],[SaleDate]])</f>
        <v>10</v>
      </c>
      <c r="O2542" t="str">
        <f>TEXT(Table1[[#This Row],[SaleDate]],"MMM")</f>
        <v>Oct</v>
      </c>
    </row>
    <row r="2543" spans="1:15">
      <c r="A2543" s="1">
        <v>45212</v>
      </c>
      <c r="B2543" t="s">
        <v>25</v>
      </c>
      <c r="C2543" t="s">
        <v>21</v>
      </c>
      <c r="D2543">
        <v>1</v>
      </c>
      <c r="E2543" t="s">
        <v>10</v>
      </c>
      <c r="F2543">
        <v>89000</v>
      </c>
      <c r="G2543">
        <v>65000</v>
      </c>
      <c r="H2543">
        <f>Table1[[#This Row],[Qty]]*Table1[[#This Row],[SellingPrice]]</f>
        <v>89000</v>
      </c>
      <c r="I2543">
        <f>Table1[[#This Row],[Qty]]*Table1[[#This Row],[CostPrice]]</f>
        <v>65000</v>
      </c>
      <c r="J2543">
        <v>23832</v>
      </c>
      <c r="K2543">
        <v>167.99999999999997</v>
      </c>
      <c r="L2543" t="s">
        <v>13</v>
      </c>
      <c r="M2543" t="s">
        <v>29</v>
      </c>
      <c r="N2543">
        <f>MONTH(Table1[[#This Row],[SaleDate]])</f>
        <v>10</v>
      </c>
      <c r="O2543" t="str">
        <f>TEXT(Table1[[#This Row],[SaleDate]],"MMM")</f>
        <v>Oct</v>
      </c>
    </row>
    <row r="2544" spans="1:15">
      <c r="A2544" s="1">
        <v>45213</v>
      </c>
      <c r="B2544" t="s">
        <v>23</v>
      </c>
      <c r="C2544" t="s">
        <v>19</v>
      </c>
      <c r="D2544">
        <v>1</v>
      </c>
      <c r="E2544" t="s">
        <v>7</v>
      </c>
      <c r="F2544">
        <v>33000</v>
      </c>
      <c r="G2544">
        <v>18000</v>
      </c>
      <c r="H2544">
        <f>Table1[[#This Row],[Qty]]*Table1[[#This Row],[SellingPrice]]</f>
        <v>33000</v>
      </c>
      <c r="I2544">
        <f>Table1[[#This Row],[Qty]]*Table1[[#This Row],[CostPrice]]</f>
        <v>18000</v>
      </c>
      <c r="J2544">
        <v>14895</v>
      </c>
      <c r="K2544">
        <v>104.99999999999999</v>
      </c>
      <c r="L2544" t="s">
        <v>8</v>
      </c>
      <c r="M2544" t="s">
        <v>30</v>
      </c>
      <c r="N2544">
        <f>MONTH(Table1[[#This Row],[SaleDate]])</f>
        <v>10</v>
      </c>
      <c r="O2544" t="str">
        <f>TEXT(Table1[[#This Row],[SaleDate]],"MMM")</f>
        <v>Oct</v>
      </c>
    </row>
    <row r="2545" spans="1:15">
      <c r="A2545" s="1">
        <v>45213</v>
      </c>
      <c r="B2545" t="s">
        <v>23</v>
      </c>
      <c r="C2545" t="s">
        <v>19</v>
      </c>
      <c r="D2545">
        <v>1</v>
      </c>
      <c r="E2545" t="s">
        <v>9</v>
      </c>
      <c r="F2545">
        <v>60000</v>
      </c>
      <c r="G2545">
        <v>31000</v>
      </c>
      <c r="H2545">
        <f>Table1[[#This Row],[Qty]]*Table1[[#This Row],[SellingPrice]]</f>
        <v>60000</v>
      </c>
      <c r="I2545">
        <f>Table1[[#This Row],[Qty]]*Table1[[#This Row],[CostPrice]]</f>
        <v>31000</v>
      </c>
      <c r="J2545">
        <v>28797</v>
      </c>
      <c r="K2545">
        <v>202.99999999999997</v>
      </c>
      <c r="L2545" t="s">
        <v>8</v>
      </c>
      <c r="M2545" t="s">
        <v>29</v>
      </c>
      <c r="N2545">
        <f>MONTH(Table1[[#This Row],[SaleDate]])</f>
        <v>10</v>
      </c>
      <c r="O2545" t="str">
        <f>TEXT(Table1[[#This Row],[SaleDate]],"MMM")</f>
        <v>Oct</v>
      </c>
    </row>
    <row r="2546" spans="1:15">
      <c r="A2546" s="1">
        <v>45213</v>
      </c>
      <c r="B2546" t="s">
        <v>23</v>
      </c>
      <c r="C2546" t="s">
        <v>19</v>
      </c>
      <c r="D2546">
        <v>1</v>
      </c>
      <c r="E2546" t="s">
        <v>10</v>
      </c>
      <c r="F2546">
        <v>89000</v>
      </c>
      <c r="G2546">
        <v>65000</v>
      </c>
      <c r="H2546">
        <f>Table1[[#This Row],[Qty]]*Table1[[#This Row],[SellingPrice]]</f>
        <v>89000</v>
      </c>
      <c r="I2546">
        <f>Table1[[#This Row],[Qty]]*Table1[[#This Row],[CostPrice]]</f>
        <v>65000</v>
      </c>
      <c r="J2546">
        <v>23832</v>
      </c>
      <c r="K2546">
        <v>167.99999999999997</v>
      </c>
      <c r="L2546" t="s">
        <v>8</v>
      </c>
      <c r="M2546" t="s">
        <v>29</v>
      </c>
      <c r="N2546">
        <f>MONTH(Table1[[#This Row],[SaleDate]])</f>
        <v>10</v>
      </c>
      <c r="O2546" t="str">
        <f>TEXT(Table1[[#This Row],[SaleDate]],"MMM")</f>
        <v>Oct</v>
      </c>
    </row>
    <row r="2547" spans="1:15">
      <c r="A2547" s="1">
        <v>45213</v>
      </c>
      <c r="B2547" t="s">
        <v>24</v>
      </c>
      <c r="C2547" t="s">
        <v>22</v>
      </c>
      <c r="D2547">
        <v>1</v>
      </c>
      <c r="E2547" t="s">
        <v>7</v>
      </c>
      <c r="F2547">
        <v>33000</v>
      </c>
      <c r="G2547">
        <v>18000</v>
      </c>
      <c r="H2547">
        <f>Table1[[#This Row],[Qty]]*Table1[[#This Row],[SellingPrice]]</f>
        <v>33000</v>
      </c>
      <c r="I2547">
        <f>Table1[[#This Row],[Qty]]*Table1[[#This Row],[CostPrice]]</f>
        <v>18000</v>
      </c>
      <c r="J2547">
        <v>14895</v>
      </c>
      <c r="K2547">
        <v>104.99999999999999</v>
      </c>
      <c r="L2547" t="s">
        <v>12</v>
      </c>
      <c r="M2547" t="s">
        <v>30</v>
      </c>
      <c r="N2547">
        <f>MONTH(Table1[[#This Row],[SaleDate]])</f>
        <v>10</v>
      </c>
      <c r="O2547" t="str">
        <f>TEXT(Table1[[#This Row],[SaleDate]],"MMM")</f>
        <v>Oct</v>
      </c>
    </row>
    <row r="2548" spans="1:15">
      <c r="A2548" s="1">
        <v>45213</v>
      </c>
      <c r="B2548" t="s">
        <v>24</v>
      </c>
      <c r="C2548" t="s">
        <v>22</v>
      </c>
      <c r="D2548">
        <v>1</v>
      </c>
      <c r="E2548" t="s">
        <v>9</v>
      </c>
      <c r="F2548">
        <v>60000</v>
      </c>
      <c r="G2548">
        <v>31000</v>
      </c>
      <c r="H2548">
        <f>Table1[[#This Row],[Qty]]*Table1[[#This Row],[SellingPrice]]</f>
        <v>60000</v>
      </c>
      <c r="I2548">
        <f>Table1[[#This Row],[Qty]]*Table1[[#This Row],[CostPrice]]</f>
        <v>31000</v>
      </c>
      <c r="J2548">
        <v>28797</v>
      </c>
      <c r="K2548">
        <v>202.99999999999997</v>
      </c>
      <c r="L2548" t="s">
        <v>12</v>
      </c>
      <c r="M2548" t="s">
        <v>30</v>
      </c>
      <c r="N2548">
        <f>MONTH(Table1[[#This Row],[SaleDate]])</f>
        <v>10</v>
      </c>
      <c r="O2548" t="str">
        <f>TEXT(Table1[[#This Row],[SaleDate]],"MMM")</f>
        <v>Oct</v>
      </c>
    </row>
    <row r="2549" spans="1:15">
      <c r="A2549" s="1">
        <v>45213</v>
      </c>
      <c r="B2549" t="s">
        <v>24</v>
      </c>
      <c r="C2549" t="s">
        <v>22</v>
      </c>
      <c r="D2549">
        <v>1</v>
      </c>
      <c r="E2549" t="s">
        <v>10</v>
      </c>
      <c r="F2549">
        <v>89000</v>
      </c>
      <c r="G2549">
        <v>65000</v>
      </c>
      <c r="H2549">
        <f>Table1[[#This Row],[Qty]]*Table1[[#This Row],[SellingPrice]]</f>
        <v>89000</v>
      </c>
      <c r="I2549">
        <f>Table1[[#This Row],[Qty]]*Table1[[#This Row],[CostPrice]]</f>
        <v>65000</v>
      </c>
      <c r="J2549">
        <v>23832</v>
      </c>
      <c r="K2549">
        <v>167.99999999999997</v>
      </c>
      <c r="L2549" t="s">
        <v>12</v>
      </c>
      <c r="M2549" t="s">
        <v>27</v>
      </c>
      <c r="N2549">
        <f>MONTH(Table1[[#This Row],[SaleDate]])</f>
        <v>10</v>
      </c>
      <c r="O2549" t="str">
        <f>TEXT(Table1[[#This Row],[SaleDate]],"MMM")</f>
        <v>Oct</v>
      </c>
    </row>
    <row r="2550" spans="1:15">
      <c r="A2550" s="1">
        <v>45213</v>
      </c>
      <c r="B2550" t="s">
        <v>25</v>
      </c>
      <c r="C2550" t="s">
        <v>21</v>
      </c>
      <c r="D2550">
        <v>1</v>
      </c>
      <c r="E2550" t="s">
        <v>7</v>
      </c>
      <c r="F2550">
        <v>33000</v>
      </c>
      <c r="G2550">
        <v>18000</v>
      </c>
      <c r="H2550">
        <f>Table1[[#This Row],[Qty]]*Table1[[#This Row],[SellingPrice]]</f>
        <v>33000</v>
      </c>
      <c r="I2550">
        <f>Table1[[#This Row],[Qty]]*Table1[[#This Row],[CostPrice]]</f>
        <v>18000</v>
      </c>
      <c r="J2550">
        <v>14895</v>
      </c>
      <c r="K2550">
        <v>104.99999999999999</v>
      </c>
      <c r="L2550" t="s">
        <v>13</v>
      </c>
      <c r="M2550" t="s">
        <v>30</v>
      </c>
      <c r="N2550">
        <f>MONTH(Table1[[#This Row],[SaleDate]])</f>
        <v>10</v>
      </c>
      <c r="O2550" t="str">
        <f>TEXT(Table1[[#This Row],[SaleDate]],"MMM")</f>
        <v>Oct</v>
      </c>
    </row>
    <row r="2551" spans="1:15">
      <c r="A2551" s="1">
        <v>45213</v>
      </c>
      <c r="B2551" t="s">
        <v>25</v>
      </c>
      <c r="C2551" t="s">
        <v>21</v>
      </c>
      <c r="D2551">
        <v>1</v>
      </c>
      <c r="E2551" t="s">
        <v>9</v>
      </c>
      <c r="F2551">
        <v>60000</v>
      </c>
      <c r="G2551">
        <v>31000</v>
      </c>
      <c r="H2551">
        <f>Table1[[#This Row],[Qty]]*Table1[[#This Row],[SellingPrice]]</f>
        <v>60000</v>
      </c>
      <c r="I2551">
        <f>Table1[[#This Row],[Qty]]*Table1[[#This Row],[CostPrice]]</f>
        <v>31000</v>
      </c>
      <c r="J2551">
        <v>28797</v>
      </c>
      <c r="K2551">
        <v>202.99999999999997</v>
      </c>
      <c r="L2551" t="s">
        <v>13</v>
      </c>
      <c r="M2551" t="s">
        <v>27</v>
      </c>
      <c r="N2551">
        <f>MONTH(Table1[[#This Row],[SaleDate]])</f>
        <v>10</v>
      </c>
      <c r="O2551" t="str">
        <f>TEXT(Table1[[#This Row],[SaleDate]],"MMM")</f>
        <v>Oct</v>
      </c>
    </row>
    <row r="2552" spans="1:15">
      <c r="A2552" s="1">
        <v>45213</v>
      </c>
      <c r="B2552" t="s">
        <v>25</v>
      </c>
      <c r="C2552" t="s">
        <v>21</v>
      </c>
      <c r="D2552">
        <v>1</v>
      </c>
      <c r="E2552" t="s">
        <v>10</v>
      </c>
      <c r="F2552">
        <v>89000</v>
      </c>
      <c r="G2552">
        <v>65000</v>
      </c>
      <c r="H2552">
        <f>Table1[[#This Row],[Qty]]*Table1[[#This Row],[SellingPrice]]</f>
        <v>89000</v>
      </c>
      <c r="I2552">
        <f>Table1[[#This Row],[Qty]]*Table1[[#This Row],[CostPrice]]</f>
        <v>65000</v>
      </c>
      <c r="J2552">
        <v>23832</v>
      </c>
      <c r="K2552">
        <v>167.99999999999997</v>
      </c>
      <c r="L2552" t="s">
        <v>13</v>
      </c>
      <c r="M2552" t="s">
        <v>30</v>
      </c>
      <c r="N2552">
        <f>MONTH(Table1[[#This Row],[SaleDate]])</f>
        <v>10</v>
      </c>
      <c r="O2552" t="str">
        <f>TEXT(Table1[[#This Row],[SaleDate]],"MMM")</f>
        <v>Oct</v>
      </c>
    </row>
    <row r="2553" spans="1:15">
      <c r="A2553" s="1">
        <v>45214</v>
      </c>
      <c r="B2553" t="s">
        <v>23</v>
      </c>
      <c r="C2553" t="s">
        <v>19</v>
      </c>
      <c r="D2553">
        <v>1</v>
      </c>
      <c r="E2553" t="s">
        <v>7</v>
      </c>
      <c r="F2553">
        <v>33000</v>
      </c>
      <c r="G2553">
        <v>18000</v>
      </c>
      <c r="H2553">
        <f>Table1[[#This Row],[Qty]]*Table1[[#This Row],[SellingPrice]]</f>
        <v>33000</v>
      </c>
      <c r="I2553">
        <f>Table1[[#This Row],[Qty]]*Table1[[#This Row],[CostPrice]]</f>
        <v>18000</v>
      </c>
      <c r="J2553">
        <v>14895</v>
      </c>
      <c r="K2553">
        <v>104.99999999999999</v>
      </c>
      <c r="L2553" t="s">
        <v>8</v>
      </c>
      <c r="M2553" t="s">
        <v>29</v>
      </c>
      <c r="N2553">
        <f>MONTH(Table1[[#This Row],[SaleDate]])</f>
        <v>10</v>
      </c>
      <c r="O2553" t="str">
        <f>TEXT(Table1[[#This Row],[SaleDate]],"MMM")</f>
        <v>Oct</v>
      </c>
    </row>
    <row r="2554" spans="1:15">
      <c r="A2554" s="1">
        <v>45214</v>
      </c>
      <c r="B2554" t="s">
        <v>23</v>
      </c>
      <c r="C2554" t="s">
        <v>19</v>
      </c>
      <c r="D2554">
        <v>1</v>
      </c>
      <c r="E2554" t="s">
        <v>9</v>
      </c>
      <c r="F2554">
        <v>60000</v>
      </c>
      <c r="G2554">
        <v>31000</v>
      </c>
      <c r="H2554">
        <f>Table1[[#This Row],[Qty]]*Table1[[#This Row],[SellingPrice]]</f>
        <v>60000</v>
      </c>
      <c r="I2554">
        <f>Table1[[#This Row],[Qty]]*Table1[[#This Row],[CostPrice]]</f>
        <v>31000</v>
      </c>
      <c r="J2554">
        <v>28797</v>
      </c>
      <c r="K2554">
        <v>202.99999999999997</v>
      </c>
      <c r="L2554" t="s">
        <v>8</v>
      </c>
      <c r="M2554" t="s">
        <v>27</v>
      </c>
      <c r="N2554">
        <f>MONTH(Table1[[#This Row],[SaleDate]])</f>
        <v>10</v>
      </c>
      <c r="O2554" t="str">
        <f>TEXT(Table1[[#This Row],[SaleDate]],"MMM")</f>
        <v>Oct</v>
      </c>
    </row>
    <row r="2555" spans="1:15">
      <c r="A2555" s="1">
        <v>45214</v>
      </c>
      <c r="B2555" t="s">
        <v>23</v>
      </c>
      <c r="C2555" t="s">
        <v>19</v>
      </c>
      <c r="D2555">
        <v>1</v>
      </c>
      <c r="E2555" t="s">
        <v>10</v>
      </c>
      <c r="F2555">
        <v>89000</v>
      </c>
      <c r="G2555">
        <v>65000</v>
      </c>
      <c r="H2555">
        <f>Table1[[#This Row],[Qty]]*Table1[[#This Row],[SellingPrice]]</f>
        <v>89000</v>
      </c>
      <c r="I2555">
        <f>Table1[[#This Row],[Qty]]*Table1[[#This Row],[CostPrice]]</f>
        <v>65000</v>
      </c>
      <c r="J2555">
        <v>23832</v>
      </c>
      <c r="K2555">
        <v>167.99999999999997</v>
      </c>
      <c r="L2555" t="s">
        <v>8</v>
      </c>
      <c r="M2555" t="s">
        <v>30</v>
      </c>
      <c r="N2555">
        <f>MONTH(Table1[[#This Row],[SaleDate]])</f>
        <v>10</v>
      </c>
      <c r="O2555" t="str">
        <f>TEXT(Table1[[#This Row],[SaleDate]],"MMM")</f>
        <v>Oct</v>
      </c>
    </row>
    <row r="2556" spans="1:15">
      <c r="A2556" s="1">
        <v>45214</v>
      </c>
      <c r="B2556" t="s">
        <v>24</v>
      </c>
      <c r="C2556" t="s">
        <v>22</v>
      </c>
      <c r="D2556">
        <v>1</v>
      </c>
      <c r="E2556" t="s">
        <v>7</v>
      </c>
      <c r="F2556">
        <v>33000</v>
      </c>
      <c r="G2556">
        <v>18000</v>
      </c>
      <c r="H2556">
        <f>Table1[[#This Row],[Qty]]*Table1[[#This Row],[SellingPrice]]</f>
        <v>33000</v>
      </c>
      <c r="I2556">
        <f>Table1[[#This Row],[Qty]]*Table1[[#This Row],[CostPrice]]</f>
        <v>18000</v>
      </c>
      <c r="J2556">
        <v>14895</v>
      </c>
      <c r="K2556">
        <v>104.99999999999999</v>
      </c>
      <c r="L2556" t="s">
        <v>12</v>
      </c>
      <c r="M2556" t="s">
        <v>28</v>
      </c>
      <c r="N2556">
        <f>MONTH(Table1[[#This Row],[SaleDate]])</f>
        <v>10</v>
      </c>
      <c r="O2556" t="str">
        <f>TEXT(Table1[[#This Row],[SaleDate]],"MMM")</f>
        <v>Oct</v>
      </c>
    </row>
    <row r="2557" spans="1:15">
      <c r="A2557" s="1">
        <v>45214</v>
      </c>
      <c r="B2557" t="s">
        <v>24</v>
      </c>
      <c r="C2557" t="s">
        <v>22</v>
      </c>
      <c r="D2557">
        <v>1</v>
      </c>
      <c r="E2557" t="s">
        <v>9</v>
      </c>
      <c r="F2557">
        <v>60000</v>
      </c>
      <c r="G2557">
        <v>31000</v>
      </c>
      <c r="H2557">
        <f>Table1[[#This Row],[Qty]]*Table1[[#This Row],[SellingPrice]]</f>
        <v>60000</v>
      </c>
      <c r="I2557">
        <f>Table1[[#This Row],[Qty]]*Table1[[#This Row],[CostPrice]]</f>
        <v>31000</v>
      </c>
      <c r="J2557">
        <v>28797</v>
      </c>
      <c r="K2557">
        <v>202.99999999999997</v>
      </c>
      <c r="L2557" t="s">
        <v>12</v>
      </c>
      <c r="M2557" t="s">
        <v>30</v>
      </c>
      <c r="N2557">
        <f>MONTH(Table1[[#This Row],[SaleDate]])</f>
        <v>10</v>
      </c>
      <c r="O2557" t="str">
        <f>TEXT(Table1[[#This Row],[SaleDate]],"MMM")</f>
        <v>Oct</v>
      </c>
    </row>
    <row r="2558" spans="1:15">
      <c r="A2558" s="1">
        <v>45214</v>
      </c>
      <c r="B2558" t="s">
        <v>24</v>
      </c>
      <c r="C2558" t="s">
        <v>22</v>
      </c>
      <c r="D2558">
        <v>1</v>
      </c>
      <c r="E2558" t="s">
        <v>10</v>
      </c>
      <c r="F2558">
        <v>89000</v>
      </c>
      <c r="G2558">
        <v>65000</v>
      </c>
      <c r="H2558">
        <f>Table1[[#This Row],[Qty]]*Table1[[#This Row],[SellingPrice]]</f>
        <v>89000</v>
      </c>
      <c r="I2558">
        <f>Table1[[#This Row],[Qty]]*Table1[[#This Row],[CostPrice]]</f>
        <v>65000</v>
      </c>
      <c r="J2558">
        <v>23832</v>
      </c>
      <c r="K2558">
        <v>167.99999999999997</v>
      </c>
      <c r="L2558" t="s">
        <v>12</v>
      </c>
      <c r="M2558" t="s">
        <v>29</v>
      </c>
      <c r="N2558">
        <f>MONTH(Table1[[#This Row],[SaleDate]])</f>
        <v>10</v>
      </c>
      <c r="O2558" t="str">
        <f>TEXT(Table1[[#This Row],[SaleDate]],"MMM")</f>
        <v>Oct</v>
      </c>
    </row>
    <row r="2559" spans="1:15">
      <c r="A2559" s="1">
        <v>45214</v>
      </c>
      <c r="B2559" t="s">
        <v>25</v>
      </c>
      <c r="C2559" t="s">
        <v>21</v>
      </c>
      <c r="D2559">
        <v>1</v>
      </c>
      <c r="E2559" t="s">
        <v>7</v>
      </c>
      <c r="F2559">
        <v>33000</v>
      </c>
      <c r="G2559">
        <v>18000</v>
      </c>
      <c r="H2559">
        <f>Table1[[#This Row],[Qty]]*Table1[[#This Row],[SellingPrice]]</f>
        <v>33000</v>
      </c>
      <c r="I2559">
        <f>Table1[[#This Row],[Qty]]*Table1[[#This Row],[CostPrice]]</f>
        <v>18000</v>
      </c>
      <c r="J2559">
        <v>14895</v>
      </c>
      <c r="K2559">
        <v>104.99999999999999</v>
      </c>
      <c r="L2559" t="s">
        <v>13</v>
      </c>
      <c r="M2559" t="s">
        <v>27</v>
      </c>
      <c r="N2559">
        <f>MONTH(Table1[[#This Row],[SaleDate]])</f>
        <v>10</v>
      </c>
      <c r="O2559" t="str">
        <f>TEXT(Table1[[#This Row],[SaleDate]],"MMM")</f>
        <v>Oct</v>
      </c>
    </row>
    <row r="2560" spans="1:15">
      <c r="A2560" s="1">
        <v>45214</v>
      </c>
      <c r="B2560" t="s">
        <v>25</v>
      </c>
      <c r="C2560" t="s">
        <v>21</v>
      </c>
      <c r="D2560">
        <v>1</v>
      </c>
      <c r="E2560" t="s">
        <v>9</v>
      </c>
      <c r="F2560">
        <v>60000</v>
      </c>
      <c r="G2560">
        <v>31000</v>
      </c>
      <c r="H2560">
        <f>Table1[[#This Row],[Qty]]*Table1[[#This Row],[SellingPrice]]</f>
        <v>60000</v>
      </c>
      <c r="I2560">
        <f>Table1[[#This Row],[Qty]]*Table1[[#This Row],[CostPrice]]</f>
        <v>31000</v>
      </c>
      <c r="J2560">
        <v>28797</v>
      </c>
      <c r="K2560">
        <v>202.99999999999997</v>
      </c>
      <c r="L2560" t="s">
        <v>13</v>
      </c>
      <c r="M2560" t="s">
        <v>29</v>
      </c>
      <c r="N2560">
        <f>MONTH(Table1[[#This Row],[SaleDate]])</f>
        <v>10</v>
      </c>
      <c r="O2560" t="str">
        <f>TEXT(Table1[[#This Row],[SaleDate]],"MMM")</f>
        <v>Oct</v>
      </c>
    </row>
    <row r="2561" spans="1:15">
      <c r="A2561" s="1">
        <v>45214</v>
      </c>
      <c r="B2561" t="s">
        <v>25</v>
      </c>
      <c r="C2561" t="s">
        <v>21</v>
      </c>
      <c r="D2561">
        <v>1</v>
      </c>
      <c r="E2561" t="s">
        <v>10</v>
      </c>
      <c r="F2561">
        <v>89000</v>
      </c>
      <c r="G2561">
        <v>65000</v>
      </c>
      <c r="H2561">
        <f>Table1[[#This Row],[Qty]]*Table1[[#This Row],[SellingPrice]]</f>
        <v>89000</v>
      </c>
      <c r="I2561">
        <f>Table1[[#This Row],[Qty]]*Table1[[#This Row],[CostPrice]]</f>
        <v>65000</v>
      </c>
      <c r="J2561">
        <v>23832</v>
      </c>
      <c r="K2561">
        <v>167.99999999999997</v>
      </c>
      <c r="L2561" t="s">
        <v>13</v>
      </c>
      <c r="M2561" t="s">
        <v>30</v>
      </c>
      <c r="N2561">
        <f>MONTH(Table1[[#This Row],[SaleDate]])</f>
        <v>10</v>
      </c>
      <c r="O2561" t="str">
        <f>TEXT(Table1[[#This Row],[SaleDate]],"MMM")</f>
        <v>Oct</v>
      </c>
    </row>
    <row r="2562" spans="1:15">
      <c r="A2562" s="1">
        <v>45215</v>
      </c>
      <c r="B2562" t="s">
        <v>23</v>
      </c>
      <c r="C2562" t="s">
        <v>19</v>
      </c>
      <c r="D2562">
        <v>2</v>
      </c>
      <c r="E2562" t="s">
        <v>7</v>
      </c>
      <c r="F2562">
        <v>33000</v>
      </c>
      <c r="G2562">
        <v>18000</v>
      </c>
      <c r="H2562">
        <f>Table1[[#This Row],[Qty]]*Table1[[#This Row],[SellingPrice]]</f>
        <v>66000</v>
      </c>
      <c r="I2562">
        <f>Table1[[#This Row],[Qty]]*Table1[[#This Row],[CostPrice]]</f>
        <v>36000</v>
      </c>
      <c r="J2562">
        <v>29790</v>
      </c>
      <c r="K2562">
        <v>209.99999999999997</v>
      </c>
      <c r="L2562" t="s">
        <v>8</v>
      </c>
      <c r="M2562" t="s">
        <v>27</v>
      </c>
      <c r="N2562">
        <f>MONTH(Table1[[#This Row],[SaleDate]])</f>
        <v>10</v>
      </c>
      <c r="O2562" t="str">
        <f>TEXT(Table1[[#This Row],[SaleDate]],"MMM")</f>
        <v>Oct</v>
      </c>
    </row>
    <row r="2563" spans="1:15">
      <c r="A2563" s="1">
        <v>45215</v>
      </c>
      <c r="B2563" t="s">
        <v>23</v>
      </c>
      <c r="C2563" t="s">
        <v>19</v>
      </c>
      <c r="D2563">
        <v>2</v>
      </c>
      <c r="E2563" t="s">
        <v>9</v>
      </c>
      <c r="F2563">
        <v>60000</v>
      </c>
      <c r="G2563">
        <v>31000</v>
      </c>
      <c r="H2563">
        <f>Table1[[#This Row],[Qty]]*Table1[[#This Row],[SellingPrice]]</f>
        <v>120000</v>
      </c>
      <c r="I2563">
        <f>Table1[[#This Row],[Qty]]*Table1[[#This Row],[CostPrice]]</f>
        <v>62000</v>
      </c>
      <c r="J2563">
        <v>57594</v>
      </c>
      <c r="K2563">
        <v>405.99999999999994</v>
      </c>
      <c r="L2563" t="s">
        <v>8</v>
      </c>
      <c r="M2563" t="s">
        <v>30</v>
      </c>
      <c r="N2563">
        <f>MONTH(Table1[[#This Row],[SaleDate]])</f>
        <v>10</v>
      </c>
      <c r="O2563" t="str">
        <f>TEXT(Table1[[#This Row],[SaleDate]],"MMM")</f>
        <v>Oct</v>
      </c>
    </row>
    <row r="2564" spans="1:15">
      <c r="A2564" s="1">
        <v>45215</v>
      </c>
      <c r="B2564" t="s">
        <v>23</v>
      </c>
      <c r="C2564" t="s">
        <v>19</v>
      </c>
      <c r="D2564">
        <v>2</v>
      </c>
      <c r="E2564" t="s">
        <v>10</v>
      </c>
      <c r="F2564">
        <v>89000</v>
      </c>
      <c r="G2564">
        <v>65000</v>
      </c>
      <c r="H2564">
        <f>Table1[[#This Row],[Qty]]*Table1[[#This Row],[SellingPrice]]</f>
        <v>178000</v>
      </c>
      <c r="I2564">
        <f>Table1[[#This Row],[Qty]]*Table1[[#This Row],[CostPrice]]</f>
        <v>130000</v>
      </c>
      <c r="J2564">
        <v>47664</v>
      </c>
      <c r="K2564">
        <v>335.99999999999994</v>
      </c>
      <c r="L2564" t="s">
        <v>8</v>
      </c>
      <c r="M2564" t="s">
        <v>30</v>
      </c>
      <c r="N2564">
        <f>MONTH(Table1[[#This Row],[SaleDate]])</f>
        <v>10</v>
      </c>
      <c r="O2564" t="str">
        <f>TEXT(Table1[[#This Row],[SaleDate]],"MMM")</f>
        <v>Oct</v>
      </c>
    </row>
    <row r="2565" spans="1:15">
      <c r="A2565" s="1">
        <v>45215</v>
      </c>
      <c r="B2565" t="s">
        <v>24</v>
      </c>
      <c r="C2565" t="s">
        <v>22</v>
      </c>
      <c r="D2565">
        <v>2</v>
      </c>
      <c r="E2565" t="s">
        <v>7</v>
      </c>
      <c r="F2565">
        <v>33000</v>
      </c>
      <c r="G2565">
        <v>18000</v>
      </c>
      <c r="H2565">
        <f>Table1[[#This Row],[Qty]]*Table1[[#This Row],[SellingPrice]]</f>
        <v>66000</v>
      </c>
      <c r="I2565">
        <f>Table1[[#This Row],[Qty]]*Table1[[#This Row],[CostPrice]]</f>
        <v>36000</v>
      </c>
      <c r="J2565">
        <v>29790</v>
      </c>
      <c r="K2565">
        <v>209.99999999999997</v>
      </c>
      <c r="L2565" t="s">
        <v>12</v>
      </c>
      <c r="M2565" t="s">
        <v>27</v>
      </c>
      <c r="N2565">
        <f>MONTH(Table1[[#This Row],[SaleDate]])</f>
        <v>10</v>
      </c>
      <c r="O2565" t="str">
        <f>TEXT(Table1[[#This Row],[SaleDate]],"MMM")</f>
        <v>Oct</v>
      </c>
    </row>
    <row r="2566" spans="1:15">
      <c r="A2566" s="1">
        <v>45215</v>
      </c>
      <c r="B2566" t="s">
        <v>24</v>
      </c>
      <c r="C2566" t="s">
        <v>22</v>
      </c>
      <c r="D2566">
        <v>2</v>
      </c>
      <c r="E2566" t="s">
        <v>9</v>
      </c>
      <c r="F2566">
        <v>60000</v>
      </c>
      <c r="G2566">
        <v>31000</v>
      </c>
      <c r="H2566">
        <f>Table1[[#This Row],[Qty]]*Table1[[#This Row],[SellingPrice]]</f>
        <v>120000</v>
      </c>
      <c r="I2566">
        <f>Table1[[#This Row],[Qty]]*Table1[[#This Row],[CostPrice]]</f>
        <v>62000</v>
      </c>
      <c r="J2566">
        <v>57594</v>
      </c>
      <c r="K2566">
        <v>405.99999999999994</v>
      </c>
      <c r="L2566" t="s">
        <v>12</v>
      </c>
      <c r="M2566" t="s">
        <v>30</v>
      </c>
      <c r="N2566">
        <f>MONTH(Table1[[#This Row],[SaleDate]])</f>
        <v>10</v>
      </c>
      <c r="O2566" t="str">
        <f>TEXT(Table1[[#This Row],[SaleDate]],"MMM")</f>
        <v>Oct</v>
      </c>
    </row>
    <row r="2567" spans="1:15">
      <c r="A2567" s="1">
        <v>45215</v>
      </c>
      <c r="B2567" t="s">
        <v>24</v>
      </c>
      <c r="C2567" t="s">
        <v>22</v>
      </c>
      <c r="D2567">
        <v>2</v>
      </c>
      <c r="E2567" t="s">
        <v>10</v>
      </c>
      <c r="F2567">
        <v>89000</v>
      </c>
      <c r="G2567">
        <v>65000</v>
      </c>
      <c r="H2567">
        <f>Table1[[#This Row],[Qty]]*Table1[[#This Row],[SellingPrice]]</f>
        <v>178000</v>
      </c>
      <c r="I2567">
        <f>Table1[[#This Row],[Qty]]*Table1[[#This Row],[CostPrice]]</f>
        <v>130000</v>
      </c>
      <c r="J2567">
        <v>47664</v>
      </c>
      <c r="K2567">
        <v>335.99999999999994</v>
      </c>
      <c r="L2567" t="s">
        <v>12</v>
      </c>
      <c r="M2567" t="s">
        <v>29</v>
      </c>
      <c r="N2567">
        <f>MONTH(Table1[[#This Row],[SaleDate]])</f>
        <v>10</v>
      </c>
      <c r="O2567" t="str">
        <f>TEXT(Table1[[#This Row],[SaleDate]],"MMM")</f>
        <v>Oct</v>
      </c>
    </row>
    <row r="2568" spans="1:15">
      <c r="A2568" s="1">
        <v>45215</v>
      </c>
      <c r="B2568" t="s">
        <v>25</v>
      </c>
      <c r="C2568" t="s">
        <v>21</v>
      </c>
      <c r="D2568">
        <v>2</v>
      </c>
      <c r="E2568" t="s">
        <v>7</v>
      </c>
      <c r="F2568">
        <v>33000</v>
      </c>
      <c r="G2568">
        <v>18000</v>
      </c>
      <c r="H2568">
        <f>Table1[[#This Row],[Qty]]*Table1[[#This Row],[SellingPrice]]</f>
        <v>66000</v>
      </c>
      <c r="I2568">
        <f>Table1[[#This Row],[Qty]]*Table1[[#This Row],[CostPrice]]</f>
        <v>36000</v>
      </c>
      <c r="J2568">
        <v>29790</v>
      </c>
      <c r="K2568">
        <v>209.99999999999997</v>
      </c>
      <c r="L2568" t="s">
        <v>13</v>
      </c>
      <c r="M2568" t="s">
        <v>29</v>
      </c>
      <c r="N2568">
        <f>MONTH(Table1[[#This Row],[SaleDate]])</f>
        <v>10</v>
      </c>
      <c r="O2568" t="str">
        <f>TEXT(Table1[[#This Row],[SaleDate]],"MMM")</f>
        <v>Oct</v>
      </c>
    </row>
    <row r="2569" spans="1:15">
      <c r="A2569" s="1">
        <v>45215</v>
      </c>
      <c r="B2569" t="s">
        <v>25</v>
      </c>
      <c r="C2569" t="s">
        <v>21</v>
      </c>
      <c r="D2569">
        <v>2</v>
      </c>
      <c r="E2569" t="s">
        <v>9</v>
      </c>
      <c r="F2569">
        <v>60000</v>
      </c>
      <c r="G2569">
        <v>31000</v>
      </c>
      <c r="H2569">
        <f>Table1[[#This Row],[Qty]]*Table1[[#This Row],[SellingPrice]]</f>
        <v>120000</v>
      </c>
      <c r="I2569">
        <f>Table1[[#This Row],[Qty]]*Table1[[#This Row],[CostPrice]]</f>
        <v>62000</v>
      </c>
      <c r="J2569">
        <v>57594</v>
      </c>
      <c r="K2569">
        <v>405.99999999999994</v>
      </c>
      <c r="L2569" t="s">
        <v>13</v>
      </c>
      <c r="M2569" t="s">
        <v>27</v>
      </c>
      <c r="N2569">
        <f>MONTH(Table1[[#This Row],[SaleDate]])</f>
        <v>10</v>
      </c>
      <c r="O2569" t="str">
        <f>TEXT(Table1[[#This Row],[SaleDate]],"MMM")</f>
        <v>Oct</v>
      </c>
    </row>
    <row r="2570" spans="1:15">
      <c r="A2570" s="1">
        <v>45215</v>
      </c>
      <c r="B2570" t="s">
        <v>25</v>
      </c>
      <c r="C2570" t="s">
        <v>21</v>
      </c>
      <c r="D2570">
        <v>2</v>
      </c>
      <c r="E2570" t="s">
        <v>10</v>
      </c>
      <c r="F2570">
        <v>89000</v>
      </c>
      <c r="G2570">
        <v>65000</v>
      </c>
      <c r="H2570">
        <f>Table1[[#This Row],[Qty]]*Table1[[#This Row],[SellingPrice]]</f>
        <v>178000</v>
      </c>
      <c r="I2570">
        <f>Table1[[#This Row],[Qty]]*Table1[[#This Row],[CostPrice]]</f>
        <v>130000</v>
      </c>
      <c r="J2570">
        <v>47664</v>
      </c>
      <c r="K2570">
        <v>335.99999999999994</v>
      </c>
      <c r="L2570" t="s">
        <v>13</v>
      </c>
      <c r="M2570" t="s">
        <v>30</v>
      </c>
      <c r="N2570">
        <f>MONTH(Table1[[#This Row],[SaleDate]])</f>
        <v>10</v>
      </c>
      <c r="O2570" t="str">
        <f>TEXT(Table1[[#This Row],[SaleDate]],"MMM")</f>
        <v>Oct</v>
      </c>
    </row>
    <row r="2571" spans="1:15">
      <c r="A2571" s="1">
        <v>45216</v>
      </c>
      <c r="B2571" t="s">
        <v>23</v>
      </c>
      <c r="C2571" t="s">
        <v>19</v>
      </c>
      <c r="D2571">
        <v>1</v>
      </c>
      <c r="E2571" t="s">
        <v>7</v>
      </c>
      <c r="F2571">
        <v>33000</v>
      </c>
      <c r="G2571">
        <v>18000</v>
      </c>
      <c r="H2571">
        <f>Table1[[#This Row],[Qty]]*Table1[[#This Row],[SellingPrice]]</f>
        <v>33000</v>
      </c>
      <c r="I2571">
        <f>Table1[[#This Row],[Qty]]*Table1[[#This Row],[CostPrice]]</f>
        <v>18000</v>
      </c>
      <c r="J2571">
        <v>14895</v>
      </c>
      <c r="K2571">
        <v>104.99999999999999</v>
      </c>
      <c r="L2571" t="s">
        <v>8</v>
      </c>
      <c r="M2571" t="s">
        <v>29</v>
      </c>
      <c r="N2571">
        <f>MONTH(Table1[[#This Row],[SaleDate]])</f>
        <v>10</v>
      </c>
      <c r="O2571" t="str">
        <f>TEXT(Table1[[#This Row],[SaleDate]],"MMM")</f>
        <v>Oct</v>
      </c>
    </row>
    <row r="2572" spans="1:15">
      <c r="A2572" s="1">
        <v>45216</v>
      </c>
      <c r="B2572" t="s">
        <v>23</v>
      </c>
      <c r="C2572" t="s">
        <v>19</v>
      </c>
      <c r="D2572">
        <v>1</v>
      </c>
      <c r="E2572" t="s">
        <v>9</v>
      </c>
      <c r="F2572">
        <v>60000</v>
      </c>
      <c r="G2572">
        <v>31000</v>
      </c>
      <c r="H2572">
        <f>Table1[[#This Row],[Qty]]*Table1[[#This Row],[SellingPrice]]</f>
        <v>60000</v>
      </c>
      <c r="I2572">
        <f>Table1[[#This Row],[Qty]]*Table1[[#This Row],[CostPrice]]</f>
        <v>31000</v>
      </c>
      <c r="J2572">
        <v>28797</v>
      </c>
      <c r="K2572">
        <v>202.99999999999997</v>
      </c>
      <c r="L2572" t="s">
        <v>8</v>
      </c>
      <c r="M2572" t="s">
        <v>30</v>
      </c>
      <c r="N2572">
        <f>MONTH(Table1[[#This Row],[SaleDate]])</f>
        <v>10</v>
      </c>
      <c r="O2572" t="str">
        <f>TEXT(Table1[[#This Row],[SaleDate]],"MMM")</f>
        <v>Oct</v>
      </c>
    </row>
    <row r="2573" spans="1:15">
      <c r="A2573" s="1">
        <v>45216</v>
      </c>
      <c r="B2573" t="s">
        <v>23</v>
      </c>
      <c r="C2573" t="s">
        <v>19</v>
      </c>
      <c r="D2573">
        <v>1</v>
      </c>
      <c r="E2573" t="s">
        <v>10</v>
      </c>
      <c r="F2573">
        <v>89000</v>
      </c>
      <c r="G2573">
        <v>65000</v>
      </c>
      <c r="H2573">
        <f>Table1[[#This Row],[Qty]]*Table1[[#This Row],[SellingPrice]]</f>
        <v>89000</v>
      </c>
      <c r="I2573">
        <f>Table1[[#This Row],[Qty]]*Table1[[#This Row],[CostPrice]]</f>
        <v>65000</v>
      </c>
      <c r="J2573">
        <v>23832</v>
      </c>
      <c r="K2573">
        <v>167.99999999999997</v>
      </c>
      <c r="L2573" t="s">
        <v>8</v>
      </c>
      <c r="M2573" t="s">
        <v>29</v>
      </c>
      <c r="N2573">
        <f>MONTH(Table1[[#This Row],[SaleDate]])</f>
        <v>10</v>
      </c>
      <c r="O2573" t="str">
        <f>TEXT(Table1[[#This Row],[SaleDate]],"MMM")</f>
        <v>Oct</v>
      </c>
    </row>
    <row r="2574" spans="1:15">
      <c r="A2574" s="1">
        <v>45216</v>
      </c>
      <c r="B2574" t="s">
        <v>24</v>
      </c>
      <c r="C2574" t="s">
        <v>22</v>
      </c>
      <c r="D2574">
        <v>1</v>
      </c>
      <c r="E2574" t="s">
        <v>7</v>
      </c>
      <c r="F2574">
        <v>33000</v>
      </c>
      <c r="G2574">
        <v>18000</v>
      </c>
      <c r="H2574">
        <f>Table1[[#This Row],[Qty]]*Table1[[#This Row],[SellingPrice]]</f>
        <v>33000</v>
      </c>
      <c r="I2574">
        <f>Table1[[#This Row],[Qty]]*Table1[[#This Row],[CostPrice]]</f>
        <v>18000</v>
      </c>
      <c r="J2574">
        <v>14895</v>
      </c>
      <c r="K2574">
        <v>104.99999999999999</v>
      </c>
      <c r="L2574" t="s">
        <v>12</v>
      </c>
      <c r="M2574" t="s">
        <v>27</v>
      </c>
      <c r="N2574">
        <f>MONTH(Table1[[#This Row],[SaleDate]])</f>
        <v>10</v>
      </c>
      <c r="O2574" t="str">
        <f>TEXT(Table1[[#This Row],[SaleDate]],"MMM")</f>
        <v>Oct</v>
      </c>
    </row>
    <row r="2575" spans="1:15">
      <c r="A2575" s="1">
        <v>45216</v>
      </c>
      <c r="B2575" t="s">
        <v>24</v>
      </c>
      <c r="C2575" t="s">
        <v>22</v>
      </c>
      <c r="D2575">
        <v>1</v>
      </c>
      <c r="E2575" t="s">
        <v>9</v>
      </c>
      <c r="F2575">
        <v>60000</v>
      </c>
      <c r="G2575">
        <v>31000</v>
      </c>
      <c r="H2575">
        <f>Table1[[#This Row],[Qty]]*Table1[[#This Row],[SellingPrice]]</f>
        <v>60000</v>
      </c>
      <c r="I2575">
        <f>Table1[[#This Row],[Qty]]*Table1[[#This Row],[CostPrice]]</f>
        <v>31000</v>
      </c>
      <c r="J2575">
        <v>28797</v>
      </c>
      <c r="K2575">
        <v>202.99999999999997</v>
      </c>
      <c r="L2575" t="s">
        <v>12</v>
      </c>
      <c r="M2575" t="s">
        <v>28</v>
      </c>
      <c r="N2575">
        <f>MONTH(Table1[[#This Row],[SaleDate]])</f>
        <v>10</v>
      </c>
      <c r="O2575" t="str">
        <f>TEXT(Table1[[#This Row],[SaleDate]],"MMM")</f>
        <v>Oct</v>
      </c>
    </row>
    <row r="2576" spans="1:15">
      <c r="A2576" s="1">
        <v>45216</v>
      </c>
      <c r="B2576" t="s">
        <v>24</v>
      </c>
      <c r="C2576" t="s">
        <v>22</v>
      </c>
      <c r="D2576">
        <v>1</v>
      </c>
      <c r="E2576" t="s">
        <v>10</v>
      </c>
      <c r="F2576">
        <v>89000</v>
      </c>
      <c r="G2576">
        <v>65000</v>
      </c>
      <c r="H2576">
        <f>Table1[[#This Row],[Qty]]*Table1[[#This Row],[SellingPrice]]</f>
        <v>89000</v>
      </c>
      <c r="I2576">
        <f>Table1[[#This Row],[Qty]]*Table1[[#This Row],[CostPrice]]</f>
        <v>65000</v>
      </c>
      <c r="J2576">
        <v>23832</v>
      </c>
      <c r="K2576">
        <v>167.99999999999997</v>
      </c>
      <c r="L2576" t="s">
        <v>12</v>
      </c>
      <c r="M2576" t="s">
        <v>27</v>
      </c>
      <c r="N2576">
        <f>MONTH(Table1[[#This Row],[SaleDate]])</f>
        <v>10</v>
      </c>
      <c r="O2576" t="str">
        <f>TEXT(Table1[[#This Row],[SaleDate]],"MMM")</f>
        <v>Oct</v>
      </c>
    </row>
    <row r="2577" spans="1:15">
      <c r="A2577" s="1">
        <v>45216</v>
      </c>
      <c r="B2577" t="s">
        <v>25</v>
      </c>
      <c r="C2577" t="s">
        <v>21</v>
      </c>
      <c r="D2577">
        <v>1</v>
      </c>
      <c r="E2577" t="s">
        <v>7</v>
      </c>
      <c r="F2577">
        <v>33000</v>
      </c>
      <c r="G2577">
        <v>18000</v>
      </c>
      <c r="H2577">
        <f>Table1[[#This Row],[Qty]]*Table1[[#This Row],[SellingPrice]]</f>
        <v>33000</v>
      </c>
      <c r="I2577">
        <f>Table1[[#This Row],[Qty]]*Table1[[#This Row],[CostPrice]]</f>
        <v>18000</v>
      </c>
      <c r="J2577">
        <v>14895</v>
      </c>
      <c r="K2577">
        <v>104.99999999999999</v>
      </c>
      <c r="L2577" t="s">
        <v>13</v>
      </c>
      <c r="M2577" t="s">
        <v>30</v>
      </c>
      <c r="N2577">
        <f>MONTH(Table1[[#This Row],[SaleDate]])</f>
        <v>10</v>
      </c>
      <c r="O2577" t="str">
        <f>TEXT(Table1[[#This Row],[SaleDate]],"MMM")</f>
        <v>Oct</v>
      </c>
    </row>
    <row r="2578" spans="1:15">
      <c r="A2578" s="1">
        <v>45216</v>
      </c>
      <c r="B2578" t="s">
        <v>25</v>
      </c>
      <c r="C2578" t="s">
        <v>21</v>
      </c>
      <c r="D2578">
        <v>1</v>
      </c>
      <c r="E2578" t="s">
        <v>9</v>
      </c>
      <c r="F2578">
        <v>60000</v>
      </c>
      <c r="G2578">
        <v>31000</v>
      </c>
      <c r="H2578">
        <f>Table1[[#This Row],[Qty]]*Table1[[#This Row],[SellingPrice]]</f>
        <v>60000</v>
      </c>
      <c r="I2578">
        <f>Table1[[#This Row],[Qty]]*Table1[[#This Row],[CostPrice]]</f>
        <v>31000</v>
      </c>
      <c r="J2578">
        <v>28797</v>
      </c>
      <c r="K2578">
        <v>202.99999999999997</v>
      </c>
      <c r="L2578" t="s">
        <v>13</v>
      </c>
      <c r="M2578" t="s">
        <v>27</v>
      </c>
      <c r="N2578">
        <f>MONTH(Table1[[#This Row],[SaleDate]])</f>
        <v>10</v>
      </c>
      <c r="O2578" t="str">
        <f>TEXT(Table1[[#This Row],[SaleDate]],"MMM")</f>
        <v>Oct</v>
      </c>
    </row>
    <row r="2579" spans="1:15">
      <c r="A2579" s="1">
        <v>45216</v>
      </c>
      <c r="B2579" t="s">
        <v>25</v>
      </c>
      <c r="C2579" t="s">
        <v>21</v>
      </c>
      <c r="D2579">
        <v>1</v>
      </c>
      <c r="E2579" t="s">
        <v>10</v>
      </c>
      <c r="F2579">
        <v>89000</v>
      </c>
      <c r="G2579">
        <v>65000</v>
      </c>
      <c r="H2579">
        <f>Table1[[#This Row],[Qty]]*Table1[[#This Row],[SellingPrice]]</f>
        <v>89000</v>
      </c>
      <c r="I2579">
        <f>Table1[[#This Row],[Qty]]*Table1[[#This Row],[CostPrice]]</f>
        <v>65000</v>
      </c>
      <c r="J2579">
        <v>23832</v>
      </c>
      <c r="K2579">
        <v>167.99999999999997</v>
      </c>
      <c r="L2579" t="s">
        <v>13</v>
      </c>
      <c r="M2579" t="s">
        <v>27</v>
      </c>
      <c r="N2579">
        <f>MONTH(Table1[[#This Row],[SaleDate]])</f>
        <v>10</v>
      </c>
      <c r="O2579" t="str">
        <f>TEXT(Table1[[#This Row],[SaleDate]],"MMM")</f>
        <v>Oct</v>
      </c>
    </row>
    <row r="2580" spans="1:15">
      <c r="A2580" s="1">
        <v>45217</v>
      </c>
      <c r="B2580" t="s">
        <v>23</v>
      </c>
      <c r="C2580" t="s">
        <v>19</v>
      </c>
      <c r="D2580">
        <v>1</v>
      </c>
      <c r="E2580" t="s">
        <v>7</v>
      </c>
      <c r="F2580">
        <v>33000</v>
      </c>
      <c r="G2580">
        <v>18000</v>
      </c>
      <c r="H2580">
        <f>Table1[[#This Row],[Qty]]*Table1[[#This Row],[SellingPrice]]</f>
        <v>33000</v>
      </c>
      <c r="I2580">
        <f>Table1[[#This Row],[Qty]]*Table1[[#This Row],[CostPrice]]</f>
        <v>18000</v>
      </c>
      <c r="J2580">
        <v>14895</v>
      </c>
      <c r="K2580">
        <v>104.99999999999999</v>
      </c>
      <c r="L2580" t="s">
        <v>8</v>
      </c>
      <c r="M2580" t="s">
        <v>29</v>
      </c>
      <c r="N2580">
        <f>MONTH(Table1[[#This Row],[SaleDate]])</f>
        <v>10</v>
      </c>
      <c r="O2580" t="str">
        <f>TEXT(Table1[[#This Row],[SaleDate]],"MMM")</f>
        <v>Oct</v>
      </c>
    </row>
    <row r="2581" spans="1:15">
      <c r="A2581" s="1">
        <v>45217</v>
      </c>
      <c r="B2581" t="s">
        <v>23</v>
      </c>
      <c r="C2581" t="s">
        <v>19</v>
      </c>
      <c r="D2581">
        <v>1</v>
      </c>
      <c r="E2581" t="s">
        <v>9</v>
      </c>
      <c r="F2581">
        <v>60000</v>
      </c>
      <c r="G2581">
        <v>31000</v>
      </c>
      <c r="H2581">
        <f>Table1[[#This Row],[Qty]]*Table1[[#This Row],[SellingPrice]]</f>
        <v>60000</v>
      </c>
      <c r="I2581">
        <f>Table1[[#This Row],[Qty]]*Table1[[#This Row],[CostPrice]]</f>
        <v>31000</v>
      </c>
      <c r="J2581">
        <v>28797</v>
      </c>
      <c r="K2581">
        <v>202.99999999999997</v>
      </c>
      <c r="L2581" t="s">
        <v>8</v>
      </c>
      <c r="M2581" t="s">
        <v>27</v>
      </c>
      <c r="N2581">
        <f>MONTH(Table1[[#This Row],[SaleDate]])</f>
        <v>10</v>
      </c>
      <c r="O2581" t="str">
        <f>TEXT(Table1[[#This Row],[SaleDate]],"MMM")</f>
        <v>Oct</v>
      </c>
    </row>
    <row r="2582" spans="1:15">
      <c r="A2582" s="1">
        <v>45217</v>
      </c>
      <c r="B2582" t="s">
        <v>23</v>
      </c>
      <c r="C2582" t="s">
        <v>19</v>
      </c>
      <c r="D2582">
        <v>1</v>
      </c>
      <c r="E2582" t="s">
        <v>10</v>
      </c>
      <c r="F2582">
        <v>89000</v>
      </c>
      <c r="G2582">
        <v>65000</v>
      </c>
      <c r="H2582">
        <f>Table1[[#This Row],[Qty]]*Table1[[#This Row],[SellingPrice]]</f>
        <v>89000</v>
      </c>
      <c r="I2582">
        <f>Table1[[#This Row],[Qty]]*Table1[[#This Row],[CostPrice]]</f>
        <v>65000</v>
      </c>
      <c r="J2582">
        <v>23832</v>
      </c>
      <c r="K2582">
        <v>167.99999999999997</v>
      </c>
      <c r="L2582" t="s">
        <v>8</v>
      </c>
      <c r="M2582" t="s">
        <v>27</v>
      </c>
      <c r="N2582">
        <f>MONTH(Table1[[#This Row],[SaleDate]])</f>
        <v>10</v>
      </c>
      <c r="O2582" t="str">
        <f>TEXT(Table1[[#This Row],[SaleDate]],"MMM")</f>
        <v>Oct</v>
      </c>
    </row>
    <row r="2583" spans="1:15">
      <c r="A2583" s="1">
        <v>45217</v>
      </c>
      <c r="B2583" t="s">
        <v>24</v>
      </c>
      <c r="C2583" t="s">
        <v>22</v>
      </c>
      <c r="D2583">
        <v>1</v>
      </c>
      <c r="E2583" t="s">
        <v>7</v>
      </c>
      <c r="F2583">
        <v>33000</v>
      </c>
      <c r="G2583">
        <v>18000</v>
      </c>
      <c r="H2583">
        <f>Table1[[#This Row],[Qty]]*Table1[[#This Row],[SellingPrice]]</f>
        <v>33000</v>
      </c>
      <c r="I2583">
        <f>Table1[[#This Row],[Qty]]*Table1[[#This Row],[CostPrice]]</f>
        <v>18000</v>
      </c>
      <c r="J2583">
        <v>14895</v>
      </c>
      <c r="K2583">
        <v>104.99999999999999</v>
      </c>
      <c r="L2583" t="s">
        <v>12</v>
      </c>
      <c r="M2583" t="s">
        <v>29</v>
      </c>
      <c r="N2583">
        <f>MONTH(Table1[[#This Row],[SaleDate]])</f>
        <v>10</v>
      </c>
      <c r="O2583" t="str">
        <f>TEXT(Table1[[#This Row],[SaleDate]],"MMM")</f>
        <v>Oct</v>
      </c>
    </row>
    <row r="2584" spans="1:15">
      <c r="A2584" s="1">
        <v>45217</v>
      </c>
      <c r="B2584" t="s">
        <v>24</v>
      </c>
      <c r="C2584" t="s">
        <v>22</v>
      </c>
      <c r="D2584">
        <v>1</v>
      </c>
      <c r="E2584" t="s">
        <v>9</v>
      </c>
      <c r="F2584">
        <v>60000</v>
      </c>
      <c r="G2584">
        <v>31000</v>
      </c>
      <c r="H2584">
        <f>Table1[[#This Row],[Qty]]*Table1[[#This Row],[SellingPrice]]</f>
        <v>60000</v>
      </c>
      <c r="I2584">
        <f>Table1[[#This Row],[Qty]]*Table1[[#This Row],[CostPrice]]</f>
        <v>31000</v>
      </c>
      <c r="J2584">
        <v>28797</v>
      </c>
      <c r="K2584">
        <v>202.99999999999997</v>
      </c>
      <c r="L2584" t="s">
        <v>12</v>
      </c>
      <c r="M2584" t="s">
        <v>27</v>
      </c>
      <c r="N2584">
        <f>MONTH(Table1[[#This Row],[SaleDate]])</f>
        <v>10</v>
      </c>
      <c r="O2584" t="str">
        <f>TEXT(Table1[[#This Row],[SaleDate]],"MMM")</f>
        <v>Oct</v>
      </c>
    </row>
    <row r="2585" spans="1:15">
      <c r="A2585" s="1">
        <v>45217</v>
      </c>
      <c r="B2585" t="s">
        <v>24</v>
      </c>
      <c r="C2585" t="s">
        <v>22</v>
      </c>
      <c r="D2585">
        <v>1</v>
      </c>
      <c r="E2585" t="s">
        <v>10</v>
      </c>
      <c r="F2585">
        <v>89000</v>
      </c>
      <c r="G2585">
        <v>65000</v>
      </c>
      <c r="H2585">
        <f>Table1[[#This Row],[Qty]]*Table1[[#This Row],[SellingPrice]]</f>
        <v>89000</v>
      </c>
      <c r="I2585">
        <f>Table1[[#This Row],[Qty]]*Table1[[#This Row],[CostPrice]]</f>
        <v>65000</v>
      </c>
      <c r="J2585">
        <v>23832</v>
      </c>
      <c r="K2585">
        <v>167.99999999999997</v>
      </c>
      <c r="L2585" t="s">
        <v>12</v>
      </c>
      <c r="M2585" t="s">
        <v>29</v>
      </c>
      <c r="N2585">
        <f>MONTH(Table1[[#This Row],[SaleDate]])</f>
        <v>10</v>
      </c>
      <c r="O2585" t="str">
        <f>TEXT(Table1[[#This Row],[SaleDate]],"MMM")</f>
        <v>Oct</v>
      </c>
    </row>
    <row r="2586" spans="1:15">
      <c r="A2586" s="1">
        <v>45217</v>
      </c>
      <c r="B2586" t="s">
        <v>25</v>
      </c>
      <c r="C2586" t="s">
        <v>21</v>
      </c>
      <c r="D2586">
        <v>1</v>
      </c>
      <c r="E2586" t="s">
        <v>7</v>
      </c>
      <c r="F2586">
        <v>33000</v>
      </c>
      <c r="G2586">
        <v>18000</v>
      </c>
      <c r="H2586">
        <f>Table1[[#This Row],[Qty]]*Table1[[#This Row],[SellingPrice]]</f>
        <v>33000</v>
      </c>
      <c r="I2586">
        <f>Table1[[#This Row],[Qty]]*Table1[[#This Row],[CostPrice]]</f>
        <v>18000</v>
      </c>
      <c r="J2586">
        <v>14895</v>
      </c>
      <c r="K2586">
        <v>104.99999999999999</v>
      </c>
      <c r="L2586" t="s">
        <v>13</v>
      </c>
      <c r="M2586" t="s">
        <v>27</v>
      </c>
      <c r="N2586">
        <f>MONTH(Table1[[#This Row],[SaleDate]])</f>
        <v>10</v>
      </c>
      <c r="O2586" t="str">
        <f>TEXT(Table1[[#This Row],[SaleDate]],"MMM")</f>
        <v>Oct</v>
      </c>
    </row>
    <row r="2587" spans="1:15">
      <c r="A2587" s="1">
        <v>45217</v>
      </c>
      <c r="B2587" t="s">
        <v>25</v>
      </c>
      <c r="C2587" t="s">
        <v>21</v>
      </c>
      <c r="D2587">
        <v>1</v>
      </c>
      <c r="E2587" t="s">
        <v>9</v>
      </c>
      <c r="F2587">
        <v>60000</v>
      </c>
      <c r="G2587">
        <v>31000</v>
      </c>
      <c r="H2587">
        <f>Table1[[#This Row],[Qty]]*Table1[[#This Row],[SellingPrice]]</f>
        <v>60000</v>
      </c>
      <c r="I2587">
        <f>Table1[[#This Row],[Qty]]*Table1[[#This Row],[CostPrice]]</f>
        <v>31000</v>
      </c>
      <c r="J2587">
        <v>28797</v>
      </c>
      <c r="K2587">
        <v>202.99999999999997</v>
      </c>
      <c r="L2587" t="s">
        <v>13</v>
      </c>
      <c r="M2587" t="s">
        <v>28</v>
      </c>
      <c r="N2587">
        <f>MONTH(Table1[[#This Row],[SaleDate]])</f>
        <v>10</v>
      </c>
      <c r="O2587" t="str">
        <f>TEXT(Table1[[#This Row],[SaleDate]],"MMM")</f>
        <v>Oct</v>
      </c>
    </row>
    <row r="2588" spans="1:15">
      <c r="A2588" s="1">
        <v>45217</v>
      </c>
      <c r="B2588" t="s">
        <v>25</v>
      </c>
      <c r="C2588" t="s">
        <v>21</v>
      </c>
      <c r="D2588">
        <v>1</v>
      </c>
      <c r="E2588" t="s">
        <v>10</v>
      </c>
      <c r="F2588">
        <v>89000</v>
      </c>
      <c r="G2588">
        <v>65000</v>
      </c>
      <c r="H2588">
        <f>Table1[[#This Row],[Qty]]*Table1[[#This Row],[SellingPrice]]</f>
        <v>89000</v>
      </c>
      <c r="I2588">
        <f>Table1[[#This Row],[Qty]]*Table1[[#This Row],[CostPrice]]</f>
        <v>65000</v>
      </c>
      <c r="J2588">
        <v>23832</v>
      </c>
      <c r="K2588">
        <v>167.99999999999997</v>
      </c>
      <c r="L2588" t="s">
        <v>13</v>
      </c>
      <c r="M2588" t="s">
        <v>28</v>
      </c>
      <c r="N2588">
        <f>MONTH(Table1[[#This Row],[SaleDate]])</f>
        <v>10</v>
      </c>
      <c r="O2588" t="str">
        <f>TEXT(Table1[[#This Row],[SaleDate]],"MMM")</f>
        <v>Oct</v>
      </c>
    </row>
    <row r="2589" spans="1:15">
      <c r="A2589" s="1">
        <v>45218</v>
      </c>
      <c r="B2589" t="s">
        <v>23</v>
      </c>
      <c r="C2589" t="s">
        <v>19</v>
      </c>
      <c r="D2589">
        <v>2</v>
      </c>
      <c r="E2589" t="s">
        <v>7</v>
      </c>
      <c r="F2589">
        <v>33000</v>
      </c>
      <c r="G2589">
        <v>18000</v>
      </c>
      <c r="H2589">
        <f>Table1[[#This Row],[Qty]]*Table1[[#This Row],[SellingPrice]]</f>
        <v>66000</v>
      </c>
      <c r="I2589">
        <f>Table1[[#This Row],[Qty]]*Table1[[#This Row],[CostPrice]]</f>
        <v>36000</v>
      </c>
      <c r="J2589">
        <v>29790</v>
      </c>
      <c r="K2589">
        <v>209.99999999999997</v>
      </c>
      <c r="L2589" t="s">
        <v>8</v>
      </c>
      <c r="M2589" t="s">
        <v>29</v>
      </c>
      <c r="N2589">
        <f>MONTH(Table1[[#This Row],[SaleDate]])</f>
        <v>10</v>
      </c>
      <c r="O2589" t="str">
        <f>TEXT(Table1[[#This Row],[SaleDate]],"MMM")</f>
        <v>Oct</v>
      </c>
    </row>
    <row r="2590" spans="1:15">
      <c r="A2590" s="1">
        <v>45218</v>
      </c>
      <c r="B2590" t="s">
        <v>23</v>
      </c>
      <c r="C2590" t="s">
        <v>19</v>
      </c>
      <c r="D2590">
        <v>2</v>
      </c>
      <c r="E2590" t="s">
        <v>9</v>
      </c>
      <c r="F2590">
        <v>60000</v>
      </c>
      <c r="G2590">
        <v>31000</v>
      </c>
      <c r="H2590">
        <f>Table1[[#This Row],[Qty]]*Table1[[#This Row],[SellingPrice]]</f>
        <v>120000</v>
      </c>
      <c r="I2590">
        <f>Table1[[#This Row],[Qty]]*Table1[[#This Row],[CostPrice]]</f>
        <v>62000</v>
      </c>
      <c r="J2590">
        <v>57594</v>
      </c>
      <c r="K2590">
        <v>405.99999999999994</v>
      </c>
      <c r="L2590" t="s">
        <v>8</v>
      </c>
      <c r="M2590" t="s">
        <v>29</v>
      </c>
      <c r="N2590">
        <f>MONTH(Table1[[#This Row],[SaleDate]])</f>
        <v>10</v>
      </c>
      <c r="O2590" t="str">
        <f>TEXT(Table1[[#This Row],[SaleDate]],"MMM")</f>
        <v>Oct</v>
      </c>
    </row>
    <row r="2591" spans="1:15">
      <c r="A2591" s="1">
        <v>45218</v>
      </c>
      <c r="B2591" t="s">
        <v>23</v>
      </c>
      <c r="C2591" t="s">
        <v>19</v>
      </c>
      <c r="D2591">
        <v>2</v>
      </c>
      <c r="E2591" t="s">
        <v>10</v>
      </c>
      <c r="F2591">
        <v>89000</v>
      </c>
      <c r="G2591">
        <v>65000</v>
      </c>
      <c r="H2591">
        <f>Table1[[#This Row],[Qty]]*Table1[[#This Row],[SellingPrice]]</f>
        <v>178000</v>
      </c>
      <c r="I2591">
        <f>Table1[[#This Row],[Qty]]*Table1[[#This Row],[CostPrice]]</f>
        <v>130000</v>
      </c>
      <c r="J2591">
        <v>47664</v>
      </c>
      <c r="K2591">
        <v>335.99999999999994</v>
      </c>
      <c r="L2591" t="s">
        <v>8</v>
      </c>
      <c r="M2591" t="s">
        <v>30</v>
      </c>
      <c r="N2591">
        <f>MONTH(Table1[[#This Row],[SaleDate]])</f>
        <v>10</v>
      </c>
      <c r="O2591" t="str">
        <f>TEXT(Table1[[#This Row],[SaleDate]],"MMM")</f>
        <v>Oct</v>
      </c>
    </row>
    <row r="2592" spans="1:15">
      <c r="A2592" s="1">
        <v>45218</v>
      </c>
      <c r="B2592" t="s">
        <v>24</v>
      </c>
      <c r="C2592" t="s">
        <v>22</v>
      </c>
      <c r="D2592">
        <v>2</v>
      </c>
      <c r="E2592" t="s">
        <v>7</v>
      </c>
      <c r="F2592">
        <v>33000</v>
      </c>
      <c r="G2592">
        <v>18000</v>
      </c>
      <c r="H2592">
        <f>Table1[[#This Row],[Qty]]*Table1[[#This Row],[SellingPrice]]</f>
        <v>66000</v>
      </c>
      <c r="I2592">
        <f>Table1[[#This Row],[Qty]]*Table1[[#This Row],[CostPrice]]</f>
        <v>36000</v>
      </c>
      <c r="J2592">
        <v>29790</v>
      </c>
      <c r="K2592">
        <v>209.99999999999997</v>
      </c>
      <c r="L2592" t="s">
        <v>12</v>
      </c>
      <c r="M2592" t="s">
        <v>27</v>
      </c>
      <c r="N2592">
        <f>MONTH(Table1[[#This Row],[SaleDate]])</f>
        <v>10</v>
      </c>
      <c r="O2592" t="str">
        <f>TEXT(Table1[[#This Row],[SaleDate]],"MMM")</f>
        <v>Oct</v>
      </c>
    </row>
    <row r="2593" spans="1:15">
      <c r="A2593" s="1">
        <v>45218</v>
      </c>
      <c r="B2593" t="s">
        <v>24</v>
      </c>
      <c r="C2593" t="s">
        <v>22</v>
      </c>
      <c r="D2593">
        <v>2</v>
      </c>
      <c r="E2593" t="s">
        <v>9</v>
      </c>
      <c r="F2593">
        <v>60000</v>
      </c>
      <c r="G2593">
        <v>31000</v>
      </c>
      <c r="H2593">
        <f>Table1[[#This Row],[Qty]]*Table1[[#This Row],[SellingPrice]]</f>
        <v>120000</v>
      </c>
      <c r="I2593">
        <f>Table1[[#This Row],[Qty]]*Table1[[#This Row],[CostPrice]]</f>
        <v>62000</v>
      </c>
      <c r="J2593">
        <v>57594</v>
      </c>
      <c r="K2593">
        <v>405.99999999999994</v>
      </c>
      <c r="L2593" t="s">
        <v>12</v>
      </c>
      <c r="M2593" t="s">
        <v>27</v>
      </c>
      <c r="N2593">
        <f>MONTH(Table1[[#This Row],[SaleDate]])</f>
        <v>10</v>
      </c>
      <c r="O2593" t="str">
        <f>TEXT(Table1[[#This Row],[SaleDate]],"MMM")</f>
        <v>Oct</v>
      </c>
    </row>
    <row r="2594" spans="1:15">
      <c r="A2594" s="1">
        <v>45218</v>
      </c>
      <c r="B2594" t="s">
        <v>24</v>
      </c>
      <c r="C2594" t="s">
        <v>22</v>
      </c>
      <c r="D2594">
        <v>2</v>
      </c>
      <c r="E2594" t="s">
        <v>10</v>
      </c>
      <c r="F2594">
        <v>89000</v>
      </c>
      <c r="G2594">
        <v>65000</v>
      </c>
      <c r="H2594">
        <f>Table1[[#This Row],[Qty]]*Table1[[#This Row],[SellingPrice]]</f>
        <v>178000</v>
      </c>
      <c r="I2594">
        <f>Table1[[#This Row],[Qty]]*Table1[[#This Row],[CostPrice]]</f>
        <v>130000</v>
      </c>
      <c r="J2594">
        <v>47664</v>
      </c>
      <c r="K2594">
        <v>335.99999999999994</v>
      </c>
      <c r="L2594" t="s">
        <v>12</v>
      </c>
      <c r="M2594" t="s">
        <v>27</v>
      </c>
      <c r="N2594">
        <f>MONTH(Table1[[#This Row],[SaleDate]])</f>
        <v>10</v>
      </c>
      <c r="O2594" t="str">
        <f>TEXT(Table1[[#This Row],[SaleDate]],"MMM")</f>
        <v>Oct</v>
      </c>
    </row>
    <row r="2595" spans="1:15">
      <c r="A2595" s="1">
        <v>45218</v>
      </c>
      <c r="B2595" t="s">
        <v>25</v>
      </c>
      <c r="C2595" t="s">
        <v>21</v>
      </c>
      <c r="D2595">
        <v>2</v>
      </c>
      <c r="E2595" t="s">
        <v>7</v>
      </c>
      <c r="F2595">
        <v>33000</v>
      </c>
      <c r="G2595">
        <v>18000</v>
      </c>
      <c r="H2595">
        <f>Table1[[#This Row],[Qty]]*Table1[[#This Row],[SellingPrice]]</f>
        <v>66000</v>
      </c>
      <c r="I2595">
        <f>Table1[[#This Row],[Qty]]*Table1[[#This Row],[CostPrice]]</f>
        <v>36000</v>
      </c>
      <c r="J2595">
        <v>29790</v>
      </c>
      <c r="K2595">
        <v>209.99999999999997</v>
      </c>
      <c r="L2595" t="s">
        <v>13</v>
      </c>
      <c r="M2595" t="s">
        <v>30</v>
      </c>
      <c r="N2595">
        <f>MONTH(Table1[[#This Row],[SaleDate]])</f>
        <v>10</v>
      </c>
      <c r="O2595" t="str">
        <f>TEXT(Table1[[#This Row],[SaleDate]],"MMM")</f>
        <v>Oct</v>
      </c>
    </row>
    <row r="2596" spans="1:15">
      <c r="A2596" s="1">
        <v>45218</v>
      </c>
      <c r="B2596" t="s">
        <v>25</v>
      </c>
      <c r="C2596" t="s">
        <v>21</v>
      </c>
      <c r="D2596">
        <v>2</v>
      </c>
      <c r="E2596" t="s">
        <v>9</v>
      </c>
      <c r="F2596">
        <v>60000</v>
      </c>
      <c r="G2596">
        <v>31000</v>
      </c>
      <c r="H2596">
        <f>Table1[[#This Row],[Qty]]*Table1[[#This Row],[SellingPrice]]</f>
        <v>120000</v>
      </c>
      <c r="I2596">
        <f>Table1[[#This Row],[Qty]]*Table1[[#This Row],[CostPrice]]</f>
        <v>62000</v>
      </c>
      <c r="J2596">
        <v>57594</v>
      </c>
      <c r="K2596">
        <v>405.99999999999994</v>
      </c>
      <c r="L2596" t="s">
        <v>13</v>
      </c>
      <c r="M2596" t="s">
        <v>28</v>
      </c>
      <c r="N2596">
        <f>MONTH(Table1[[#This Row],[SaleDate]])</f>
        <v>10</v>
      </c>
      <c r="O2596" t="str">
        <f>TEXT(Table1[[#This Row],[SaleDate]],"MMM")</f>
        <v>Oct</v>
      </c>
    </row>
    <row r="2597" spans="1:15">
      <c r="A2597" s="1">
        <v>45218</v>
      </c>
      <c r="B2597" t="s">
        <v>25</v>
      </c>
      <c r="C2597" t="s">
        <v>21</v>
      </c>
      <c r="D2597">
        <v>2</v>
      </c>
      <c r="E2597" t="s">
        <v>10</v>
      </c>
      <c r="F2597">
        <v>89000</v>
      </c>
      <c r="G2597">
        <v>65000</v>
      </c>
      <c r="H2597">
        <f>Table1[[#This Row],[Qty]]*Table1[[#This Row],[SellingPrice]]</f>
        <v>178000</v>
      </c>
      <c r="I2597">
        <f>Table1[[#This Row],[Qty]]*Table1[[#This Row],[CostPrice]]</f>
        <v>130000</v>
      </c>
      <c r="J2597">
        <v>47664</v>
      </c>
      <c r="K2597">
        <v>335.99999999999994</v>
      </c>
      <c r="L2597" t="s">
        <v>13</v>
      </c>
      <c r="M2597" t="s">
        <v>29</v>
      </c>
      <c r="N2597">
        <f>MONTH(Table1[[#This Row],[SaleDate]])</f>
        <v>10</v>
      </c>
      <c r="O2597" t="str">
        <f>TEXT(Table1[[#This Row],[SaleDate]],"MMM")</f>
        <v>Oct</v>
      </c>
    </row>
    <row r="2598" spans="1:15">
      <c r="A2598" s="1">
        <v>45219</v>
      </c>
      <c r="B2598" t="s">
        <v>23</v>
      </c>
      <c r="C2598" t="s">
        <v>19</v>
      </c>
      <c r="D2598">
        <v>1</v>
      </c>
      <c r="E2598" t="s">
        <v>7</v>
      </c>
      <c r="F2598">
        <v>33000</v>
      </c>
      <c r="G2598">
        <v>18000</v>
      </c>
      <c r="H2598">
        <f>Table1[[#This Row],[Qty]]*Table1[[#This Row],[SellingPrice]]</f>
        <v>33000</v>
      </c>
      <c r="I2598">
        <f>Table1[[#This Row],[Qty]]*Table1[[#This Row],[CostPrice]]</f>
        <v>18000</v>
      </c>
      <c r="J2598">
        <v>14895</v>
      </c>
      <c r="K2598">
        <v>104.99999999999999</v>
      </c>
      <c r="L2598" t="s">
        <v>8</v>
      </c>
      <c r="M2598" t="s">
        <v>30</v>
      </c>
      <c r="N2598">
        <f>MONTH(Table1[[#This Row],[SaleDate]])</f>
        <v>10</v>
      </c>
      <c r="O2598" t="str">
        <f>TEXT(Table1[[#This Row],[SaleDate]],"MMM")</f>
        <v>Oct</v>
      </c>
    </row>
    <row r="2599" spans="1:15">
      <c r="A2599" s="1">
        <v>45219</v>
      </c>
      <c r="B2599" t="s">
        <v>23</v>
      </c>
      <c r="C2599" t="s">
        <v>19</v>
      </c>
      <c r="D2599">
        <v>1</v>
      </c>
      <c r="E2599" t="s">
        <v>9</v>
      </c>
      <c r="F2599">
        <v>60000</v>
      </c>
      <c r="G2599">
        <v>31000</v>
      </c>
      <c r="H2599">
        <f>Table1[[#This Row],[Qty]]*Table1[[#This Row],[SellingPrice]]</f>
        <v>60000</v>
      </c>
      <c r="I2599">
        <f>Table1[[#This Row],[Qty]]*Table1[[#This Row],[CostPrice]]</f>
        <v>31000</v>
      </c>
      <c r="J2599">
        <v>28797</v>
      </c>
      <c r="K2599">
        <v>202.99999999999997</v>
      </c>
      <c r="L2599" t="s">
        <v>8</v>
      </c>
      <c r="M2599" t="s">
        <v>30</v>
      </c>
      <c r="N2599">
        <f>MONTH(Table1[[#This Row],[SaleDate]])</f>
        <v>10</v>
      </c>
      <c r="O2599" t="str">
        <f>TEXT(Table1[[#This Row],[SaleDate]],"MMM")</f>
        <v>Oct</v>
      </c>
    </row>
    <row r="2600" spans="1:15">
      <c r="A2600" s="1">
        <v>45219</v>
      </c>
      <c r="B2600" t="s">
        <v>23</v>
      </c>
      <c r="C2600" t="s">
        <v>19</v>
      </c>
      <c r="D2600">
        <v>1</v>
      </c>
      <c r="E2600" t="s">
        <v>10</v>
      </c>
      <c r="F2600">
        <v>89000</v>
      </c>
      <c r="G2600">
        <v>65000</v>
      </c>
      <c r="H2600">
        <f>Table1[[#This Row],[Qty]]*Table1[[#This Row],[SellingPrice]]</f>
        <v>89000</v>
      </c>
      <c r="I2600">
        <f>Table1[[#This Row],[Qty]]*Table1[[#This Row],[CostPrice]]</f>
        <v>65000</v>
      </c>
      <c r="J2600">
        <v>23832</v>
      </c>
      <c r="K2600">
        <v>167.99999999999997</v>
      </c>
      <c r="L2600" t="s">
        <v>8</v>
      </c>
      <c r="M2600" t="s">
        <v>29</v>
      </c>
      <c r="N2600">
        <f>MONTH(Table1[[#This Row],[SaleDate]])</f>
        <v>10</v>
      </c>
      <c r="O2600" t="str">
        <f>TEXT(Table1[[#This Row],[SaleDate]],"MMM")</f>
        <v>Oct</v>
      </c>
    </row>
    <row r="2601" spans="1:15">
      <c r="A2601" s="1">
        <v>45219</v>
      </c>
      <c r="B2601" t="s">
        <v>24</v>
      </c>
      <c r="C2601" t="s">
        <v>22</v>
      </c>
      <c r="D2601">
        <v>1</v>
      </c>
      <c r="E2601" t="s">
        <v>7</v>
      </c>
      <c r="F2601">
        <v>33000</v>
      </c>
      <c r="G2601">
        <v>18000</v>
      </c>
      <c r="H2601">
        <f>Table1[[#This Row],[Qty]]*Table1[[#This Row],[SellingPrice]]</f>
        <v>33000</v>
      </c>
      <c r="I2601">
        <f>Table1[[#This Row],[Qty]]*Table1[[#This Row],[CostPrice]]</f>
        <v>18000</v>
      </c>
      <c r="J2601">
        <v>14895</v>
      </c>
      <c r="K2601">
        <v>104.99999999999999</v>
      </c>
      <c r="L2601" t="s">
        <v>12</v>
      </c>
      <c r="M2601" t="s">
        <v>30</v>
      </c>
      <c r="N2601">
        <f>MONTH(Table1[[#This Row],[SaleDate]])</f>
        <v>10</v>
      </c>
      <c r="O2601" t="str">
        <f>TEXT(Table1[[#This Row],[SaleDate]],"MMM")</f>
        <v>Oct</v>
      </c>
    </row>
    <row r="2602" spans="1:15">
      <c r="A2602" s="1">
        <v>45219</v>
      </c>
      <c r="B2602" t="s">
        <v>24</v>
      </c>
      <c r="C2602" t="s">
        <v>22</v>
      </c>
      <c r="D2602">
        <v>1</v>
      </c>
      <c r="E2602" t="s">
        <v>9</v>
      </c>
      <c r="F2602">
        <v>60000</v>
      </c>
      <c r="G2602">
        <v>31000</v>
      </c>
      <c r="H2602">
        <f>Table1[[#This Row],[Qty]]*Table1[[#This Row],[SellingPrice]]</f>
        <v>60000</v>
      </c>
      <c r="I2602">
        <f>Table1[[#This Row],[Qty]]*Table1[[#This Row],[CostPrice]]</f>
        <v>31000</v>
      </c>
      <c r="J2602">
        <v>28797</v>
      </c>
      <c r="K2602">
        <v>202.99999999999997</v>
      </c>
      <c r="L2602" t="s">
        <v>12</v>
      </c>
      <c r="M2602" t="s">
        <v>27</v>
      </c>
      <c r="N2602">
        <f>MONTH(Table1[[#This Row],[SaleDate]])</f>
        <v>10</v>
      </c>
      <c r="O2602" t="str">
        <f>TEXT(Table1[[#This Row],[SaleDate]],"MMM")</f>
        <v>Oct</v>
      </c>
    </row>
    <row r="2603" spans="1:15">
      <c r="A2603" s="1">
        <v>45219</v>
      </c>
      <c r="B2603" t="s">
        <v>24</v>
      </c>
      <c r="C2603" t="s">
        <v>22</v>
      </c>
      <c r="D2603">
        <v>1</v>
      </c>
      <c r="E2603" t="s">
        <v>10</v>
      </c>
      <c r="F2603">
        <v>89000</v>
      </c>
      <c r="G2603">
        <v>65000</v>
      </c>
      <c r="H2603">
        <f>Table1[[#This Row],[Qty]]*Table1[[#This Row],[SellingPrice]]</f>
        <v>89000</v>
      </c>
      <c r="I2603">
        <f>Table1[[#This Row],[Qty]]*Table1[[#This Row],[CostPrice]]</f>
        <v>65000</v>
      </c>
      <c r="J2603">
        <v>23832</v>
      </c>
      <c r="K2603">
        <v>167.99999999999997</v>
      </c>
      <c r="L2603" t="s">
        <v>12</v>
      </c>
      <c r="M2603" t="s">
        <v>30</v>
      </c>
      <c r="N2603">
        <f>MONTH(Table1[[#This Row],[SaleDate]])</f>
        <v>10</v>
      </c>
      <c r="O2603" t="str">
        <f>TEXT(Table1[[#This Row],[SaleDate]],"MMM")</f>
        <v>Oct</v>
      </c>
    </row>
    <row r="2604" spans="1:15">
      <c r="A2604" s="1">
        <v>45219</v>
      </c>
      <c r="B2604" t="s">
        <v>25</v>
      </c>
      <c r="C2604" t="s">
        <v>21</v>
      </c>
      <c r="D2604">
        <v>1</v>
      </c>
      <c r="E2604" t="s">
        <v>7</v>
      </c>
      <c r="F2604">
        <v>33000</v>
      </c>
      <c r="G2604">
        <v>18000</v>
      </c>
      <c r="H2604">
        <f>Table1[[#This Row],[Qty]]*Table1[[#This Row],[SellingPrice]]</f>
        <v>33000</v>
      </c>
      <c r="I2604">
        <f>Table1[[#This Row],[Qty]]*Table1[[#This Row],[CostPrice]]</f>
        <v>18000</v>
      </c>
      <c r="J2604">
        <v>14895</v>
      </c>
      <c r="K2604">
        <v>104.99999999999999</v>
      </c>
      <c r="L2604" t="s">
        <v>13</v>
      </c>
      <c r="M2604" t="s">
        <v>28</v>
      </c>
      <c r="N2604">
        <f>MONTH(Table1[[#This Row],[SaleDate]])</f>
        <v>10</v>
      </c>
      <c r="O2604" t="str">
        <f>TEXT(Table1[[#This Row],[SaleDate]],"MMM")</f>
        <v>Oct</v>
      </c>
    </row>
    <row r="2605" spans="1:15">
      <c r="A2605" s="1">
        <v>45219</v>
      </c>
      <c r="B2605" t="s">
        <v>25</v>
      </c>
      <c r="C2605" t="s">
        <v>21</v>
      </c>
      <c r="D2605">
        <v>1</v>
      </c>
      <c r="E2605" t="s">
        <v>9</v>
      </c>
      <c r="F2605">
        <v>60000</v>
      </c>
      <c r="G2605">
        <v>31000</v>
      </c>
      <c r="H2605">
        <f>Table1[[#This Row],[Qty]]*Table1[[#This Row],[SellingPrice]]</f>
        <v>60000</v>
      </c>
      <c r="I2605">
        <f>Table1[[#This Row],[Qty]]*Table1[[#This Row],[CostPrice]]</f>
        <v>31000</v>
      </c>
      <c r="J2605">
        <v>28797</v>
      </c>
      <c r="K2605">
        <v>202.99999999999997</v>
      </c>
      <c r="L2605" t="s">
        <v>13</v>
      </c>
      <c r="M2605" t="s">
        <v>29</v>
      </c>
      <c r="N2605">
        <f>MONTH(Table1[[#This Row],[SaleDate]])</f>
        <v>10</v>
      </c>
      <c r="O2605" t="str">
        <f>TEXT(Table1[[#This Row],[SaleDate]],"MMM")</f>
        <v>Oct</v>
      </c>
    </row>
    <row r="2606" spans="1:15">
      <c r="A2606" s="1">
        <v>45219</v>
      </c>
      <c r="B2606" t="s">
        <v>25</v>
      </c>
      <c r="C2606" t="s">
        <v>21</v>
      </c>
      <c r="D2606">
        <v>1</v>
      </c>
      <c r="E2606" t="s">
        <v>10</v>
      </c>
      <c r="F2606">
        <v>89000</v>
      </c>
      <c r="G2606">
        <v>65000</v>
      </c>
      <c r="H2606">
        <f>Table1[[#This Row],[Qty]]*Table1[[#This Row],[SellingPrice]]</f>
        <v>89000</v>
      </c>
      <c r="I2606">
        <f>Table1[[#This Row],[Qty]]*Table1[[#This Row],[CostPrice]]</f>
        <v>65000</v>
      </c>
      <c r="J2606">
        <v>23832</v>
      </c>
      <c r="K2606">
        <v>167.99999999999997</v>
      </c>
      <c r="L2606" t="s">
        <v>13</v>
      </c>
      <c r="M2606" t="s">
        <v>28</v>
      </c>
      <c r="N2606">
        <f>MONTH(Table1[[#This Row],[SaleDate]])</f>
        <v>10</v>
      </c>
      <c r="O2606" t="str">
        <f>TEXT(Table1[[#This Row],[SaleDate]],"MMM")</f>
        <v>Oct</v>
      </c>
    </row>
    <row r="2607" spans="1:15">
      <c r="A2607" s="1">
        <v>45220</v>
      </c>
      <c r="B2607" t="s">
        <v>23</v>
      </c>
      <c r="C2607" t="s">
        <v>19</v>
      </c>
      <c r="D2607">
        <v>1</v>
      </c>
      <c r="E2607" t="s">
        <v>7</v>
      </c>
      <c r="F2607">
        <v>33000</v>
      </c>
      <c r="G2607">
        <v>18000</v>
      </c>
      <c r="H2607">
        <f>Table1[[#This Row],[Qty]]*Table1[[#This Row],[SellingPrice]]</f>
        <v>33000</v>
      </c>
      <c r="I2607">
        <f>Table1[[#This Row],[Qty]]*Table1[[#This Row],[CostPrice]]</f>
        <v>18000</v>
      </c>
      <c r="J2607">
        <v>14895</v>
      </c>
      <c r="K2607">
        <v>104.99999999999999</v>
      </c>
      <c r="L2607" t="s">
        <v>8</v>
      </c>
      <c r="M2607" t="s">
        <v>29</v>
      </c>
      <c r="N2607">
        <f>MONTH(Table1[[#This Row],[SaleDate]])</f>
        <v>10</v>
      </c>
      <c r="O2607" t="str">
        <f>TEXT(Table1[[#This Row],[SaleDate]],"MMM")</f>
        <v>Oct</v>
      </c>
    </row>
    <row r="2608" spans="1:15">
      <c r="A2608" s="1">
        <v>45220</v>
      </c>
      <c r="B2608" t="s">
        <v>23</v>
      </c>
      <c r="C2608" t="s">
        <v>19</v>
      </c>
      <c r="D2608">
        <v>1</v>
      </c>
      <c r="E2608" t="s">
        <v>9</v>
      </c>
      <c r="F2608">
        <v>60000</v>
      </c>
      <c r="G2608">
        <v>31000</v>
      </c>
      <c r="H2608">
        <f>Table1[[#This Row],[Qty]]*Table1[[#This Row],[SellingPrice]]</f>
        <v>60000</v>
      </c>
      <c r="I2608">
        <f>Table1[[#This Row],[Qty]]*Table1[[#This Row],[CostPrice]]</f>
        <v>31000</v>
      </c>
      <c r="J2608">
        <v>28797</v>
      </c>
      <c r="K2608">
        <v>202.99999999999997</v>
      </c>
      <c r="L2608" t="s">
        <v>8</v>
      </c>
      <c r="M2608" t="s">
        <v>27</v>
      </c>
      <c r="N2608">
        <f>MONTH(Table1[[#This Row],[SaleDate]])</f>
        <v>10</v>
      </c>
      <c r="O2608" t="str">
        <f>TEXT(Table1[[#This Row],[SaleDate]],"MMM")</f>
        <v>Oct</v>
      </c>
    </row>
    <row r="2609" spans="1:15">
      <c r="A2609" s="1">
        <v>45220</v>
      </c>
      <c r="B2609" t="s">
        <v>23</v>
      </c>
      <c r="C2609" t="s">
        <v>19</v>
      </c>
      <c r="D2609">
        <v>1</v>
      </c>
      <c r="E2609" t="s">
        <v>10</v>
      </c>
      <c r="F2609">
        <v>89000</v>
      </c>
      <c r="G2609">
        <v>65000</v>
      </c>
      <c r="H2609">
        <f>Table1[[#This Row],[Qty]]*Table1[[#This Row],[SellingPrice]]</f>
        <v>89000</v>
      </c>
      <c r="I2609">
        <f>Table1[[#This Row],[Qty]]*Table1[[#This Row],[CostPrice]]</f>
        <v>65000</v>
      </c>
      <c r="J2609">
        <v>23832</v>
      </c>
      <c r="K2609">
        <v>167.99999999999997</v>
      </c>
      <c r="L2609" t="s">
        <v>8</v>
      </c>
      <c r="M2609" t="s">
        <v>27</v>
      </c>
      <c r="N2609">
        <f>MONTH(Table1[[#This Row],[SaleDate]])</f>
        <v>10</v>
      </c>
      <c r="O2609" t="str">
        <f>TEXT(Table1[[#This Row],[SaleDate]],"MMM")</f>
        <v>Oct</v>
      </c>
    </row>
    <row r="2610" spans="1:15">
      <c r="A2610" s="1">
        <v>45220</v>
      </c>
      <c r="B2610" t="s">
        <v>24</v>
      </c>
      <c r="C2610" t="s">
        <v>22</v>
      </c>
      <c r="D2610">
        <v>1</v>
      </c>
      <c r="E2610" t="s">
        <v>7</v>
      </c>
      <c r="F2610">
        <v>33000</v>
      </c>
      <c r="G2610">
        <v>18000</v>
      </c>
      <c r="H2610">
        <f>Table1[[#This Row],[Qty]]*Table1[[#This Row],[SellingPrice]]</f>
        <v>33000</v>
      </c>
      <c r="I2610">
        <f>Table1[[#This Row],[Qty]]*Table1[[#This Row],[CostPrice]]</f>
        <v>18000</v>
      </c>
      <c r="J2610">
        <v>14895</v>
      </c>
      <c r="K2610">
        <v>104.99999999999999</v>
      </c>
      <c r="L2610" t="s">
        <v>12</v>
      </c>
      <c r="M2610" t="s">
        <v>30</v>
      </c>
      <c r="N2610">
        <f>MONTH(Table1[[#This Row],[SaleDate]])</f>
        <v>10</v>
      </c>
      <c r="O2610" t="str">
        <f>TEXT(Table1[[#This Row],[SaleDate]],"MMM")</f>
        <v>Oct</v>
      </c>
    </row>
    <row r="2611" spans="1:15">
      <c r="A2611" s="1">
        <v>45220</v>
      </c>
      <c r="B2611" t="s">
        <v>24</v>
      </c>
      <c r="C2611" t="s">
        <v>22</v>
      </c>
      <c r="D2611">
        <v>1</v>
      </c>
      <c r="E2611" t="s">
        <v>9</v>
      </c>
      <c r="F2611">
        <v>60000</v>
      </c>
      <c r="G2611">
        <v>31000</v>
      </c>
      <c r="H2611">
        <f>Table1[[#This Row],[Qty]]*Table1[[#This Row],[SellingPrice]]</f>
        <v>60000</v>
      </c>
      <c r="I2611">
        <f>Table1[[#This Row],[Qty]]*Table1[[#This Row],[CostPrice]]</f>
        <v>31000</v>
      </c>
      <c r="J2611">
        <v>28797</v>
      </c>
      <c r="K2611">
        <v>202.99999999999997</v>
      </c>
      <c r="L2611" t="s">
        <v>12</v>
      </c>
      <c r="M2611" t="s">
        <v>29</v>
      </c>
      <c r="N2611">
        <f>MONTH(Table1[[#This Row],[SaleDate]])</f>
        <v>10</v>
      </c>
      <c r="O2611" t="str">
        <f>TEXT(Table1[[#This Row],[SaleDate]],"MMM")</f>
        <v>Oct</v>
      </c>
    </row>
    <row r="2612" spans="1:15">
      <c r="A2612" s="1">
        <v>45220</v>
      </c>
      <c r="B2612" t="s">
        <v>24</v>
      </c>
      <c r="C2612" t="s">
        <v>22</v>
      </c>
      <c r="D2612">
        <v>1</v>
      </c>
      <c r="E2612" t="s">
        <v>10</v>
      </c>
      <c r="F2612">
        <v>89000</v>
      </c>
      <c r="G2612">
        <v>65000</v>
      </c>
      <c r="H2612">
        <f>Table1[[#This Row],[Qty]]*Table1[[#This Row],[SellingPrice]]</f>
        <v>89000</v>
      </c>
      <c r="I2612">
        <f>Table1[[#This Row],[Qty]]*Table1[[#This Row],[CostPrice]]</f>
        <v>65000</v>
      </c>
      <c r="J2612">
        <v>23832</v>
      </c>
      <c r="K2612">
        <v>167.99999999999997</v>
      </c>
      <c r="L2612" t="s">
        <v>12</v>
      </c>
      <c r="M2612" t="s">
        <v>30</v>
      </c>
      <c r="N2612">
        <f>MONTH(Table1[[#This Row],[SaleDate]])</f>
        <v>10</v>
      </c>
      <c r="O2612" t="str">
        <f>TEXT(Table1[[#This Row],[SaleDate]],"MMM")</f>
        <v>Oct</v>
      </c>
    </row>
    <row r="2613" spans="1:15">
      <c r="A2613" s="1">
        <v>45220</v>
      </c>
      <c r="B2613" t="s">
        <v>25</v>
      </c>
      <c r="C2613" t="s">
        <v>21</v>
      </c>
      <c r="D2613">
        <v>1</v>
      </c>
      <c r="E2613" t="s">
        <v>7</v>
      </c>
      <c r="F2613">
        <v>33000</v>
      </c>
      <c r="G2613">
        <v>18000</v>
      </c>
      <c r="H2613">
        <f>Table1[[#This Row],[Qty]]*Table1[[#This Row],[SellingPrice]]</f>
        <v>33000</v>
      </c>
      <c r="I2613">
        <f>Table1[[#This Row],[Qty]]*Table1[[#This Row],[CostPrice]]</f>
        <v>18000</v>
      </c>
      <c r="J2613">
        <v>14895</v>
      </c>
      <c r="K2613">
        <v>104.99999999999999</v>
      </c>
      <c r="L2613" t="s">
        <v>13</v>
      </c>
      <c r="M2613" t="s">
        <v>27</v>
      </c>
      <c r="N2613">
        <f>MONTH(Table1[[#This Row],[SaleDate]])</f>
        <v>10</v>
      </c>
      <c r="O2613" t="str">
        <f>TEXT(Table1[[#This Row],[SaleDate]],"MMM")</f>
        <v>Oct</v>
      </c>
    </row>
    <row r="2614" spans="1:15">
      <c r="A2614" s="1">
        <v>45220</v>
      </c>
      <c r="B2614" t="s">
        <v>25</v>
      </c>
      <c r="C2614" t="s">
        <v>21</v>
      </c>
      <c r="D2614">
        <v>1</v>
      </c>
      <c r="E2614" t="s">
        <v>9</v>
      </c>
      <c r="F2614">
        <v>60000</v>
      </c>
      <c r="G2614">
        <v>31000</v>
      </c>
      <c r="H2614">
        <f>Table1[[#This Row],[Qty]]*Table1[[#This Row],[SellingPrice]]</f>
        <v>60000</v>
      </c>
      <c r="I2614">
        <f>Table1[[#This Row],[Qty]]*Table1[[#This Row],[CostPrice]]</f>
        <v>31000</v>
      </c>
      <c r="J2614">
        <v>28797</v>
      </c>
      <c r="K2614">
        <v>202.99999999999997</v>
      </c>
      <c r="L2614" t="s">
        <v>13</v>
      </c>
      <c r="M2614" t="s">
        <v>30</v>
      </c>
      <c r="N2614">
        <f>MONTH(Table1[[#This Row],[SaleDate]])</f>
        <v>10</v>
      </c>
      <c r="O2614" t="str">
        <f>TEXT(Table1[[#This Row],[SaleDate]],"MMM")</f>
        <v>Oct</v>
      </c>
    </row>
    <row r="2615" spans="1:15">
      <c r="A2615" s="1">
        <v>45220</v>
      </c>
      <c r="B2615" t="s">
        <v>25</v>
      </c>
      <c r="C2615" t="s">
        <v>21</v>
      </c>
      <c r="D2615">
        <v>1</v>
      </c>
      <c r="E2615" t="s">
        <v>10</v>
      </c>
      <c r="F2615">
        <v>89000</v>
      </c>
      <c r="G2615">
        <v>65000</v>
      </c>
      <c r="H2615">
        <f>Table1[[#This Row],[Qty]]*Table1[[#This Row],[SellingPrice]]</f>
        <v>89000</v>
      </c>
      <c r="I2615">
        <f>Table1[[#This Row],[Qty]]*Table1[[#This Row],[CostPrice]]</f>
        <v>65000</v>
      </c>
      <c r="J2615">
        <v>23832</v>
      </c>
      <c r="K2615">
        <v>167.99999999999997</v>
      </c>
      <c r="L2615" t="s">
        <v>13</v>
      </c>
      <c r="M2615" t="s">
        <v>27</v>
      </c>
      <c r="N2615">
        <f>MONTH(Table1[[#This Row],[SaleDate]])</f>
        <v>10</v>
      </c>
      <c r="O2615" t="str">
        <f>TEXT(Table1[[#This Row],[SaleDate]],"MMM")</f>
        <v>Oct</v>
      </c>
    </row>
    <row r="2616" spans="1:15">
      <c r="A2616" s="1">
        <v>45221</v>
      </c>
      <c r="B2616" t="s">
        <v>23</v>
      </c>
      <c r="C2616" t="s">
        <v>19</v>
      </c>
      <c r="D2616">
        <v>1</v>
      </c>
      <c r="E2616" t="s">
        <v>7</v>
      </c>
      <c r="F2616">
        <v>33000</v>
      </c>
      <c r="G2616">
        <v>18000</v>
      </c>
      <c r="H2616">
        <f>Table1[[#This Row],[Qty]]*Table1[[#This Row],[SellingPrice]]</f>
        <v>33000</v>
      </c>
      <c r="I2616">
        <f>Table1[[#This Row],[Qty]]*Table1[[#This Row],[CostPrice]]</f>
        <v>18000</v>
      </c>
      <c r="J2616">
        <v>14895</v>
      </c>
      <c r="K2616">
        <v>104.99999999999999</v>
      </c>
      <c r="L2616" t="s">
        <v>8</v>
      </c>
      <c r="M2616" t="s">
        <v>29</v>
      </c>
      <c r="N2616">
        <f>MONTH(Table1[[#This Row],[SaleDate]])</f>
        <v>10</v>
      </c>
      <c r="O2616" t="str">
        <f>TEXT(Table1[[#This Row],[SaleDate]],"MMM")</f>
        <v>Oct</v>
      </c>
    </row>
    <row r="2617" spans="1:15">
      <c r="A2617" s="1">
        <v>45221</v>
      </c>
      <c r="B2617" t="s">
        <v>23</v>
      </c>
      <c r="C2617" t="s">
        <v>19</v>
      </c>
      <c r="D2617">
        <v>1</v>
      </c>
      <c r="E2617" t="s">
        <v>9</v>
      </c>
      <c r="F2617">
        <v>60000</v>
      </c>
      <c r="G2617">
        <v>31000</v>
      </c>
      <c r="H2617">
        <f>Table1[[#This Row],[Qty]]*Table1[[#This Row],[SellingPrice]]</f>
        <v>60000</v>
      </c>
      <c r="I2617">
        <f>Table1[[#This Row],[Qty]]*Table1[[#This Row],[CostPrice]]</f>
        <v>31000</v>
      </c>
      <c r="J2617">
        <v>28797</v>
      </c>
      <c r="K2617">
        <v>202.99999999999997</v>
      </c>
      <c r="L2617" t="s">
        <v>8</v>
      </c>
      <c r="M2617" t="s">
        <v>27</v>
      </c>
      <c r="N2617">
        <f>MONTH(Table1[[#This Row],[SaleDate]])</f>
        <v>10</v>
      </c>
      <c r="O2617" t="str">
        <f>TEXT(Table1[[#This Row],[SaleDate]],"MMM")</f>
        <v>Oct</v>
      </c>
    </row>
    <row r="2618" spans="1:15">
      <c r="A2618" s="1">
        <v>45221</v>
      </c>
      <c r="B2618" t="s">
        <v>23</v>
      </c>
      <c r="C2618" t="s">
        <v>19</v>
      </c>
      <c r="D2618">
        <v>1</v>
      </c>
      <c r="E2618" t="s">
        <v>10</v>
      </c>
      <c r="F2618">
        <v>89000</v>
      </c>
      <c r="G2618">
        <v>65000</v>
      </c>
      <c r="H2618">
        <f>Table1[[#This Row],[Qty]]*Table1[[#This Row],[SellingPrice]]</f>
        <v>89000</v>
      </c>
      <c r="I2618">
        <f>Table1[[#This Row],[Qty]]*Table1[[#This Row],[CostPrice]]</f>
        <v>65000</v>
      </c>
      <c r="J2618">
        <v>23832</v>
      </c>
      <c r="K2618">
        <v>167.99999999999997</v>
      </c>
      <c r="L2618" t="s">
        <v>8</v>
      </c>
      <c r="M2618" t="s">
        <v>29</v>
      </c>
      <c r="N2618">
        <f>MONTH(Table1[[#This Row],[SaleDate]])</f>
        <v>10</v>
      </c>
      <c r="O2618" t="str">
        <f>TEXT(Table1[[#This Row],[SaleDate]],"MMM")</f>
        <v>Oct</v>
      </c>
    </row>
    <row r="2619" spans="1:15">
      <c r="A2619" s="1">
        <v>45221</v>
      </c>
      <c r="B2619" t="s">
        <v>26</v>
      </c>
      <c r="C2619" t="s">
        <v>20</v>
      </c>
      <c r="D2619">
        <v>1</v>
      </c>
      <c r="E2619" t="s">
        <v>10</v>
      </c>
      <c r="F2619">
        <v>89000</v>
      </c>
      <c r="G2619">
        <v>65000</v>
      </c>
      <c r="H2619">
        <f>Table1[[#This Row],[Qty]]*Table1[[#This Row],[SellingPrice]]</f>
        <v>89000</v>
      </c>
      <c r="I2619">
        <f>Table1[[#This Row],[Qty]]*Table1[[#This Row],[CostPrice]]</f>
        <v>65000</v>
      </c>
      <c r="J2619">
        <v>23832</v>
      </c>
      <c r="K2619">
        <v>167.99999999999997</v>
      </c>
      <c r="L2619" t="s">
        <v>11</v>
      </c>
      <c r="M2619" t="s">
        <v>28</v>
      </c>
      <c r="N2619">
        <f>MONTH(Table1[[#This Row],[SaleDate]])</f>
        <v>10</v>
      </c>
      <c r="O2619" t="str">
        <f>TEXT(Table1[[#This Row],[SaleDate]],"MMM")</f>
        <v>Oct</v>
      </c>
    </row>
    <row r="2620" spans="1:15">
      <c r="A2620" s="1">
        <v>45221</v>
      </c>
      <c r="B2620" t="s">
        <v>24</v>
      </c>
      <c r="C2620" t="s">
        <v>22</v>
      </c>
      <c r="D2620">
        <v>1</v>
      </c>
      <c r="E2620" t="s">
        <v>7</v>
      </c>
      <c r="F2620">
        <v>33000</v>
      </c>
      <c r="G2620">
        <v>18000</v>
      </c>
      <c r="H2620">
        <f>Table1[[#This Row],[Qty]]*Table1[[#This Row],[SellingPrice]]</f>
        <v>33000</v>
      </c>
      <c r="I2620">
        <f>Table1[[#This Row],[Qty]]*Table1[[#This Row],[CostPrice]]</f>
        <v>18000</v>
      </c>
      <c r="J2620">
        <v>14895</v>
      </c>
      <c r="K2620">
        <v>104.99999999999999</v>
      </c>
      <c r="L2620" t="s">
        <v>12</v>
      </c>
      <c r="M2620" t="s">
        <v>30</v>
      </c>
      <c r="N2620">
        <f>MONTH(Table1[[#This Row],[SaleDate]])</f>
        <v>10</v>
      </c>
      <c r="O2620" t="str">
        <f>TEXT(Table1[[#This Row],[SaleDate]],"MMM")</f>
        <v>Oct</v>
      </c>
    </row>
    <row r="2621" spans="1:15">
      <c r="A2621" s="1">
        <v>45221</v>
      </c>
      <c r="B2621" t="s">
        <v>24</v>
      </c>
      <c r="C2621" t="s">
        <v>22</v>
      </c>
      <c r="D2621">
        <v>1</v>
      </c>
      <c r="E2621" t="s">
        <v>9</v>
      </c>
      <c r="F2621">
        <v>60000</v>
      </c>
      <c r="G2621">
        <v>31000</v>
      </c>
      <c r="H2621">
        <f>Table1[[#This Row],[Qty]]*Table1[[#This Row],[SellingPrice]]</f>
        <v>60000</v>
      </c>
      <c r="I2621">
        <f>Table1[[#This Row],[Qty]]*Table1[[#This Row],[CostPrice]]</f>
        <v>31000</v>
      </c>
      <c r="J2621">
        <v>28797</v>
      </c>
      <c r="K2621">
        <v>202.99999999999997</v>
      </c>
      <c r="L2621" t="s">
        <v>12</v>
      </c>
      <c r="M2621" t="s">
        <v>27</v>
      </c>
      <c r="N2621">
        <f>MONTH(Table1[[#This Row],[SaleDate]])</f>
        <v>10</v>
      </c>
      <c r="O2621" t="str">
        <f>TEXT(Table1[[#This Row],[SaleDate]],"MMM")</f>
        <v>Oct</v>
      </c>
    </row>
    <row r="2622" spans="1:15">
      <c r="A2622" s="1">
        <v>45221</v>
      </c>
      <c r="B2622" t="s">
        <v>24</v>
      </c>
      <c r="C2622" t="s">
        <v>22</v>
      </c>
      <c r="D2622">
        <v>1</v>
      </c>
      <c r="E2622" t="s">
        <v>10</v>
      </c>
      <c r="F2622">
        <v>89000</v>
      </c>
      <c r="G2622">
        <v>65000</v>
      </c>
      <c r="H2622">
        <f>Table1[[#This Row],[Qty]]*Table1[[#This Row],[SellingPrice]]</f>
        <v>89000</v>
      </c>
      <c r="I2622">
        <f>Table1[[#This Row],[Qty]]*Table1[[#This Row],[CostPrice]]</f>
        <v>65000</v>
      </c>
      <c r="J2622">
        <v>23832</v>
      </c>
      <c r="K2622">
        <v>167.99999999999997</v>
      </c>
      <c r="L2622" t="s">
        <v>12</v>
      </c>
      <c r="M2622" t="s">
        <v>30</v>
      </c>
      <c r="N2622">
        <f>MONTH(Table1[[#This Row],[SaleDate]])</f>
        <v>10</v>
      </c>
      <c r="O2622" t="str">
        <f>TEXT(Table1[[#This Row],[SaleDate]],"MMM")</f>
        <v>Oct</v>
      </c>
    </row>
    <row r="2623" spans="1:15">
      <c r="A2623" s="1">
        <v>45221</v>
      </c>
      <c r="B2623" t="s">
        <v>25</v>
      </c>
      <c r="C2623" t="s">
        <v>21</v>
      </c>
      <c r="D2623">
        <v>1</v>
      </c>
      <c r="E2623" t="s">
        <v>7</v>
      </c>
      <c r="F2623">
        <v>33000</v>
      </c>
      <c r="G2623">
        <v>18000</v>
      </c>
      <c r="H2623">
        <f>Table1[[#This Row],[Qty]]*Table1[[#This Row],[SellingPrice]]</f>
        <v>33000</v>
      </c>
      <c r="I2623">
        <f>Table1[[#This Row],[Qty]]*Table1[[#This Row],[CostPrice]]</f>
        <v>18000</v>
      </c>
      <c r="J2623">
        <v>14895</v>
      </c>
      <c r="K2623">
        <v>104.99999999999999</v>
      </c>
      <c r="L2623" t="s">
        <v>13</v>
      </c>
      <c r="M2623" t="s">
        <v>27</v>
      </c>
      <c r="N2623">
        <f>MONTH(Table1[[#This Row],[SaleDate]])</f>
        <v>10</v>
      </c>
      <c r="O2623" t="str">
        <f>TEXT(Table1[[#This Row],[SaleDate]],"MMM")</f>
        <v>Oct</v>
      </c>
    </row>
    <row r="2624" spans="1:15">
      <c r="A2624" s="1">
        <v>45221</v>
      </c>
      <c r="B2624" t="s">
        <v>25</v>
      </c>
      <c r="C2624" t="s">
        <v>21</v>
      </c>
      <c r="D2624">
        <v>1</v>
      </c>
      <c r="E2624" t="s">
        <v>9</v>
      </c>
      <c r="F2624">
        <v>60000</v>
      </c>
      <c r="G2624">
        <v>31000</v>
      </c>
      <c r="H2624">
        <f>Table1[[#This Row],[Qty]]*Table1[[#This Row],[SellingPrice]]</f>
        <v>60000</v>
      </c>
      <c r="I2624">
        <f>Table1[[#This Row],[Qty]]*Table1[[#This Row],[CostPrice]]</f>
        <v>31000</v>
      </c>
      <c r="J2624">
        <v>28797</v>
      </c>
      <c r="K2624">
        <v>202.99999999999997</v>
      </c>
      <c r="L2624" t="s">
        <v>13</v>
      </c>
      <c r="M2624" t="s">
        <v>28</v>
      </c>
      <c r="N2624">
        <f>MONTH(Table1[[#This Row],[SaleDate]])</f>
        <v>10</v>
      </c>
      <c r="O2624" t="str">
        <f>TEXT(Table1[[#This Row],[SaleDate]],"MMM")</f>
        <v>Oct</v>
      </c>
    </row>
    <row r="2625" spans="1:15">
      <c r="A2625" s="1">
        <v>45221</v>
      </c>
      <c r="B2625" t="s">
        <v>25</v>
      </c>
      <c r="C2625" t="s">
        <v>21</v>
      </c>
      <c r="D2625">
        <v>1</v>
      </c>
      <c r="E2625" t="s">
        <v>10</v>
      </c>
      <c r="F2625">
        <v>89000</v>
      </c>
      <c r="G2625">
        <v>65000</v>
      </c>
      <c r="H2625">
        <f>Table1[[#This Row],[Qty]]*Table1[[#This Row],[SellingPrice]]</f>
        <v>89000</v>
      </c>
      <c r="I2625">
        <f>Table1[[#This Row],[Qty]]*Table1[[#This Row],[CostPrice]]</f>
        <v>65000</v>
      </c>
      <c r="J2625">
        <v>23832</v>
      </c>
      <c r="K2625">
        <v>167.99999999999997</v>
      </c>
      <c r="L2625" t="s">
        <v>13</v>
      </c>
      <c r="M2625" t="s">
        <v>30</v>
      </c>
      <c r="N2625">
        <f>MONTH(Table1[[#This Row],[SaleDate]])</f>
        <v>10</v>
      </c>
      <c r="O2625" t="str">
        <f>TEXT(Table1[[#This Row],[SaleDate]],"MMM")</f>
        <v>Oct</v>
      </c>
    </row>
    <row r="2626" spans="1:15">
      <c r="A2626" s="1">
        <v>45222</v>
      </c>
      <c r="B2626" t="s">
        <v>23</v>
      </c>
      <c r="C2626" t="s">
        <v>19</v>
      </c>
      <c r="D2626">
        <v>2</v>
      </c>
      <c r="E2626" t="s">
        <v>7</v>
      </c>
      <c r="F2626">
        <v>33000</v>
      </c>
      <c r="G2626">
        <v>18000</v>
      </c>
      <c r="H2626">
        <f>Table1[[#This Row],[Qty]]*Table1[[#This Row],[SellingPrice]]</f>
        <v>66000</v>
      </c>
      <c r="I2626">
        <f>Table1[[#This Row],[Qty]]*Table1[[#This Row],[CostPrice]]</f>
        <v>36000</v>
      </c>
      <c r="J2626">
        <v>29790</v>
      </c>
      <c r="K2626">
        <v>209.99999999999997</v>
      </c>
      <c r="L2626" t="s">
        <v>8</v>
      </c>
      <c r="M2626" t="s">
        <v>30</v>
      </c>
      <c r="N2626">
        <f>MONTH(Table1[[#This Row],[SaleDate]])</f>
        <v>10</v>
      </c>
      <c r="O2626" t="str">
        <f>TEXT(Table1[[#This Row],[SaleDate]],"MMM")</f>
        <v>Oct</v>
      </c>
    </row>
    <row r="2627" spans="1:15">
      <c r="A2627" s="1">
        <v>45222</v>
      </c>
      <c r="B2627" t="s">
        <v>23</v>
      </c>
      <c r="C2627" t="s">
        <v>19</v>
      </c>
      <c r="D2627">
        <v>2</v>
      </c>
      <c r="E2627" t="s">
        <v>9</v>
      </c>
      <c r="F2627">
        <v>60000</v>
      </c>
      <c r="G2627">
        <v>31000</v>
      </c>
      <c r="H2627">
        <f>Table1[[#This Row],[Qty]]*Table1[[#This Row],[SellingPrice]]</f>
        <v>120000</v>
      </c>
      <c r="I2627">
        <f>Table1[[#This Row],[Qty]]*Table1[[#This Row],[CostPrice]]</f>
        <v>62000</v>
      </c>
      <c r="J2627">
        <v>57594</v>
      </c>
      <c r="K2627">
        <v>405.99999999999994</v>
      </c>
      <c r="L2627" t="s">
        <v>8</v>
      </c>
      <c r="M2627" t="s">
        <v>30</v>
      </c>
      <c r="N2627">
        <f>MONTH(Table1[[#This Row],[SaleDate]])</f>
        <v>10</v>
      </c>
      <c r="O2627" t="str">
        <f>TEXT(Table1[[#This Row],[SaleDate]],"MMM")</f>
        <v>Oct</v>
      </c>
    </row>
    <row r="2628" spans="1:15">
      <c r="A2628" s="1">
        <v>45222</v>
      </c>
      <c r="B2628" t="s">
        <v>23</v>
      </c>
      <c r="C2628" t="s">
        <v>19</v>
      </c>
      <c r="D2628">
        <v>2</v>
      </c>
      <c r="E2628" t="s">
        <v>10</v>
      </c>
      <c r="F2628">
        <v>89000</v>
      </c>
      <c r="G2628">
        <v>65000</v>
      </c>
      <c r="H2628">
        <f>Table1[[#This Row],[Qty]]*Table1[[#This Row],[SellingPrice]]</f>
        <v>178000</v>
      </c>
      <c r="I2628">
        <f>Table1[[#This Row],[Qty]]*Table1[[#This Row],[CostPrice]]</f>
        <v>130000</v>
      </c>
      <c r="J2628">
        <v>47664</v>
      </c>
      <c r="K2628">
        <v>335.99999999999994</v>
      </c>
      <c r="L2628" t="s">
        <v>8</v>
      </c>
      <c r="M2628" t="s">
        <v>29</v>
      </c>
      <c r="N2628">
        <f>MONTH(Table1[[#This Row],[SaleDate]])</f>
        <v>10</v>
      </c>
      <c r="O2628" t="str">
        <f>TEXT(Table1[[#This Row],[SaleDate]],"MMM")</f>
        <v>Oct</v>
      </c>
    </row>
    <row r="2629" spans="1:15">
      <c r="A2629" s="1">
        <v>45222</v>
      </c>
      <c r="B2629" t="s">
        <v>26</v>
      </c>
      <c r="C2629" t="s">
        <v>20</v>
      </c>
      <c r="D2629">
        <v>2</v>
      </c>
      <c r="E2629" t="s">
        <v>7</v>
      </c>
      <c r="F2629">
        <v>33000</v>
      </c>
      <c r="G2629">
        <v>18000</v>
      </c>
      <c r="H2629">
        <f>Table1[[#This Row],[Qty]]*Table1[[#This Row],[SellingPrice]]</f>
        <v>66000</v>
      </c>
      <c r="I2629">
        <f>Table1[[#This Row],[Qty]]*Table1[[#This Row],[CostPrice]]</f>
        <v>36000</v>
      </c>
      <c r="J2629">
        <v>29790</v>
      </c>
      <c r="K2629">
        <v>209.99999999999997</v>
      </c>
      <c r="L2629" t="s">
        <v>11</v>
      </c>
      <c r="M2629" t="s">
        <v>30</v>
      </c>
      <c r="N2629">
        <f>MONTH(Table1[[#This Row],[SaleDate]])</f>
        <v>10</v>
      </c>
      <c r="O2629" t="str">
        <f>TEXT(Table1[[#This Row],[SaleDate]],"MMM")</f>
        <v>Oct</v>
      </c>
    </row>
    <row r="2630" spans="1:15">
      <c r="A2630" s="1">
        <v>45222</v>
      </c>
      <c r="B2630" t="s">
        <v>26</v>
      </c>
      <c r="C2630" t="s">
        <v>20</v>
      </c>
      <c r="D2630">
        <v>2</v>
      </c>
      <c r="E2630" t="s">
        <v>10</v>
      </c>
      <c r="F2630">
        <v>89000</v>
      </c>
      <c r="G2630">
        <v>65000</v>
      </c>
      <c r="H2630">
        <f>Table1[[#This Row],[Qty]]*Table1[[#This Row],[SellingPrice]]</f>
        <v>178000</v>
      </c>
      <c r="I2630">
        <f>Table1[[#This Row],[Qty]]*Table1[[#This Row],[CostPrice]]</f>
        <v>130000</v>
      </c>
      <c r="J2630">
        <v>47664</v>
      </c>
      <c r="K2630">
        <v>335.99999999999994</v>
      </c>
      <c r="L2630" t="s">
        <v>11</v>
      </c>
      <c r="M2630" t="s">
        <v>30</v>
      </c>
      <c r="N2630">
        <f>MONTH(Table1[[#This Row],[SaleDate]])</f>
        <v>10</v>
      </c>
      <c r="O2630" t="str">
        <f>TEXT(Table1[[#This Row],[SaleDate]],"MMM")</f>
        <v>Oct</v>
      </c>
    </row>
    <row r="2631" spans="1:15">
      <c r="A2631" s="1">
        <v>45222</v>
      </c>
      <c r="B2631" t="s">
        <v>24</v>
      </c>
      <c r="C2631" t="s">
        <v>22</v>
      </c>
      <c r="D2631">
        <v>2</v>
      </c>
      <c r="E2631" t="s">
        <v>7</v>
      </c>
      <c r="F2631">
        <v>33000</v>
      </c>
      <c r="G2631">
        <v>18000</v>
      </c>
      <c r="H2631">
        <f>Table1[[#This Row],[Qty]]*Table1[[#This Row],[SellingPrice]]</f>
        <v>66000</v>
      </c>
      <c r="I2631">
        <f>Table1[[#This Row],[Qty]]*Table1[[#This Row],[CostPrice]]</f>
        <v>36000</v>
      </c>
      <c r="J2631">
        <v>29790</v>
      </c>
      <c r="K2631">
        <v>209.99999999999997</v>
      </c>
      <c r="L2631" t="s">
        <v>12</v>
      </c>
      <c r="M2631" t="s">
        <v>27</v>
      </c>
      <c r="N2631">
        <f>MONTH(Table1[[#This Row],[SaleDate]])</f>
        <v>10</v>
      </c>
      <c r="O2631" t="str">
        <f>TEXT(Table1[[#This Row],[SaleDate]],"MMM")</f>
        <v>Oct</v>
      </c>
    </row>
    <row r="2632" spans="1:15">
      <c r="A2632" s="1">
        <v>45222</v>
      </c>
      <c r="B2632" t="s">
        <v>24</v>
      </c>
      <c r="C2632" t="s">
        <v>22</v>
      </c>
      <c r="D2632">
        <v>2</v>
      </c>
      <c r="E2632" t="s">
        <v>9</v>
      </c>
      <c r="F2632">
        <v>60000</v>
      </c>
      <c r="G2632">
        <v>31000</v>
      </c>
      <c r="H2632">
        <f>Table1[[#This Row],[Qty]]*Table1[[#This Row],[SellingPrice]]</f>
        <v>120000</v>
      </c>
      <c r="I2632">
        <f>Table1[[#This Row],[Qty]]*Table1[[#This Row],[CostPrice]]</f>
        <v>62000</v>
      </c>
      <c r="J2632">
        <v>57594</v>
      </c>
      <c r="K2632">
        <v>405.99999999999994</v>
      </c>
      <c r="L2632" t="s">
        <v>12</v>
      </c>
      <c r="M2632" t="s">
        <v>28</v>
      </c>
      <c r="N2632">
        <f>MONTH(Table1[[#This Row],[SaleDate]])</f>
        <v>10</v>
      </c>
      <c r="O2632" t="str">
        <f>TEXT(Table1[[#This Row],[SaleDate]],"MMM")</f>
        <v>Oct</v>
      </c>
    </row>
    <row r="2633" spans="1:15">
      <c r="A2633" s="1">
        <v>45222</v>
      </c>
      <c r="B2633" t="s">
        <v>24</v>
      </c>
      <c r="C2633" t="s">
        <v>22</v>
      </c>
      <c r="D2633">
        <v>2</v>
      </c>
      <c r="E2633" t="s">
        <v>10</v>
      </c>
      <c r="F2633">
        <v>89000</v>
      </c>
      <c r="G2633">
        <v>65000</v>
      </c>
      <c r="H2633">
        <f>Table1[[#This Row],[Qty]]*Table1[[#This Row],[SellingPrice]]</f>
        <v>178000</v>
      </c>
      <c r="I2633">
        <f>Table1[[#This Row],[Qty]]*Table1[[#This Row],[CostPrice]]</f>
        <v>130000</v>
      </c>
      <c r="J2633">
        <v>47664</v>
      </c>
      <c r="K2633">
        <v>335.99999999999994</v>
      </c>
      <c r="L2633" t="s">
        <v>12</v>
      </c>
      <c r="M2633" t="s">
        <v>30</v>
      </c>
      <c r="N2633">
        <f>MONTH(Table1[[#This Row],[SaleDate]])</f>
        <v>10</v>
      </c>
      <c r="O2633" t="str">
        <f>TEXT(Table1[[#This Row],[SaleDate]],"MMM")</f>
        <v>Oct</v>
      </c>
    </row>
    <row r="2634" spans="1:15">
      <c r="A2634" s="1">
        <v>45222</v>
      </c>
      <c r="B2634" t="s">
        <v>25</v>
      </c>
      <c r="C2634" t="s">
        <v>21</v>
      </c>
      <c r="D2634">
        <v>2</v>
      </c>
      <c r="E2634" t="s">
        <v>7</v>
      </c>
      <c r="F2634">
        <v>33000</v>
      </c>
      <c r="G2634">
        <v>18000</v>
      </c>
      <c r="H2634">
        <f>Table1[[#This Row],[Qty]]*Table1[[#This Row],[SellingPrice]]</f>
        <v>66000</v>
      </c>
      <c r="I2634">
        <f>Table1[[#This Row],[Qty]]*Table1[[#This Row],[CostPrice]]</f>
        <v>36000</v>
      </c>
      <c r="J2634">
        <v>29790</v>
      </c>
      <c r="K2634">
        <v>209.99999999999997</v>
      </c>
      <c r="L2634" t="s">
        <v>13</v>
      </c>
      <c r="M2634" t="s">
        <v>30</v>
      </c>
      <c r="N2634">
        <f>MONTH(Table1[[#This Row],[SaleDate]])</f>
        <v>10</v>
      </c>
      <c r="O2634" t="str">
        <f>TEXT(Table1[[#This Row],[SaleDate]],"MMM")</f>
        <v>Oct</v>
      </c>
    </row>
    <row r="2635" spans="1:15">
      <c r="A2635" s="1">
        <v>45222</v>
      </c>
      <c r="B2635" t="s">
        <v>25</v>
      </c>
      <c r="C2635" t="s">
        <v>21</v>
      </c>
      <c r="D2635">
        <v>2</v>
      </c>
      <c r="E2635" t="s">
        <v>9</v>
      </c>
      <c r="F2635">
        <v>60000</v>
      </c>
      <c r="G2635">
        <v>31000</v>
      </c>
      <c r="H2635">
        <f>Table1[[#This Row],[Qty]]*Table1[[#This Row],[SellingPrice]]</f>
        <v>120000</v>
      </c>
      <c r="I2635">
        <f>Table1[[#This Row],[Qty]]*Table1[[#This Row],[CostPrice]]</f>
        <v>62000</v>
      </c>
      <c r="J2635">
        <v>57594</v>
      </c>
      <c r="K2635">
        <v>405.99999999999994</v>
      </c>
      <c r="L2635" t="s">
        <v>13</v>
      </c>
      <c r="M2635" t="s">
        <v>27</v>
      </c>
      <c r="N2635">
        <f>MONTH(Table1[[#This Row],[SaleDate]])</f>
        <v>10</v>
      </c>
      <c r="O2635" t="str">
        <f>TEXT(Table1[[#This Row],[SaleDate]],"MMM")</f>
        <v>Oct</v>
      </c>
    </row>
    <row r="2636" spans="1:15">
      <c r="A2636" s="1">
        <v>45222</v>
      </c>
      <c r="B2636" t="s">
        <v>25</v>
      </c>
      <c r="C2636" t="s">
        <v>21</v>
      </c>
      <c r="D2636">
        <v>2</v>
      </c>
      <c r="E2636" t="s">
        <v>10</v>
      </c>
      <c r="F2636">
        <v>89000</v>
      </c>
      <c r="G2636">
        <v>65000</v>
      </c>
      <c r="H2636">
        <f>Table1[[#This Row],[Qty]]*Table1[[#This Row],[SellingPrice]]</f>
        <v>178000</v>
      </c>
      <c r="I2636">
        <f>Table1[[#This Row],[Qty]]*Table1[[#This Row],[CostPrice]]</f>
        <v>130000</v>
      </c>
      <c r="J2636">
        <v>47664</v>
      </c>
      <c r="K2636">
        <v>335.99999999999994</v>
      </c>
      <c r="L2636" t="s">
        <v>13</v>
      </c>
      <c r="M2636" t="s">
        <v>30</v>
      </c>
      <c r="N2636">
        <f>MONTH(Table1[[#This Row],[SaleDate]])</f>
        <v>10</v>
      </c>
      <c r="O2636" t="str">
        <f>TEXT(Table1[[#This Row],[SaleDate]],"MMM")</f>
        <v>Oct</v>
      </c>
    </row>
    <row r="2637" spans="1:15">
      <c r="A2637" s="1">
        <v>45223</v>
      </c>
      <c r="B2637" t="s">
        <v>23</v>
      </c>
      <c r="C2637" t="s">
        <v>19</v>
      </c>
      <c r="D2637">
        <v>2</v>
      </c>
      <c r="E2637" t="s">
        <v>7</v>
      </c>
      <c r="F2637">
        <v>33000</v>
      </c>
      <c r="G2637">
        <v>18000</v>
      </c>
      <c r="H2637">
        <f>Table1[[#This Row],[Qty]]*Table1[[#This Row],[SellingPrice]]</f>
        <v>66000</v>
      </c>
      <c r="I2637">
        <f>Table1[[#This Row],[Qty]]*Table1[[#This Row],[CostPrice]]</f>
        <v>36000</v>
      </c>
      <c r="J2637">
        <v>29790</v>
      </c>
      <c r="K2637">
        <v>209.99999999999997</v>
      </c>
      <c r="L2637" t="s">
        <v>8</v>
      </c>
      <c r="M2637" t="s">
        <v>27</v>
      </c>
      <c r="N2637">
        <f>MONTH(Table1[[#This Row],[SaleDate]])</f>
        <v>10</v>
      </c>
      <c r="O2637" t="str">
        <f>TEXT(Table1[[#This Row],[SaleDate]],"MMM")</f>
        <v>Oct</v>
      </c>
    </row>
    <row r="2638" spans="1:15">
      <c r="A2638" s="1">
        <v>45223</v>
      </c>
      <c r="B2638" t="s">
        <v>23</v>
      </c>
      <c r="C2638" t="s">
        <v>19</v>
      </c>
      <c r="D2638">
        <v>2</v>
      </c>
      <c r="E2638" t="s">
        <v>9</v>
      </c>
      <c r="F2638">
        <v>60000</v>
      </c>
      <c r="G2638">
        <v>31000</v>
      </c>
      <c r="H2638">
        <f>Table1[[#This Row],[Qty]]*Table1[[#This Row],[SellingPrice]]</f>
        <v>120000</v>
      </c>
      <c r="I2638">
        <f>Table1[[#This Row],[Qty]]*Table1[[#This Row],[CostPrice]]</f>
        <v>62000</v>
      </c>
      <c r="J2638">
        <v>57594</v>
      </c>
      <c r="K2638">
        <v>405.99999999999994</v>
      </c>
      <c r="L2638" t="s">
        <v>8</v>
      </c>
      <c r="M2638" t="s">
        <v>30</v>
      </c>
      <c r="N2638">
        <f>MONTH(Table1[[#This Row],[SaleDate]])</f>
        <v>10</v>
      </c>
      <c r="O2638" t="str">
        <f>TEXT(Table1[[#This Row],[SaleDate]],"MMM")</f>
        <v>Oct</v>
      </c>
    </row>
    <row r="2639" spans="1:15">
      <c r="A2639" s="1">
        <v>45223</v>
      </c>
      <c r="B2639" t="s">
        <v>23</v>
      </c>
      <c r="C2639" t="s">
        <v>19</v>
      </c>
      <c r="D2639">
        <v>2</v>
      </c>
      <c r="E2639" t="s">
        <v>10</v>
      </c>
      <c r="F2639">
        <v>89000</v>
      </c>
      <c r="G2639">
        <v>65000</v>
      </c>
      <c r="H2639">
        <f>Table1[[#This Row],[Qty]]*Table1[[#This Row],[SellingPrice]]</f>
        <v>178000</v>
      </c>
      <c r="I2639">
        <f>Table1[[#This Row],[Qty]]*Table1[[#This Row],[CostPrice]]</f>
        <v>130000</v>
      </c>
      <c r="J2639">
        <v>47664</v>
      </c>
      <c r="K2639">
        <v>335.99999999999994</v>
      </c>
      <c r="L2639" t="s">
        <v>8</v>
      </c>
      <c r="M2639" t="s">
        <v>30</v>
      </c>
      <c r="N2639">
        <f>MONTH(Table1[[#This Row],[SaleDate]])</f>
        <v>10</v>
      </c>
      <c r="O2639" t="str">
        <f>TEXT(Table1[[#This Row],[SaleDate]],"MMM")</f>
        <v>Oct</v>
      </c>
    </row>
    <row r="2640" spans="1:15">
      <c r="A2640" s="1">
        <v>45223</v>
      </c>
      <c r="B2640" t="s">
        <v>26</v>
      </c>
      <c r="C2640" t="s">
        <v>20</v>
      </c>
      <c r="D2640">
        <v>2</v>
      </c>
      <c r="E2640" t="s">
        <v>7</v>
      </c>
      <c r="F2640">
        <v>33000</v>
      </c>
      <c r="G2640">
        <v>18000</v>
      </c>
      <c r="H2640">
        <f>Table1[[#This Row],[Qty]]*Table1[[#This Row],[SellingPrice]]</f>
        <v>66000</v>
      </c>
      <c r="I2640">
        <f>Table1[[#This Row],[Qty]]*Table1[[#This Row],[CostPrice]]</f>
        <v>36000</v>
      </c>
      <c r="J2640">
        <v>29790</v>
      </c>
      <c r="K2640">
        <v>209.99999999999997</v>
      </c>
      <c r="L2640" t="s">
        <v>11</v>
      </c>
      <c r="M2640" t="s">
        <v>30</v>
      </c>
      <c r="N2640">
        <f>MONTH(Table1[[#This Row],[SaleDate]])</f>
        <v>10</v>
      </c>
      <c r="O2640" t="str">
        <f>TEXT(Table1[[#This Row],[SaleDate]],"MMM")</f>
        <v>Oct</v>
      </c>
    </row>
    <row r="2641" spans="1:15">
      <c r="A2641" s="1">
        <v>45223</v>
      </c>
      <c r="B2641" t="s">
        <v>26</v>
      </c>
      <c r="C2641" t="s">
        <v>20</v>
      </c>
      <c r="D2641">
        <v>2</v>
      </c>
      <c r="E2641" t="s">
        <v>10</v>
      </c>
      <c r="F2641">
        <v>89000</v>
      </c>
      <c r="G2641">
        <v>65000</v>
      </c>
      <c r="H2641">
        <f>Table1[[#This Row],[Qty]]*Table1[[#This Row],[SellingPrice]]</f>
        <v>178000</v>
      </c>
      <c r="I2641">
        <f>Table1[[#This Row],[Qty]]*Table1[[#This Row],[CostPrice]]</f>
        <v>130000</v>
      </c>
      <c r="J2641">
        <v>47664</v>
      </c>
      <c r="K2641">
        <v>335.99999999999994</v>
      </c>
      <c r="L2641" t="s">
        <v>11</v>
      </c>
      <c r="M2641" t="s">
        <v>27</v>
      </c>
      <c r="N2641">
        <f>MONTH(Table1[[#This Row],[SaleDate]])</f>
        <v>10</v>
      </c>
      <c r="O2641" t="str">
        <f>TEXT(Table1[[#This Row],[SaleDate]],"MMM")</f>
        <v>Oct</v>
      </c>
    </row>
    <row r="2642" spans="1:15">
      <c r="A2642" s="1">
        <v>45223</v>
      </c>
      <c r="B2642" t="s">
        <v>24</v>
      </c>
      <c r="C2642" t="s">
        <v>22</v>
      </c>
      <c r="D2642">
        <v>2</v>
      </c>
      <c r="E2642" t="s">
        <v>7</v>
      </c>
      <c r="F2642">
        <v>33000</v>
      </c>
      <c r="G2642">
        <v>18000</v>
      </c>
      <c r="H2642">
        <f>Table1[[#This Row],[Qty]]*Table1[[#This Row],[SellingPrice]]</f>
        <v>66000</v>
      </c>
      <c r="I2642">
        <f>Table1[[#This Row],[Qty]]*Table1[[#This Row],[CostPrice]]</f>
        <v>36000</v>
      </c>
      <c r="J2642">
        <v>29790</v>
      </c>
      <c r="K2642">
        <v>209.99999999999997</v>
      </c>
      <c r="L2642" t="s">
        <v>12</v>
      </c>
      <c r="M2642" t="s">
        <v>27</v>
      </c>
      <c r="N2642">
        <f>MONTH(Table1[[#This Row],[SaleDate]])</f>
        <v>10</v>
      </c>
      <c r="O2642" t="str">
        <f>TEXT(Table1[[#This Row],[SaleDate]],"MMM")</f>
        <v>Oct</v>
      </c>
    </row>
    <row r="2643" spans="1:15">
      <c r="A2643" s="1">
        <v>45223</v>
      </c>
      <c r="B2643" t="s">
        <v>24</v>
      </c>
      <c r="C2643" t="s">
        <v>22</v>
      </c>
      <c r="D2643">
        <v>2</v>
      </c>
      <c r="E2643" t="s">
        <v>9</v>
      </c>
      <c r="F2643">
        <v>60000</v>
      </c>
      <c r="G2643">
        <v>31000</v>
      </c>
      <c r="H2643">
        <f>Table1[[#This Row],[Qty]]*Table1[[#This Row],[SellingPrice]]</f>
        <v>120000</v>
      </c>
      <c r="I2643">
        <f>Table1[[#This Row],[Qty]]*Table1[[#This Row],[CostPrice]]</f>
        <v>62000</v>
      </c>
      <c r="J2643">
        <v>57594</v>
      </c>
      <c r="K2643">
        <v>405.99999999999994</v>
      </c>
      <c r="L2643" t="s">
        <v>12</v>
      </c>
      <c r="M2643" t="s">
        <v>28</v>
      </c>
      <c r="N2643">
        <f>MONTH(Table1[[#This Row],[SaleDate]])</f>
        <v>10</v>
      </c>
      <c r="O2643" t="str">
        <f>TEXT(Table1[[#This Row],[SaleDate]],"MMM")</f>
        <v>Oct</v>
      </c>
    </row>
    <row r="2644" spans="1:15">
      <c r="A2644" s="1">
        <v>45223</v>
      </c>
      <c r="B2644" t="s">
        <v>24</v>
      </c>
      <c r="C2644" t="s">
        <v>22</v>
      </c>
      <c r="D2644">
        <v>2</v>
      </c>
      <c r="E2644" t="s">
        <v>10</v>
      </c>
      <c r="F2644">
        <v>89000</v>
      </c>
      <c r="G2644">
        <v>65000</v>
      </c>
      <c r="H2644">
        <f>Table1[[#This Row],[Qty]]*Table1[[#This Row],[SellingPrice]]</f>
        <v>178000</v>
      </c>
      <c r="I2644">
        <f>Table1[[#This Row],[Qty]]*Table1[[#This Row],[CostPrice]]</f>
        <v>130000</v>
      </c>
      <c r="J2644">
        <v>47664</v>
      </c>
      <c r="K2644">
        <v>335.99999999999994</v>
      </c>
      <c r="L2644" t="s">
        <v>12</v>
      </c>
      <c r="M2644" t="s">
        <v>27</v>
      </c>
      <c r="N2644">
        <f>MONTH(Table1[[#This Row],[SaleDate]])</f>
        <v>10</v>
      </c>
      <c r="O2644" t="str">
        <f>TEXT(Table1[[#This Row],[SaleDate]],"MMM")</f>
        <v>Oct</v>
      </c>
    </row>
    <row r="2645" spans="1:15">
      <c r="A2645" s="1">
        <v>45223</v>
      </c>
      <c r="B2645" t="s">
        <v>25</v>
      </c>
      <c r="C2645" t="s">
        <v>21</v>
      </c>
      <c r="D2645">
        <v>2</v>
      </c>
      <c r="E2645" t="s">
        <v>7</v>
      </c>
      <c r="F2645">
        <v>33000</v>
      </c>
      <c r="G2645">
        <v>18000</v>
      </c>
      <c r="H2645">
        <f>Table1[[#This Row],[Qty]]*Table1[[#This Row],[SellingPrice]]</f>
        <v>66000</v>
      </c>
      <c r="I2645">
        <f>Table1[[#This Row],[Qty]]*Table1[[#This Row],[CostPrice]]</f>
        <v>36000</v>
      </c>
      <c r="J2645">
        <v>29790</v>
      </c>
      <c r="K2645">
        <v>209.99999999999997</v>
      </c>
      <c r="L2645" t="s">
        <v>13</v>
      </c>
      <c r="M2645" t="s">
        <v>30</v>
      </c>
      <c r="N2645">
        <f>MONTH(Table1[[#This Row],[SaleDate]])</f>
        <v>10</v>
      </c>
      <c r="O2645" t="str">
        <f>TEXT(Table1[[#This Row],[SaleDate]],"MMM")</f>
        <v>Oct</v>
      </c>
    </row>
    <row r="2646" spans="1:15">
      <c r="A2646" s="1">
        <v>45223</v>
      </c>
      <c r="B2646" t="s">
        <v>25</v>
      </c>
      <c r="C2646" t="s">
        <v>21</v>
      </c>
      <c r="D2646">
        <v>2</v>
      </c>
      <c r="E2646" t="s">
        <v>9</v>
      </c>
      <c r="F2646">
        <v>60000</v>
      </c>
      <c r="G2646">
        <v>31000</v>
      </c>
      <c r="H2646">
        <f>Table1[[#This Row],[Qty]]*Table1[[#This Row],[SellingPrice]]</f>
        <v>120000</v>
      </c>
      <c r="I2646">
        <f>Table1[[#This Row],[Qty]]*Table1[[#This Row],[CostPrice]]</f>
        <v>62000</v>
      </c>
      <c r="J2646">
        <v>57594</v>
      </c>
      <c r="K2646">
        <v>405.99999999999994</v>
      </c>
      <c r="L2646" t="s">
        <v>13</v>
      </c>
      <c r="M2646" t="s">
        <v>29</v>
      </c>
      <c r="N2646">
        <f>MONTH(Table1[[#This Row],[SaleDate]])</f>
        <v>10</v>
      </c>
      <c r="O2646" t="str">
        <f>TEXT(Table1[[#This Row],[SaleDate]],"MMM")</f>
        <v>Oct</v>
      </c>
    </row>
    <row r="2647" spans="1:15">
      <c r="A2647" s="1">
        <v>45223</v>
      </c>
      <c r="B2647" t="s">
        <v>25</v>
      </c>
      <c r="C2647" t="s">
        <v>21</v>
      </c>
      <c r="D2647">
        <v>2</v>
      </c>
      <c r="E2647" t="s">
        <v>10</v>
      </c>
      <c r="F2647">
        <v>89000</v>
      </c>
      <c r="G2647">
        <v>65000</v>
      </c>
      <c r="H2647">
        <f>Table1[[#This Row],[Qty]]*Table1[[#This Row],[SellingPrice]]</f>
        <v>178000</v>
      </c>
      <c r="I2647">
        <f>Table1[[#This Row],[Qty]]*Table1[[#This Row],[CostPrice]]</f>
        <v>130000</v>
      </c>
      <c r="J2647">
        <v>47664</v>
      </c>
      <c r="K2647">
        <v>335.99999999999994</v>
      </c>
      <c r="L2647" t="s">
        <v>13</v>
      </c>
      <c r="M2647" t="s">
        <v>30</v>
      </c>
      <c r="N2647">
        <f>MONTH(Table1[[#This Row],[SaleDate]])</f>
        <v>10</v>
      </c>
      <c r="O2647" t="str">
        <f>TEXT(Table1[[#This Row],[SaleDate]],"MMM")</f>
        <v>Oct</v>
      </c>
    </row>
    <row r="2648" spans="1:15">
      <c r="A2648" s="1">
        <v>45224</v>
      </c>
      <c r="B2648" t="s">
        <v>23</v>
      </c>
      <c r="C2648" t="s">
        <v>19</v>
      </c>
      <c r="D2648">
        <v>1</v>
      </c>
      <c r="E2648" t="s">
        <v>7</v>
      </c>
      <c r="F2648">
        <v>33000</v>
      </c>
      <c r="G2648">
        <v>18000</v>
      </c>
      <c r="H2648">
        <f>Table1[[#This Row],[Qty]]*Table1[[#This Row],[SellingPrice]]</f>
        <v>33000</v>
      </c>
      <c r="I2648">
        <f>Table1[[#This Row],[Qty]]*Table1[[#This Row],[CostPrice]]</f>
        <v>18000</v>
      </c>
      <c r="J2648">
        <v>14895</v>
      </c>
      <c r="K2648">
        <v>104.99999999999999</v>
      </c>
      <c r="L2648" t="s">
        <v>8</v>
      </c>
      <c r="M2648" t="s">
        <v>29</v>
      </c>
      <c r="N2648">
        <f>MONTH(Table1[[#This Row],[SaleDate]])</f>
        <v>10</v>
      </c>
      <c r="O2648" t="str">
        <f>TEXT(Table1[[#This Row],[SaleDate]],"MMM")</f>
        <v>Oct</v>
      </c>
    </row>
    <row r="2649" spans="1:15">
      <c r="A2649" s="1">
        <v>45224</v>
      </c>
      <c r="B2649" t="s">
        <v>23</v>
      </c>
      <c r="C2649" t="s">
        <v>19</v>
      </c>
      <c r="D2649">
        <v>1</v>
      </c>
      <c r="E2649" t="s">
        <v>9</v>
      </c>
      <c r="F2649">
        <v>60000</v>
      </c>
      <c r="G2649">
        <v>31000</v>
      </c>
      <c r="H2649">
        <f>Table1[[#This Row],[Qty]]*Table1[[#This Row],[SellingPrice]]</f>
        <v>60000</v>
      </c>
      <c r="I2649">
        <f>Table1[[#This Row],[Qty]]*Table1[[#This Row],[CostPrice]]</f>
        <v>31000</v>
      </c>
      <c r="J2649">
        <v>28797</v>
      </c>
      <c r="K2649">
        <v>202.99999999999997</v>
      </c>
      <c r="L2649" t="s">
        <v>8</v>
      </c>
      <c r="M2649" t="s">
        <v>29</v>
      </c>
      <c r="N2649">
        <f>MONTH(Table1[[#This Row],[SaleDate]])</f>
        <v>10</v>
      </c>
      <c r="O2649" t="str">
        <f>TEXT(Table1[[#This Row],[SaleDate]],"MMM")</f>
        <v>Oct</v>
      </c>
    </row>
    <row r="2650" spans="1:15">
      <c r="A2650" s="1">
        <v>45224</v>
      </c>
      <c r="B2650" t="s">
        <v>23</v>
      </c>
      <c r="C2650" t="s">
        <v>19</v>
      </c>
      <c r="D2650">
        <v>1</v>
      </c>
      <c r="E2650" t="s">
        <v>10</v>
      </c>
      <c r="F2650">
        <v>89000</v>
      </c>
      <c r="G2650">
        <v>65000</v>
      </c>
      <c r="H2650">
        <f>Table1[[#This Row],[Qty]]*Table1[[#This Row],[SellingPrice]]</f>
        <v>89000</v>
      </c>
      <c r="I2650">
        <f>Table1[[#This Row],[Qty]]*Table1[[#This Row],[CostPrice]]</f>
        <v>65000</v>
      </c>
      <c r="J2650">
        <v>23832</v>
      </c>
      <c r="K2650">
        <v>167.99999999999997</v>
      </c>
      <c r="L2650" t="s">
        <v>8</v>
      </c>
      <c r="M2650" t="s">
        <v>28</v>
      </c>
      <c r="N2650">
        <f>MONTH(Table1[[#This Row],[SaleDate]])</f>
        <v>10</v>
      </c>
      <c r="O2650" t="str">
        <f>TEXT(Table1[[#This Row],[SaleDate]],"MMM")</f>
        <v>Oct</v>
      </c>
    </row>
    <row r="2651" spans="1:15">
      <c r="A2651" s="1">
        <v>45224</v>
      </c>
      <c r="B2651" t="s">
        <v>26</v>
      </c>
      <c r="C2651" t="s">
        <v>20</v>
      </c>
      <c r="D2651">
        <v>1</v>
      </c>
      <c r="E2651" t="s">
        <v>7</v>
      </c>
      <c r="F2651">
        <v>33000</v>
      </c>
      <c r="G2651">
        <v>18000</v>
      </c>
      <c r="H2651">
        <f>Table1[[#This Row],[Qty]]*Table1[[#This Row],[SellingPrice]]</f>
        <v>33000</v>
      </c>
      <c r="I2651">
        <f>Table1[[#This Row],[Qty]]*Table1[[#This Row],[CostPrice]]</f>
        <v>18000</v>
      </c>
      <c r="J2651">
        <v>14895</v>
      </c>
      <c r="K2651">
        <v>104.99999999999999</v>
      </c>
      <c r="L2651" t="s">
        <v>11</v>
      </c>
      <c r="M2651" t="s">
        <v>30</v>
      </c>
      <c r="N2651">
        <f>MONTH(Table1[[#This Row],[SaleDate]])</f>
        <v>10</v>
      </c>
      <c r="O2651" t="str">
        <f>TEXT(Table1[[#This Row],[SaleDate]],"MMM")</f>
        <v>Oct</v>
      </c>
    </row>
    <row r="2652" spans="1:15">
      <c r="A2652" s="1">
        <v>45224</v>
      </c>
      <c r="B2652" t="s">
        <v>26</v>
      </c>
      <c r="C2652" t="s">
        <v>20</v>
      </c>
      <c r="D2652">
        <v>1</v>
      </c>
      <c r="E2652" t="s">
        <v>10</v>
      </c>
      <c r="F2652">
        <v>89000</v>
      </c>
      <c r="G2652">
        <v>65000</v>
      </c>
      <c r="H2652">
        <f>Table1[[#This Row],[Qty]]*Table1[[#This Row],[SellingPrice]]</f>
        <v>89000</v>
      </c>
      <c r="I2652">
        <f>Table1[[#This Row],[Qty]]*Table1[[#This Row],[CostPrice]]</f>
        <v>65000</v>
      </c>
      <c r="J2652">
        <v>23832</v>
      </c>
      <c r="K2652">
        <v>167.99999999999997</v>
      </c>
      <c r="L2652" t="s">
        <v>11</v>
      </c>
      <c r="M2652" t="s">
        <v>28</v>
      </c>
      <c r="N2652">
        <f>MONTH(Table1[[#This Row],[SaleDate]])</f>
        <v>10</v>
      </c>
      <c r="O2652" t="str">
        <f>TEXT(Table1[[#This Row],[SaleDate]],"MMM")</f>
        <v>Oct</v>
      </c>
    </row>
    <row r="2653" spans="1:15">
      <c r="A2653" s="1">
        <v>45224</v>
      </c>
      <c r="B2653" t="s">
        <v>24</v>
      </c>
      <c r="C2653" t="s">
        <v>22</v>
      </c>
      <c r="D2653">
        <v>1</v>
      </c>
      <c r="E2653" t="s">
        <v>7</v>
      </c>
      <c r="F2653">
        <v>33000</v>
      </c>
      <c r="G2653">
        <v>18000</v>
      </c>
      <c r="H2653">
        <f>Table1[[#This Row],[Qty]]*Table1[[#This Row],[SellingPrice]]</f>
        <v>33000</v>
      </c>
      <c r="I2653">
        <f>Table1[[#This Row],[Qty]]*Table1[[#This Row],[CostPrice]]</f>
        <v>18000</v>
      </c>
      <c r="J2653">
        <v>14895</v>
      </c>
      <c r="K2653">
        <v>104.99999999999999</v>
      </c>
      <c r="L2653" t="s">
        <v>12</v>
      </c>
      <c r="M2653" t="s">
        <v>28</v>
      </c>
      <c r="N2653">
        <f>MONTH(Table1[[#This Row],[SaleDate]])</f>
        <v>10</v>
      </c>
      <c r="O2653" t="str">
        <f>TEXT(Table1[[#This Row],[SaleDate]],"MMM")</f>
        <v>Oct</v>
      </c>
    </row>
    <row r="2654" spans="1:15">
      <c r="A2654" s="1">
        <v>45224</v>
      </c>
      <c r="B2654" t="s">
        <v>24</v>
      </c>
      <c r="C2654" t="s">
        <v>22</v>
      </c>
      <c r="D2654">
        <v>1</v>
      </c>
      <c r="E2654" t="s">
        <v>9</v>
      </c>
      <c r="F2654">
        <v>60000</v>
      </c>
      <c r="G2654">
        <v>31000</v>
      </c>
      <c r="H2654">
        <f>Table1[[#This Row],[Qty]]*Table1[[#This Row],[SellingPrice]]</f>
        <v>60000</v>
      </c>
      <c r="I2654">
        <f>Table1[[#This Row],[Qty]]*Table1[[#This Row],[CostPrice]]</f>
        <v>31000</v>
      </c>
      <c r="J2654">
        <v>28797</v>
      </c>
      <c r="K2654">
        <v>202.99999999999997</v>
      </c>
      <c r="L2654" t="s">
        <v>12</v>
      </c>
      <c r="M2654" t="s">
        <v>29</v>
      </c>
      <c r="N2654">
        <f>MONTH(Table1[[#This Row],[SaleDate]])</f>
        <v>10</v>
      </c>
      <c r="O2654" t="str">
        <f>TEXT(Table1[[#This Row],[SaleDate]],"MMM")</f>
        <v>Oct</v>
      </c>
    </row>
    <row r="2655" spans="1:15">
      <c r="A2655" s="1">
        <v>45224</v>
      </c>
      <c r="B2655" t="s">
        <v>24</v>
      </c>
      <c r="C2655" t="s">
        <v>22</v>
      </c>
      <c r="D2655">
        <v>1</v>
      </c>
      <c r="E2655" t="s">
        <v>10</v>
      </c>
      <c r="F2655">
        <v>89000</v>
      </c>
      <c r="G2655">
        <v>65000</v>
      </c>
      <c r="H2655">
        <f>Table1[[#This Row],[Qty]]*Table1[[#This Row],[SellingPrice]]</f>
        <v>89000</v>
      </c>
      <c r="I2655">
        <f>Table1[[#This Row],[Qty]]*Table1[[#This Row],[CostPrice]]</f>
        <v>65000</v>
      </c>
      <c r="J2655">
        <v>23832</v>
      </c>
      <c r="K2655">
        <v>167.99999999999997</v>
      </c>
      <c r="L2655" t="s">
        <v>12</v>
      </c>
      <c r="M2655" t="s">
        <v>30</v>
      </c>
      <c r="N2655">
        <f>MONTH(Table1[[#This Row],[SaleDate]])</f>
        <v>10</v>
      </c>
      <c r="O2655" t="str">
        <f>TEXT(Table1[[#This Row],[SaleDate]],"MMM")</f>
        <v>Oct</v>
      </c>
    </row>
    <row r="2656" spans="1:15">
      <c r="A2656" s="1">
        <v>45224</v>
      </c>
      <c r="B2656" t="s">
        <v>25</v>
      </c>
      <c r="C2656" t="s">
        <v>21</v>
      </c>
      <c r="D2656">
        <v>1</v>
      </c>
      <c r="E2656" t="s">
        <v>7</v>
      </c>
      <c r="F2656">
        <v>33000</v>
      </c>
      <c r="G2656">
        <v>18000</v>
      </c>
      <c r="H2656">
        <f>Table1[[#This Row],[Qty]]*Table1[[#This Row],[SellingPrice]]</f>
        <v>33000</v>
      </c>
      <c r="I2656">
        <f>Table1[[#This Row],[Qty]]*Table1[[#This Row],[CostPrice]]</f>
        <v>18000</v>
      </c>
      <c r="J2656">
        <v>14895</v>
      </c>
      <c r="K2656">
        <v>104.99999999999999</v>
      </c>
      <c r="L2656" t="s">
        <v>13</v>
      </c>
      <c r="M2656" t="s">
        <v>30</v>
      </c>
      <c r="N2656">
        <f>MONTH(Table1[[#This Row],[SaleDate]])</f>
        <v>10</v>
      </c>
      <c r="O2656" t="str">
        <f>TEXT(Table1[[#This Row],[SaleDate]],"MMM")</f>
        <v>Oct</v>
      </c>
    </row>
    <row r="2657" spans="1:15">
      <c r="A2657" s="1">
        <v>45224</v>
      </c>
      <c r="B2657" t="s">
        <v>25</v>
      </c>
      <c r="C2657" t="s">
        <v>21</v>
      </c>
      <c r="D2657">
        <v>1</v>
      </c>
      <c r="E2657" t="s">
        <v>9</v>
      </c>
      <c r="F2657">
        <v>60000</v>
      </c>
      <c r="G2657">
        <v>31000</v>
      </c>
      <c r="H2657">
        <f>Table1[[#This Row],[Qty]]*Table1[[#This Row],[SellingPrice]]</f>
        <v>60000</v>
      </c>
      <c r="I2657">
        <f>Table1[[#This Row],[Qty]]*Table1[[#This Row],[CostPrice]]</f>
        <v>31000</v>
      </c>
      <c r="J2657">
        <v>28797</v>
      </c>
      <c r="K2657">
        <v>202.99999999999997</v>
      </c>
      <c r="L2657" t="s">
        <v>13</v>
      </c>
      <c r="M2657" t="s">
        <v>30</v>
      </c>
      <c r="N2657">
        <f>MONTH(Table1[[#This Row],[SaleDate]])</f>
        <v>10</v>
      </c>
      <c r="O2657" t="str">
        <f>TEXT(Table1[[#This Row],[SaleDate]],"MMM")</f>
        <v>Oct</v>
      </c>
    </row>
    <row r="2658" spans="1:15">
      <c r="A2658" s="1">
        <v>45224</v>
      </c>
      <c r="B2658" t="s">
        <v>25</v>
      </c>
      <c r="C2658" t="s">
        <v>21</v>
      </c>
      <c r="D2658">
        <v>1</v>
      </c>
      <c r="E2658" t="s">
        <v>10</v>
      </c>
      <c r="F2658">
        <v>89000</v>
      </c>
      <c r="G2658">
        <v>65000</v>
      </c>
      <c r="H2658">
        <f>Table1[[#This Row],[Qty]]*Table1[[#This Row],[SellingPrice]]</f>
        <v>89000</v>
      </c>
      <c r="I2658">
        <f>Table1[[#This Row],[Qty]]*Table1[[#This Row],[CostPrice]]</f>
        <v>65000</v>
      </c>
      <c r="J2658">
        <v>23832</v>
      </c>
      <c r="K2658">
        <v>167.99999999999997</v>
      </c>
      <c r="L2658" t="s">
        <v>13</v>
      </c>
      <c r="M2658" t="s">
        <v>27</v>
      </c>
      <c r="N2658">
        <f>MONTH(Table1[[#This Row],[SaleDate]])</f>
        <v>10</v>
      </c>
      <c r="O2658" t="str">
        <f>TEXT(Table1[[#This Row],[SaleDate]],"MMM")</f>
        <v>Oct</v>
      </c>
    </row>
    <row r="2659" spans="1:15">
      <c r="A2659" s="1">
        <v>45225</v>
      </c>
      <c r="B2659" t="s">
        <v>23</v>
      </c>
      <c r="C2659" t="s">
        <v>19</v>
      </c>
      <c r="D2659">
        <v>1</v>
      </c>
      <c r="E2659" t="s">
        <v>7</v>
      </c>
      <c r="F2659">
        <v>33000</v>
      </c>
      <c r="G2659">
        <v>18000</v>
      </c>
      <c r="H2659">
        <f>Table1[[#This Row],[Qty]]*Table1[[#This Row],[SellingPrice]]</f>
        <v>33000</v>
      </c>
      <c r="I2659">
        <f>Table1[[#This Row],[Qty]]*Table1[[#This Row],[CostPrice]]</f>
        <v>18000</v>
      </c>
      <c r="J2659">
        <v>14895</v>
      </c>
      <c r="K2659">
        <v>104.99999999999999</v>
      </c>
      <c r="L2659" t="s">
        <v>8</v>
      </c>
      <c r="M2659" t="s">
        <v>27</v>
      </c>
      <c r="N2659">
        <f>MONTH(Table1[[#This Row],[SaleDate]])</f>
        <v>10</v>
      </c>
      <c r="O2659" t="str">
        <f>TEXT(Table1[[#This Row],[SaleDate]],"MMM")</f>
        <v>Oct</v>
      </c>
    </row>
    <row r="2660" spans="1:15">
      <c r="A2660" s="1">
        <v>45225</v>
      </c>
      <c r="B2660" t="s">
        <v>23</v>
      </c>
      <c r="C2660" t="s">
        <v>19</v>
      </c>
      <c r="D2660">
        <v>1</v>
      </c>
      <c r="E2660" t="s">
        <v>9</v>
      </c>
      <c r="F2660">
        <v>60000</v>
      </c>
      <c r="G2660">
        <v>31000</v>
      </c>
      <c r="H2660">
        <f>Table1[[#This Row],[Qty]]*Table1[[#This Row],[SellingPrice]]</f>
        <v>60000</v>
      </c>
      <c r="I2660">
        <f>Table1[[#This Row],[Qty]]*Table1[[#This Row],[CostPrice]]</f>
        <v>31000</v>
      </c>
      <c r="J2660">
        <v>28797</v>
      </c>
      <c r="K2660">
        <v>202.99999999999997</v>
      </c>
      <c r="L2660" t="s">
        <v>8</v>
      </c>
      <c r="M2660" t="s">
        <v>27</v>
      </c>
      <c r="N2660">
        <f>MONTH(Table1[[#This Row],[SaleDate]])</f>
        <v>10</v>
      </c>
      <c r="O2660" t="str">
        <f>TEXT(Table1[[#This Row],[SaleDate]],"MMM")</f>
        <v>Oct</v>
      </c>
    </row>
    <row r="2661" spans="1:15">
      <c r="A2661" s="1">
        <v>45225</v>
      </c>
      <c r="B2661" t="s">
        <v>23</v>
      </c>
      <c r="C2661" t="s">
        <v>19</v>
      </c>
      <c r="D2661">
        <v>1</v>
      </c>
      <c r="E2661" t="s">
        <v>10</v>
      </c>
      <c r="F2661">
        <v>89000</v>
      </c>
      <c r="G2661">
        <v>65000</v>
      </c>
      <c r="H2661">
        <f>Table1[[#This Row],[Qty]]*Table1[[#This Row],[SellingPrice]]</f>
        <v>89000</v>
      </c>
      <c r="I2661">
        <f>Table1[[#This Row],[Qty]]*Table1[[#This Row],[CostPrice]]</f>
        <v>65000</v>
      </c>
      <c r="J2661">
        <v>23832</v>
      </c>
      <c r="K2661">
        <v>167.99999999999997</v>
      </c>
      <c r="L2661" t="s">
        <v>8</v>
      </c>
      <c r="M2661" t="s">
        <v>28</v>
      </c>
      <c r="N2661">
        <f>MONTH(Table1[[#This Row],[SaleDate]])</f>
        <v>10</v>
      </c>
      <c r="O2661" t="str">
        <f>TEXT(Table1[[#This Row],[SaleDate]],"MMM")</f>
        <v>Oct</v>
      </c>
    </row>
    <row r="2662" spans="1:15">
      <c r="A2662" s="1">
        <v>45225</v>
      </c>
      <c r="B2662" t="s">
        <v>26</v>
      </c>
      <c r="C2662" t="s">
        <v>20</v>
      </c>
      <c r="D2662">
        <v>1</v>
      </c>
      <c r="E2662" t="s">
        <v>7</v>
      </c>
      <c r="F2662">
        <v>33000</v>
      </c>
      <c r="G2662">
        <v>18000</v>
      </c>
      <c r="H2662">
        <f>Table1[[#This Row],[Qty]]*Table1[[#This Row],[SellingPrice]]</f>
        <v>33000</v>
      </c>
      <c r="I2662">
        <f>Table1[[#This Row],[Qty]]*Table1[[#This Row],[CostPrice]]</f>
        <v>18000</v>
      </c>
      <c r="J2662">
        <v>14895</v>
      </c>
      <c r="K2662">
        <v>104.99999999999999</v>
      </c>
      <c r="L2662" t="s">
        <v>11</v>
      </c>
      <c r="M2662" t="s">
        <v>30</v>
      </c>
      <c r="N2662">
        <f>MONTH(Table1[[#This Row],[SaleDate]])</f>
        <v>10</v>
      </c>
      <c r="O2662" t="str">
        <f>TEXT(Table1[[#This Row],[SaleDate]],"MMM")</f>
        <v>Oct</v>
      </c>
    </row>
    <row r="2663" spans="1:15">
      <c r="A2663" s="1">
        <v>45225</v>
      </c>
      <c r="B2663" t="s">
        <v>26</v>
      </c>
      <c r="C2663" t="s">
        <v>20</v>
      </c>
      <c r="D2663">
        <v>1</v>
      </c>
      <c r="E2663" t="s">
        <v>10</v>
      </c>
      <c r="F2663">
        <v>89000</v>
      </c>
      <c r="G2663">
        <v>65000</v>
      </c>
      <c r="H2663">
        <f>Table1[[#This Row],[Qty]]*Table1[[#This Row],[SellingPrice]]</f>
        <v>89000</v>
      </c>
      <c r="I2663">
        <f>Table1[[#This Row],[Qty]]*Table1[[#This Row],[CostPrice]]</f>
        <v>65000</v>
      </c>
      <c r="J2663">
        <v>23832</v>
      </c>
      <c r="K2663">
        <v>167.99999999999997</v>
      </c>
      <c r="L2663" t="s">
        <v>11</v>
      </c>
      <c r="M2663" t="s">
        <v>30</v>
      </c>
      <c r="N2663">
        <f>MONTH(Table1[[#This Row],[SaleDate]])</f>
        <v>10</v>
      </c>
      <c r="O2663" t="str">
        <f>TEXT(Table1[[#This Row],[SaleDate]],"MMM")</f>
        <v>Oct</v>
      </c>
    </row>
    <row r="2664" spans="1:15">
      <c r="A2664" s="1">
        <v>45225</v>
      </c>
      <c r="B2664" t="s">
        <v>24</v>
      </c>
      <c r="C2664" t="s">
        <v>22</v>
      </c>
      <c r="D2664">
        <v>1</v>
      </c>
      <c r="E2664" t="s">
        <v>7</v>
      </c>
      <c r="F2664">
        <v>33000</v>
      </c>
      <c r="G2664">
        <v>18000</v>
      </c>
      <c r="H2664">
        <f>Table1[[#This Row],[Qty]]*Table1[[#This Row],[SellingPrice]]</f>
        <v>33000</v>
      </c>
      <c r="I2664">
        <f>Table1[[#This Row],[Qty]]*Table1[[#This Row],[CostPrice]]</f>
        <v>18000</v>
      </c>
      <c r="J2664">
        <v>14895</v>
      </c>
      <c r="K2664">
        <v>104.99999999999999</v>
      </c>
      <c r="L2664" t="s">
        <v>12</v>
      </c>
      <c r="M2664" t="s">
        <v>29</v>
      </c>
      <c r="N2664">
        <f>MONTH(Table1[[#This Row],[SaleDate]])</f>
        <v>10</v>
      </c>
      <c r="O2664" t="str">
        <f>TEXT(Table1[[#This Row],[SaleDate]],"MMM")</f>
        <v>Oct</v>
      </c>
    </row>
    <row r="2665" spans="1:15">
      <c r="A2665" s="1">
        <v>45225</v>
      </c>
      <c r="B2665" t="s">
        <v>24</v>
      </c>
      <c r="C2665" t="s">
        <v>22</v>
      </c>
      <c r="D2665">
        <v>1</v>
      </c>
      <c r="E2665" t="s">
        <v>9</v>
      </c>
      <c r="F2665">
        <v>60000</v>
      </c>
      <c r="G2665">
        <v>31000</v>
      </c>
      <c r="H2665">
        <f>Table1[[#This Row],[Qty]]*Table1[[#This Row],[SellingPrice]]</f>
        <v>60000</v>
      </c>
      <c r="I2665">
        <f>Table1[[#This Row],[Qty]]*Table1[[#This Row],[CostPrice]]</f>
        <v>31000</v>
      </c>
      <c r="J2665">
        <v>28797</v>
      </c>
      <c r="K2665">
        <v>202.99999999999997</v>
      </c>
      <c r="L2665" t="s">
        <v>12</v>
      </c>
      <c r="M2665" t="s">
        <v>27</v>
      </c>
      <c r="N2665">
        <f>MONTH(Table1[[#This Row],[SaleDate]])</f>
        <v>10</v>
      </c>
      <c r="O2665" t="str">
        <f>TEXT(Table1[[#This Row],[SaleDate]],"MMM")</f>
        <v>Oct</v>
      </c>
    </row>
    <row r="2666" spans="1:15">
      <c r="A2666" s="1">
        <v>45225</v>
      </c>
      <c r="B2666" t="s">
        <v>24</v>
      </c>
      <c r="C2666" t="s">
        <v>22</v>
      </c>
      <c r="D2666">
        <v>1</v>
      </c>
      <c r="E2666" t="s">
        <v>10</v>
      </c>
      <c r="F2666">
        <v>89000</v>
      </c>
      <c r="G2666">
        <v>65000</v>
      </c>
      <c r="H2666">
        <f>Table1[[#This Row],[Qty]]*Table1[[#This Row],[SellingPrice]]</f>
        <v>89000</v>
      </c>
      <c r="I2666">
        <f>Table1[[#This Row],[Qty]]*Table1[[#This Row],[CostPrice]]</f>
        <v>65000</v>
      </c>
      <c r="J2666">
        <v>23832</v>
      </c>
      <c r="K2666">
        <v>167.99999999999997</v>
      </c>
      <c r="L2666" t="s">
        <v>12</v>
      </c>
      <c r="M2666" t="s">
        <v>27</v>
      </c>
      <c r="N2666">
        <f>MONTH(Table1[[#This Row],[SaleDate]])</f>
        <v>10</v>
      </c>
      <c r="O2666" t="str">
        <f>TEXT(Table1[[#This Row],[SaleDate]],"MMM")</f>
        <v>Oct</v>
      </c>
    </row>
    <row r="2667" spans="1:15">
      <c r="A2667" s="1">
        <v>45225</v>
      </c>
      <c r="B2667" t="s">
        <v>25</v>
      </c>
      <c r="C2667" t="s">
        <v>21</v>
      </c>
      <c r="D2667">
        <v>1</v>
      </c>
      <c r="E2667" t="s">
        <v>7</v>
      </c>
      <c r="F2667">
        <v>33000</v>
      </c>
      <c r="G2667">
        <v>18000</v>
      </c>
      <c r="H2667">
        <f>Table1[[#This Row],[Qty]]*Table1[[#This Row],[SellingPrice]]</f>
        <v>33000</v>
      </c>
      <c r="I2667">
        <f>Table1[[#This Row],[Qty]]*Table1[[#This Row],[CostPrice]]</f>
        <v>18000</v>
      </c>
      <c r="J2667">
        <v>14895</v>
      </c>
      <c r="K2667">
        <v>104.99999999999999</v>
      </c>
      <c r="L2667" t="s">
        <v>13</v>
      </c>
      <c r="M2667" t="s">
        <v>28</v>
      </c>
      <c r="N2667">
        <f>MONTH(Table1[[#This Row],[SaleDate]])</f>
        <v>10</v>
      </c>
      <c r="O2667" t="str">
        <f>TEXT(Table1[[#This Row],[SaleDate]],"MMM")</f>
        <v>Oct</v>
      </c>
    </row>
    <row r="2668" spans="1:15">
      <c r="A2668" s="1">
        <v>45225</v>
      </c>
      <c r="B2668" t="s">
        <v>25</v>
      </c>
      <c r="C2668" t="s">
        <v>21</v>
      </c>
      <c r="D2668">
        <v>1</v>
      </c>
      <c r="E2668" t="s">
        <v>9</v>
      </c>
      <c r="F2668">
        <v>60000</v>
      </c>
      <c r="G2668">
        <v>31000</v>
      </c>
      <c r="H2668">
        <f>Table1[[#This Row],[Qty]]*Table1[[#This Row],[SellingPrice]]</f>
        <v>60000</v>
      </c>
      <c r="I2668">
        <f>Table1[[#This Row],[Qty]]*Table1[[#This Row],[CostPrice]]</f>
        <v>31000</v>
      </c>
      <c r="J2668">
        <v>28797</v>
      </c>
      <c r="K2668">
        <v>202.99999999999997</v>
      </c>
      <c r="L2668" t="s">
        <v>13</v>
      </c>
      <c r="M2668" t="s">
        <v>29</v>
      </c>
      <c r="N2668">
        <f>MONTH(Table1[[#This Row],[SaleDate]])</f>
        <v>10</v>
      </c>
      <c r="O2668" t="str">
        <f>TEXT(Table1[[#This Row],[SaleDate]],"MMM")</f>
        <v>Oct</v>
      </c>
    </row>
    <row r="2669" spans="1:15">
      <c r="A2669" s="1">
        <v>45225</v>
      </c>
      <c r="B2669" t="s">
        <v>25</v>
      </c>
      <c r="C2669" t="s">
        <v>21</v>
      </c>
      <c r="D2669">
        <v>1</v>
      </c>
      <c r="E2669" t="s">
        <v>10</v>
      </c>
      <c r="F2669">
        <v>89000</v>
      </c>
      <c r="G2669">
        <v>65000</v>
      </c>
      <c r="H2669">
        <f>Table1[[#This Row],[Qty]]*Table1[[#This Row],[SellingPrice]]</f>
        <v>89000</v>
      </c>
      <c r="I2669">
        <f>Table1[[#This Row],[Qty]]*Table1[[#This Row],[CostPrice]]</f>
        <v>65000</v>
      </c>
      <c r="J2669">
        <v>23832</v>
      </c>
      <c r="K2669">
        <v>167.99999999999997</v>
      </c>
      <c r="L2669" t="s">
        <v>13</v>
      </c>
      <c r="M2669" t="s">
        <v>30</v>
      </c>
      <c r="N2669">
        <f>MONTH(Table1[[#This Row],[SaleDate]])</f>
        <v>10</v>
      </c>
      <c r="O2669" t="str">
        <f>TEXT(Table1[[#This Row],[SaleDate]],"MMM")</f>
        <v>Oct</v>
      </c>
    </row>
    <row r="2670" spans="1:15">
      <c r="A2670" s="1">
        <v>45226</v>
      </c>
      <c r="B2670" t="s">
        <v>23</v>
      </c>
      <c r="C2670" t="s">
        <v>19</v>
      </c>
      <c r="D2670">
        <v>2</v>
      </c>
      <c r="E2670" t="s">
        <v>7</v>
      </c>
      <c r="F2670">
        <v>33000</v>
      </c>
      <c r="G2670">
        <v>18000</v>
      </c>
      <c r="H2670">
        <f>Table1[[#This Row],[Qty]]*Table1[[#This Row],[SellingPrice]]</f>
        <v>66000</v>
      </c>
      <c r="I2670">
        <f>Table1[[#This Row],[Qty]]*Table1[[#This Row],[CostPrice]]</f>
        <v>36000</v>
      </c>
      <c r="J2670">
        <v>29790</v>
      </c>
      <c r="K2670">
        <v>209.99999999999997</v>
      </c>
      <c r="L2670" t="s">
        <v>8</v>
      </c>
      <c r="M2670" t="s">
        <v>29</v>
      </c>
      <c r="N2670">
        <f>MONTH(Table1[[#This Row],[SaleDate]])</f>
        <v>10</v>
      </c>
      <c r="O2670" t="str">
        <f>TEXT(Table1[[#This Row],[SaleDate]],"MMM")</f>
        <v>Oct</v>
      </c>
    </row>
    <row r="2671" spans="1:15">
      <c r="A2671" s="1">
        <v>45226</v>
      </c>
      <c r="B2671" t="s">
        <v>23</v>
      </c>
      <c r="C2671" t="s">
        <v>19</v>
      </c>
      <c r="D2671">
        <v>2</v>
      </c>
      <c r="E2671" t="s">
        <v>9</v>
      </c>
      <c r="F2671">
        <v>60000</v>
      </c>
      <c r="G2671">
        <v>31000</v>
      </c>
      <c r="H2671">
        <f>Table1[[#This Row],[Qty]]*Table1[[#This Row],[SellingPrice]]</f>
        <v>120000</v>
      </c>
      <c r="I2671">
        <f>Table1[[#This Row],[Qty]]*Table1[[#This Row],[CostPrice]]</f>
        <v>62000</v>
      </c>
      <c r="J2671">
        <v>57594</v>
      </c>
      <c r="K2671">
        <v>405.99999999999994</v>
      </c>
      <c r="L2671" t="s">
        <v>8</v>
      </c>
      <c r="M2671" t="s">
        <v>28</v>
      </c>
      <c r="N2671">
        <f>MONTH(Table1[[#This Row],[SaleDate]])</f>
        <v>10</v>
      </c>
      <c r="O2671" t="str">
        <f>TEXT(Table1[[#This Row],[SaleDate]],"MMM")</f>
        <v>Oct</v>
      </c>
    </row>
    <row r="2672" spans="1:15">
      <c r="A2672" s="1">
        <v>45226</v>
      </c>
      <c r="B2672" t="s">
        <v>23</v>
      </c>
      <c r="C2672" t="s">
        <v>19</v>
      </c>
      <c r="D2672">
        <v>2</v>
      </c>
      <c r="E2672" t="s">
        <v>10</v>
      </c>
      <c r="F2672">
        <v>89000</v>
      </c>
      <c r="G2672">
        <v>65000</v>
      </c>
      <c r="H2672">
        <f>Table1[[#This Row],[Qty]]*Table1[[#This Row],[SellingPrice]]</f>
        <v>178000</v>
      </c>
      <c r="I2672">
        <f>Table1[[#This Row],[Qty]]*Table1[[#This Row],[CostPrice]]</f>
        <v>130000</v>
      </c>
      <c r="J2672">
        <v>47664</v>
      </c>
      <c r="K2672">
        <v>335.99999999999994</v>
      </c>
      <c r="L2672" t="s">
        <v>8</v>
      </c>
      <c r="M2672" t="s">
        <v>27</v>
      </c>
      <c r="N2672">
        <f>MONTH(Table1[[#This Row],[SaleDate]])</f>
        <v>10</v>
      </c>
      <c r="O2672" t="str">
        <f>TEXT(Table1[[#This Row],[SaleDate]],"MMM")</f>
        <v>Oct</v>
      </c>
    </row>
    <row r="2673" spans="1:15">
      <c r="A2673" s="1">
        <v>45226</v>
      </c>
      <c r="B2673" t="s">
        <v>26</v>
      </c>
      <c r="C2673" t="s">
        <v>20</v>
      </c>
      <c r="D2673">
        <v>2</v>
      </c>
      <c r="E2673" t="s">
        <v>7</v>
      </c>
      <c r="F2673">
        <v>33000</v>
      </c>
      <c r="G2673">
        <v>18000</v>
      </c>
      <c r="H2673">
        <f>Table1[[#This Row],[Qty]]*Table1[[#This Row],[SellingPrice]]</f>
        <v>66000</v>
      </c>
      <c r="I2673">
        <f>Table1[[#This Row],[Qty]]*Table1[[#This Row],[CostPrice]]</f>
        <v>36000</v>
      </c>
      <c r="J2673">
        <v>29790</v>
      </c>
      <c r="K2673">
        <v>209.99999999999997</v>
      </c>
      <c r="L2673" t="s">
        <v>11</v>
      </c>
      <c r="M2673" t="s">
        <v>28</v>
      </c>
      <c r="N2673">
        <f>MONTH(Table1[[#This Row],[SaleDate]])</f>
        <v>10</v>
      </c>
      <c r="O2673" t="str">
        <f>TEXT(Table1[[#This Row],[SaleDate]],"MMM")</f>
        <v>Oct</v>
      </c>
    </row>
    <row r="2674" spans="1:15">
      <c r="A2674" s="1">
        <v>45226</v>
      </c>
      <c r="B2674" t="s">
        <v>26</v>
      </c>
      <c r="C2674" t="s">
        <v>20</v>
      </c>
      <c r="D2674">
        <v>2</v>
      </c>
      <c r="E2674" t="s">
        <v>10</v>
      </c>
      <c r="F2674">
        <v>89000</v>
      </c>
      <c r="G2674">
        <v>65000</v>
      </c>
      <c r="H2674">
        <f>Table1[[#This Row],[Qty]]*Table1[[#This Row],[SellingPrice]]</f>
        <v>178000</v>
      </c>
      <c r="I2674">
        <f>Table1[[#This Row],[Qty]]*Table1[[#This Row],[CostPrice]]</f>
        <v>130000</v>
      </c>
      <c r="J2674">
        <v>47664</v>
      </c>
      <c r="K2674">
        <v>335.99999999999994</v>
      </c>
      <c r="L2674" t="s">
        <v>11</v>
      </c>
      <c r="M2674" t="s">
        <v>28</v>
      </c>
      <c r="N2674">
        <f>MONTH(Table1[[#This Row],[SaleDate]])</f>
        <v>10</v>
      </c>
      <c r="O2674" t="str">
        <f>TEXT(Table1[[#This Row],[SaleDate]],"MMM")</f>
        <v>Oct</v>
      </c>
    </row>
    <row r="2675" spans="1:15">
      <c r="A2675" s="1">
        <v>45226</v>
      </c>
      <c r="B2675" t="s">
        <v>24</v>
      </c>
      <c r="C2675" t="s">
        <v>22</v>
      </c>
      <c r="D2675">
        <v>2</v>
      </c>
      <c r="E2675" t="s">
        <v>7</v>
      </c>
      <c r="F2675">
        <v>33000</v>
      </c>
      <c r="G2675">
        <v>18000</v>
      </c>
      <c r="H2675">
        <f>Table1[[#This Row],[Qty]]*Table1[[#This Row],[SellingPrice]]</f>
        <v>66000</v>
      </c>
      <c r="I2675">
        <f>Table1[[#This Row],[Qty]]*Table1[[#This Row],[CostPrice]]</f>
        <v>36000</v>
      </c>
      <c r="J2675">
        <v>29790</v>
      </c>
      <c r="K2675">
        <v>209.99999999999997</v>
      </c>
      <c r="L2675" t="s">
        <v>12</v>
      </c>
      <c r="M2675" t="s">
        <v>30</v>
      </c>
      <c r="N2675">
        <f>MONTH(Table1[[#This Row],[SaleDate]])</f>
        <v>10</v>
      </c>
      <c r="O2675" t="str">
        <f>TEXT(Table1[[#This Row],[SaleDate]],"MMM")</f>
        <v>Oct</v>
      </c>
    </row>
    <row r="2676" spans="1:15">
      <c r="A2676" s="1">
        <v>45226</v>
      </c>
      <c r="B2676" t="s">
        <v>24</v>
      </c>
      <c r="C2676" t="s">
        <v>22</v>
      </c>
      <c r="D2676">
        <v>2</v>
      </c>
      <c r="E2676" t="s">
        <v>9</v>
      </c>
      <c r="F2676">
        <v>60000</v>
      </c>
      <c r="G2676">
        <v>31000</v>
      </c>
      <c r="H2676">
        <f>Table1[[#This Row],[Qty]]*Table1[[#This Row],[SellingPrice]]</f>
        <v>120000</v>
      </c>
      <c r="I2676">
        <f>Table1[[#This Row],[Qty]]*Table1[[#This Row],[CostPrice]]</f>
        <v>62000</v>
      </c>
      <c r="J2676">
        <v>57594</v>
      </c>
      <c r="K2676">
        <v>405.99999999999994</v>
      </c>
      <c r="L2676" t="s">
        <v>12</v>
      </c>
      <c r="M2676" t="s">
        <v>29</v>
      </c>
      <c r="N2676">
        <f>MONTH(Table1[[#This Row],[SaleDate]])</f>
        <v>10</v>
      </c>
      <c r="O2676" t="str">
        <f>TEXT(Table1[[#This Row],[SaleDate]],"MMM")</f>
        <v>Oct</v>
      </c>
    </row>
    <row r="2677" spans="1:15">
      <c r="A2677" s="1">
        <v>45226</v>
      </c>
      <c r="B2677" t="s">
        <v>24</v>
      </c>
      <c r="C2677" t="s">
        <v>22</v>
      </c>
      <c r="D2677">
        <v>2</v>
      </c>
      <c r="E2677" t="s">
        <v>10</v>
      </c>
      <c r="F2677">
        <v>89000</v>
      </c>
      <c r="G2677">
        <v>65000</v>
      </c>
      <c r="H2677">
        <f>Table1[[#This Row],[Qty]]*Table1[[#This Row],[SellingPrice]]</f>
        <v>178000</v>
      </c>
      <c r="I2677">
        <f>Table1[[#This Row],[Qty]]*Table1[[#This Row],[CostPrice]]</f>
        <v>130000</v>
      </c>
      <c r="J2677">
        <v>47664</v>
      </c>
      <c r="K2677">
        <v>335.99999999999994</v>
      </c>
      <c r="L2677" t="s">
        <v>12</v>
      </c>
      <c r="M2677" t="s">
        <v>29</v>
      </c>
      <c r="N2677">
        <f>MONTH(Table1[[#This Row],[SaleDate]])</f>
        <v>10</v>
      </c>
      <c r="O2677" t="str">
        <f>TEXT(Table1[[#This Row],[SaleDate]],"MMM")</f>
        <v>Oct</v>
      </c>
    </row>
    <row r="2678" spans="1:15">
      <c r="A2678" s="1">
        <v>45226</v>
      </c>
      <c r="B2678" t="s">
        <v>25</v>
      </c>
      <c r="C2678" t="s">
        <v>21</v>
      </c>
      <c r="D2678">
        <v>2</v>
      </c>
      <c r="E2678" t="s">
        <v>7</v>
      </c>
      <c r="F2678">
        <v>33000</v>
      </c>
      <c r="G2678">
        <v>18000</v>
      </c>
      <c r="H2678">
        <f>Table1[[#This Row],[Qty]]*Table1[[#This Row],[SellingPrice]]</f>
        <v>66000</v>
      </c>
      <c r="I2678">
        <f>Table1[[#This Row],[Qty]]*Table1[[#This Row],[CostPrice]]</f>
        <v>36000</v>
      </c>
      <c r="J2678">
        <v>29790</v>
      </c>
      <c r="K2678">
        <v>209.99999999999997</v>
      </c>
      <c r="L2678" t="s">
        <v>13</v>
      </c>
      <c r="M2678" t="s">
        <v>30</v>
      </c>
      <c r="N2678">
        <f>MONTH(Table1[[#This Row],[SaleDate]])</f>
        <v>10</v>
      </c>
      <c r="O2678" t="str">
        <f>TEXT(Table1[[#This Row],[SaleDate]],"MMM")</f>
        <v>Oct</v>
      </c>
    </row>
    <row r="2679" spans="1:15">
      <c r="A2679" s="1">
        <v>45226</v>
      </c>
      <c r="B2679" t="s">
        <v>25</v>
      </c>
      <c r="C2679" t="s">
        <v>21</v>
      </c>
      <c r="D2679">
        <v>2</v>
      </c>
      <c r="E2679" t="s">
        <v>9</v>
      </c>
      <c r="F2679">
        <v>60000</v>
      </c>
      <c r="G2679">
        <v>31000</v>
      </c>
      <c r="H2679">
        <f>Table1[[#This Row],[Qty]]*Table1[[#This Row],[SellingPrice]]</f>
        <v>120000</v>
      </c>
      <c r="I2679">
        <f>Table1[[#This Row],[Qty]]*Table1[[#This Row],[CostPrice]]</f>
        <v>62000</v>
      </c>
      <c r="J2679">
        <v>57594</v>
      </c>
      <c r="K2679">
        <v>405.99999999999994</v>
      </c>
      <c r="L2679" t="s">
        <v>13</v>
      </c>
      <c r="M2679" t="s">
        <v>29</v>
      </c>
      <c r="N2679">
        <f>MONTH(Table1[[#This Row],[SaleDate]])</f>
        <v>10</v>
      </c>
      <c r="O2679" t="str">
        <f>TEXT(Table1[[#This Row],[SaleDate]],"MMM")</f>
        <v>Oct</v>
      </c>
    </row>
    <row r="2680" spans="1:15">
      <c r="A2680" s="1">
        <v>45226</v>
      </c>
      <c r="B2680" t="s">
        <v>25</v>
      </c>
      <c r="C2680" t="s">
        <v>21</v>
      </c>
      <c r="D2680">
        <v>2</v>
      </c>
      <c r="E2680" t="s">
        <v>10</v>
      </c>
      <c r="F2680">
        <v>89000</v>
      </c>
      <c r="G2680">
        <v>65000</v>
      </c>
      <c r="H2680">
        <f>Table1[[#This Row],[Qty]]*Table1[[#This Row],[SellingPrice]]</f>
        <v>178000</v>
      </c>
      <c r="I2680">
        <f>Table1[[#This Row],[Qty]]*Table1[[#This Row],[CostPrice]]</f>
        <v>130000</v>
      </c>
      <c r="J2680">
        <v>47664</v>
      </c>
      <c r="K2680">
        <v>335.99999999999994</v>
      </c>
      <c r="L2680" t="s">
        <v>13</v>
      </c>
      <c r="M2680" t="s">
        <v>29</v>
      </c>
      <c r="N2680">
        <f>MONTH(Table1[[#This Row],[SaleDate]])</f>
        <v>10</v>
      </c>
      <c r="O2680" t="str">
        <f>TEXT(Table1[[#This Row],[SaleDate]],"MMM")</f>
        <v>Oct</v>
      </c>
    </row>
    <row r="2681" spans="1:15">
      <c r="A2681" s="1">
        <v>45227</v>
      </c>
      <c r="B2681" t="s">
        <v>23</v>
      </c>
      <c r="C2681" t="s">
        <v>19</v>
      </c>
      <c r="D2681">
        <v>2</v>
      </c>
      <c r="E2681" t="s">
        <v>7</v>
      </c>
      <c r="F2681">
        <v>33000</v>
      </c>
      <c r="G2681">
        <v>18000</v>
      </c>
      <c r="H2681">
        <f>Table1[[#This Row],[Qty]]*Table1[[#This Row],[SellingPrice]]</f>
        <v>66000</v>
      </c>
      <c r="I2681">
        <f>Table1[[#This Row],[Qty]]*Table1[[#This Row],[CostPrice]]</f>
        <v>36000</v>
      </c>
      <c r="J2681">
        <v>29790</v>
      </c>
      <c r="K2681">
        <v>209.99999999999997</v>
      </c>
      <c r="L2681" t="s">
        <v>8</v>
      </c>
      <c r="M2681" t="s">
        <v>29</v>
      </c>
      <c r="N2681">
        <f>MONTH(Table1[[#This Row],[SaleDate]])</f>
        <v>10</v>
      </c>
      <c r="O2681" t="str">
        <f>TEXT(Table1[[#This Row],[SaleDate]],"MMM")</f>
        <v>Oct</v>
      </c>
    </row>
    <row r="2682" spans="1:15">
      <c r="A2682" s="1">
        <v>45227</v>
      </c>
      <c r="B2682" t="s">
        <v>23</v>
      </c>
      <c r="C2682" t="s">
        <v>19</v>
      </c>
      <c r="D2682">
        <v>2</v>
      </c>
      <c r="E2682" t="s">
        <v>9</v>
      </c>
      <c r="F2682">
        <v>60000</v>
      </c>
      <c r="G2682">
        <v>31000</v>
      </c>
      <c r="H2682">
        <f>Table1[[#This Row],[Qty]]*Table1[[#This Row],[SellingPrice]]</f>
        <v>120000</v>
      </c>
      <c r="I2682">
        <f>Table1[[#This Row],[Qty]]*Table1[[#This Row],[CostPrice]]</f>
        <v>62000</v>
      </c>
      <c r="J2682">
        <v>57594</v>
      </c>
      <c r="K2682">
        <v>405.99999999999994</v>
      </c>
      <c r="L2682" t="s">
        <v>8</v>
      </c>
      <c r="M2682" t="s">
        <v>28</v>
      </c>
      <c r="N2682">
        <f>MONTH(Table1[[#This Row],[SaleDate]])</f>
        <v>10</v>
      </c>
      <c r="O2682" t="str">
        <f>TEXT(Table1[[#This Row],[SaleDate]],"MMM")</f>
        <v>Oct</v>
      </c>
    </row>
    <row r="2683" spans="1:15">
      <c r="A2683" s="1">
        <v>45227</v>
      </c>
      <c r="B2683" t="s">
        <v>23</v>
      </c>
      <c r="C2683" t="s">
        <v>19</v>
      </c>
      <c r="D2683">
        <v>2</v>
      </c>
      <c r="E2683" t="s">
        <v>10</v>
      </c>
      <c r="F2683">
        <v>89000</v>
      </c>
      <c r="G2683">
        <v>65000</v>
      </c>
      <c r="H2683">
        <f>Table1[[#This Row],[Qty]]*Table1[[#This Row],[SellingPrice]]</f>
        <v>178000</v>
      </c>
      <c r="I2683">
        <f>Table1[[#This Row],[Qty]]*Table1[[#This Row],[CostPrice]]</f>
        <v>130000</v>
      </c>
      <c r="J2683">
        <v>47664</v>
      </c>
      <c r="K2683">
        <v>335.99999999999994</v>
      </c>
      <c r="L2683" t="s">
        <v>8</v>
      </c>
      <c r="M2683" t="s">
        <v>29</v>
      </c>
      <c r="N2683">
        <f>MONTH(Table1[[#This Row],[SaleDate]])</f>
        <v>10</v>
      </c>
      <c r="O2683" t="str">
        <f>TEXT(Table1[[#This Row],[SaleDate]],"MMM")</f>
        <v>Oct</v>
      </c>
    </row>
    <row r="2684" spans="1:15">
      <c r="A2684" s="1">
        <v>45227</v>
      </c>
      <c r="B2684" t="s">
        <v>26</v>
      </c>
      <c r="C2684" t="s">
        <v>20</v>
      </c>
      <c r="D2684">
        <v>2</v>
      </c>
      <c r="E2684" t="s">
        <v>7</v>
      </c>
      <c r="F2684">
        <v>33000</v>
      </c>
      <c r="G2684">
        <v>18000</v>
      </c>
      <c r="H2684">
        <f>Table1[[#This Row],[Qty]]*Table1[[#This Row],[SellingPrice]]</f>
        <v>66000</v>
      </c>
      <c r="I2684">
        <f>Table1[[#This Row],[Qty]]*Table1[[#This Row],[CostPrice]]</f>
        <v>36000</v>
      </c>
      <c r="J2684">
        <v>29790</v>
      </c>
      <c r="K2684">
        <v>209.99999999999997</v>
      </c>
      <c r="L2684" t="s">
        <v>11</v>
      </c>
      <c r="M2684" t="s">
        <v>29</v>
      </c>
      <c r="N2684">
        <f>MONTH(Table1[[#This Row],[SaleDate]])</f>
        <v>10</v>
      </c>
      <c r="O2684" t="str">
        <f>TEXT(Table1[[#This Row],[SaleDate]],"MMM")</f>
        <v>Oct</v>
      </c>
    </row>
    <row r="2685" spans="1:15">
      <c r="A2685" s="1">
        <v>45227</v>
      </c>
      <c r="B2685" t="s">
        <v>26</v>
      </c>
      <c r="C2685" t="s">
        <v>20</v>
      </c>
      <c r="D2685">
        <v>2</v>
      </c>
      <c r="E2685" t="s">
        <v>10</v>
      </c>
      <c r="F2685">
        <v>89000</v>
      </c>
      <c r="G2685">
        <v>65000</v>
      </c>
      <c r="H2685">
        <f>Table1[[#This Row],[Qty]]*Table1[[#This Row],[SellingPrice]]</f>
        <v>178000</v>
      </c>
      <c r="I2685">
        <f>Table1[[#This Row],[Qty]]*Table1[[#This Row],[CostPrice]]</f>
        <v>130000</v>
      </c>
      <c r="J2685">
        <v>47664</v>
      </c>
      <c r="K2685">
        <v>335.99999999999994</v>
      </c>
      <c r="L2685" t="s">
        <v>11</v>
      </c>
      <c r="M2685" t="s">
        <v>30</v>
      </c>
      <c r="N2685">
        <f>MONTH(Table1[[#This Row],[SaleDate]])</f>
        <v>10</v>
      </c>
      <c r="O2685" t="str">
        <f>TEXT(Table1[[#This Row],[SaleDate]],"MMM")</f>
        <v>Oct</v>
      </c>
    </row>
    <row r="2686" spans="1:15">
      <c r="A2686" s="1">
        <v>45227</v>
      </c>
      <c r="B2686" t="s">
        <v>24</v>
      </c>
      <c r="C2686" t="s">
        <v>22</v>
      </c>
      <c r="D2686">
        <v>2</v>
      </c>
      <c r="E2686" t="s">
        <v>7</v>
      </c>
      <c r="F2686">
        <v>33000</v>
      </c>
      <c r="G2686">
        <v>18000</v>
      </c>
      <c r="H2686">
        <f>Table1[[#This Row],[Qty]]*Table1[[#This Row],[SellingPrice]]</f>
        <v>66000</v>
      </c>
      <c r="I2686">
        <f>Table1[[#This Row],[Qty]]*Table1[[#This Row],[CostPrice]]</f>
        <v>36000</v>
      </c>
      <c r="J2686">
        <v>29790</v>
      </c>
      <c r="K2686">
        <v>209.99999999999997</v>
      </c>
      <c r="L2686" t="s">
        <v>12</v>
      </c>
      <c r="M2686" t="s">
        <v>29</v>
      </c>
      <c r="N2686">
        <f>MONTH(Table1[[#This Row],[SaleDate]])</f>
        <v>10</v>
      </c>
      <c r="O2686" t="str">
        <f>TEXT(Table1[[#This Row],[SaleDate]],"MMM")</f>
        <v>Oct</v>
      </c>
    </row>
    <row r="2687" spans="1:15">
      <c r="A2687" s="1">
        <v>45227</v>
      </c>
      <c r="B2687" t="s">
        <v>24</v>
      </c>
      <c r="C2687" t="s">
        <v>22</v>
      </c>
      <c r="D2687">
        <v>2</v>
      </c>
      <c r="E2687" t="s">
        <v>9</v>
      </c>
      <c r="F2687">
        <v>60000</v>
      </c>
      <c r="G2687">
        <v>31000</v>
      </c>
      <c r="H2687">
        <f>Table1[[#This Row],[Qty]]*Table1[[#This Row],[SellingPrice]]</f>
        <v>120000</v>
      </c>
      <c r="I2687">
        <f>Table1[[#This Row],[Qty]]*Table1[[#This Row],[CostPrice]]</f>
        <v>62000</v>
      </c>
      <c r="J2687">
        <v>57594</v>
      </c>
      <c r="K2687">
        <v>405.99999999999994</v>
      </c>
      <c r="L2687" t="s">
        <v>12</v>
      </c>
      <c r="M2687" t="s">
        <v>29</v>
      </c>
      <c r="N2687">
        <f>MONTH(Table1[[#This Row],[SaleDate]])</f>
        <v>10</v>
      </c>
      <c r="O2687" t="str">
        <f>TEXT(Table1[[#This Row],[SaleDate]],"MMM")</f>
        <v>Oct</v>
      </c>
    </row>
    <row r="2688" spans="1:15">
      <c r="A2688" s="1">
        <v>45227</v>
      </c>
      <c r="B2688" t="s">
        <v>24</v>
      </c>
      <c r="C2688" t="s">
        <v>22</v>
      </c>
      <c r="D2688">
        <v>2</v>
      </c>
      <c r="E2688" t="s">
        <v>10</v>
      </c>
      <c r="F2688">
        <v>89000</v>
      </c>
      <c r="G2688">
        <v>65000</v>
      </c>
      <c r="H2688">
        <f>Table1[[#This Row],[Qty]]*Table1[[#This Row],[SellingPrice]]</f>
        <v>178000</v>
      </c>
      <c r="I2688">
        <f>Table1[[#This Row],[Qty]]*Table1[[#This Row],[CostPrice]]</f>
        <v>130000</v>
      </c>
      <c r="J2688">
        <v>47664</v>
      </c>
      <c r="K2688">
        <v>335.99999999999994</v>
      </c>
      <c r="L2688" t="s">
        <v>12</v>
      </c>
      <c r="M2688" t="s">
        <v>28</v>
      </c>
      <c r="N2688">
        <f>MONTH(Table1[[#This Row],[SaleDate]])</f>
        <v>10</v>
      </c>
      <c r="O2688" t="str">
        <f>TEXT(Table1[[#This Row],[SaleDate]],"MMM")</f>
        <v>Oct</v>
      </c>
    </row>
    <row r="2689" spans="1:15">
      <c r="A2689" s="1">
        <v>45227</v>
      </c>
      <c r="B2689" t="s">
        <v>25</v>
      </c>
      <c r="C2689" t="s">
        <v>21</v>
      </c>
      <c r="D2689">
        <v>2</v>
      </c>
      <c r="E2689" t="s">
        <v>7</v>
      </c>
      <c r="F2689">
        <v>33000</v>
      </c>
      <c r="G2689">
        <v>18000</v>
      </c>
      <c r="H2689">
        <f>Table1[[#This Row],[Qty]]*Table1[[#This Row],[SellingPrice]]</f>
        <v>66000</v>
      </c>
      <c r="I2689">
        <f>Table1[[#This Row],[Qty]]*Table1[[#This Row],[CostPrice]]</f>
        <v>36000</v>
      </c>
      <c r="J2689">
        <v>29790</v>
      </c>
      <c r="K2689">
        <v>209.99999999999997</v>
      </c>
      <c r="L2689" t="s">
        <v>13</v>
      </c>
      <c r="M2689" t="s">
        <v>27</v>
      </c>
      <c r="N2689">
        <f>MONTH(Table1[[#This Row],[SaleDate]])</f>
        <v>10</v>
      </c>
      <c r="O2689" t="str">
        <f>TEXT(Table1[[#This Row],[SaleDate]],"MMM")</f>
        <v>Oct</v>
      </c>
    </row>
    <row r="2690" spans="1:15">
      <c r="A2690" s="1">
        <v>45227</v>
      </c>
      <c r="B2690" t="s">
        <v>25</v>
      </c>
      <c r="C2690" t="s">
        <v>21</v>
      </c>
      <c r="D2690">
        <v>2</v>
      </c>
      <c r="E2690" t="s">
        <v>9</v>
      </c>
      <c r="F2690">
        <v>60000</v>
      </c>
      <c r="G2690">
        <v>31000</v>
      </c>
      <c r="H2690">
        <f>Table1[[#This Row],[Qty]]*Table1[[#This Row],[SellingPrice]]</f>
        <v>120000</v>
      </c>
      <c r="I2690">
        <f>Table1[[#This Row],[Qty]]*Table1[[#This Row],[CostPrice]]</f>
        <v>62000</v>
      </c>
      <c r="J2690">
        <v>57594</v>
      </c>
      <c r="K2690">
        <v>405.99999999999994</v>
      </c>
      <c r="L2690" t="s">
        <v>13</v>
      </c>
      <c r="M2690" t="s">
        <v>29</v>
      </c>
      <c r="N2690">
        <f>MONTH(Table1[[#This Row],[SaleDate]])</f>
        <v>10</v>
      </c>
      <c r="O2690" t="str">
        <f>TEXT(Table1[[#This Row],[SaleDate]],"MMM")</f>
        <v>Oct</v>
      </c>
    </row>
    <row r="2691" spans="1:15">
      <c r="A2691" s="1">
        <v>45227</v>
      </c>
      <c r="B2691" t="s">
        <v>25</v>
      </c>
      <c r="C2691" t="s">
        <v>21</v>
      </c>
      <c r="D2691">
        <v>2</v>
      </c>
      <c r="E2691" t="s">
        <v>10</v>
      </c>
      <c r="F2691">
        <v>89000</v>
      </c>
      <c r="G2691">
        <v>65000</v>
      </c>
      <c r="H2691">
        <f>Table1[[#This Row],[Qty]]*Table1[[#This Row],[SellingPrice]]</f>
        <v>178000</v>
      </c>
      <c r="I2691">
        <f>Table1[[#This Row],[Qty]]*Table1[[#This Row],[CostPrice]]</f>
        <v>130000</v>
      </c>
      <c r="J2691">
        <v>47664</v>
      </c>
      <c r="K2691">
        <v>335.99999999999994</v>
      </c>
      <c r="L2691" t="s">
        <v>13</v>
      </c>
      <c r="M2691" t="s">
        <v>28</v>
      </c>
      <c r="N2691">
        <f>MONTH(Table1[[#This Row],[SaleDate]])</f>
        <v>10</v>
      </c>
      <c r="O2691" t="str">
        <f>TEXT(Table1[[#This Row],[SaleDate]],"MMM")</f>
        <v>Oct</v>
      </c>
    </row>
    <row r="2692" spans="1:15">
      <c r="A2692" s="1">
        <v>45228</v>
      </c>
      <c r="B2692" t="s">
        <v>23</v>
      </c>
      <c r="C2692" t="s">
        <v>19</v>
      </c>
      <c r="D2692">
        <v>1</v>
      </c>
      <c r="E2692" t="s">
        <v>7</v>
      </c>
      <c r="F2692">
        <v>33000</v>
      </c>
      <c r="G2692">
        <v>18000</v>
      </c>
      <c r="H2692">
        <f>Table1[[#This Row],[Qty]]*Table1[[#This Row],[SellingPrice]]</f>
        <v>33000</v>
      </c>
      <c r="I2692">
        <f>Table1[[#This Row],[Qty]]*Table1[[#This Row],[CostPrice]]</f>
        <v>18000</v>
      </c>
      <c r="J2692">
        <v>14895</v>
      </c>
      <c r="K2692">
        <v>104.99999999999999</v>
      </c>
      <c r="L2692" t="s">
        <v>8</v>
      </c>
      <c r="M2692" t="s">
        <v>28</v>
      </c>
      <c r="N2692">
        <f>MONTH(Table1[[#This Row],[SaleDate]])</f>
        <v>10</v>
      </c>
      <c r="O2692" t="str">
        <f>TEXT(Table1[[#This Row],[SaleDate]],"MMM")</f>
        <v>Oct</v>
      </c>
    </row>
    <row r="2693" spans="1:15">
      <c r="A2693" s="1">
        <v>45228</v>
      </c>
      <c r="B2693" t="s">
        <v>23</v>
      </c>
      <c r="C2693" t="s">
        <v>19</v>
      </c>
      <c r="D2693">
        <v>1</v>
      </c>
      <c r="E2693" t="s">
        <v>9</v>
      </c>
      <c r="F2693">
        <v>60000</v>
      </c>
      <c r="G2693">
        <v>31000</v>
      </c>
      <c r="H2693">
        <f>Table1[[#This Row],[Qty]]*Table1[[#This Row],[SellingPrice]]</f>
        <v>60000</v>
      </c>
      <c r="I2693">
        <f>Table1[[#This Row],[Qty]]*Table1[[#This Row],[CostPrice]]</f>
        <v>31000</v>
      </c>
      <c r="J2693">
        <v>28797</v>
      </c>
      <c r="K2693">
        <v>202.99999999999997</v>
      </c>
      <c r="L2693" t="s">
        <v>8</v>
      </c>
      <c r="M2693" t="s">
        <v>29</v>
      </c>
      <c r="N2693">
        <f>MONTH(Table1[[#This Row],[SaleDate]])</f>
        <v>10</v>
      </c>
      <c r="O2693" t="str">
        <f>TEXT(Table1[[#This Row],[SaleDate]],"MMM")</f>
        <v>Oct</v>
      </c>
    </row>
    <row r="2694" spans="1:15">
      <c r="A2694" s="1">
        <v>45228</v>
      </c>
      <c r="B2694" t="s">
        <v>23</v>
      </c>
      <c r="C2694" t="s">
        <v>19</v>
      </c>
      <c r="D2694">
        <v>1</v>
      </c>
      <c r="E2694" t="s">
        <v>10</v>
      </c>
      <c r="F2694">
        <v>89000</v>
      </c>
      <c r="G2694">
        <v>65000</v>
      </c>
      <c r="H2694">
        <f>Table1[[#This Row],[Qty]]*Table1[[#This Row],[SellingPrice]]</f>
        <v>89000</v>
      </c>
      <c r="I2694">
        <f>Table1[[#This Row],[Qty]]*Table1[[#This Row],[CostPrice]]</f>
        <v>65000</v>
      </c>
      <c r="J2694">
        <v>23832</v>
      </c>
      <c r="K2694">
        <v>167.99999999999997</v>
      </c>
      <c r="L2694" t="s">
        <v>8</v>
      </c>
      <c r="M2694" t="s">
        <v>30</v>
      </c>
      <c r="N2694">
        <f>MONTH(Table1[[#This Row],[SaleDate]])</f>
        <v>10</v>
      </c>
      <c r="O2694" t="str">
        <f>TEXT(Table1[[#This Row],[SaleDate]],"MMM")</f>
        <v>Oct</v>
      </c>
    </row>
    <row r="2695" spans="1:15">
      <c r="A2695" s="1">
        <v>45228</v>
      </c>
      <c r="B2695" t="s">
        <v>26</v>
      </c>
      <c r="C2695" t="s">
        <v>20</v>
      </c>
      <c r="D2695">
        <v>1</v>
      </c>
      <c r="E2695" t="s">
        <v>7</v>
      </c>
      <c r="F2695">
        <v>33000</v>
      </c>
      <c r="G2695">
        <v>18000</v>
      </c>
      <c r="H2695">
        <f>Table1[[#This Row],[Qty]]*Table1[[#This Row],[SellingPrice]]</f>
        <v>33000</v>
      </c>
      <c r="I2695">
        <f>Table1[[#This Row],[Qty]]*Table1[[#This Row],[CostPrice]]</f>
        <v>18000</v>
      </c>
      <c r="J2695">
        <v>14895</v>
      </c>
      <c r="K2695">
        <v>104.99999999999999</v>
      </c>
      <c r="L2695" t="s">
        <v>11</v>
      </c>
      <c r="M2695" t="s">
        <v>27</v>
      </c>
      <c r="N2695">
        <f>MONTH(Table1[[#This Row],[SaleDate]])</f>
        <v>10</v>
      </c>
      <c r="O2695" t="str">
        <f>TEXT(Table1[[#This Row],[SaleDate]],"MMM")</f>
        <v>Oct</v>
      </c>
    </row>
    <row r="2696" spans="1:15">
      <c r="A2696" s="1">
        <v>45228</v>
      </c>
      <c r="B2696" t="s">
        <v>26</v>
      </c>
      <c r="C2696" t="s">
        <v>20</v>
      </c>
      <c r="D2696">
        <v>1</v>
      </c>
      <c r="E2696" t="s">
        <v>10</v>
      </c>
      <c r="F2696">
        <v>89000</v>
      </c>
      <c r="G2696">
        <v>65000</v>
      </c>
      <c r="H2696">
        <f>Table1[[#This Row],[Qty]]*Table1[[#This Row],[SellingPrice]]</f>
        <v>89000</v>
      </c>
      <c r="I2696">
        <f>Table1[[#This Row],[Qty]]*Table1[[#This Row],[CostPrice]]</f>
        <v>65000</v>
      </c>
      <c r="J2696">
        <v>23832</v>
      </c>
      <c r="K2696">
        <v>167.99999999999997</v>
      </c>
      <c r="L2696" t="s">
        <v>11</v>
      </c>
      <c r="M2696" t="s">
        <v>29</v>
      </c>
      <c r="N2696">
        <f>MONTH(Table1[[#This Row],[SaleDate]])</f>
        <v>10</v>
      </c>
      <c r="O2696" t="str">
        <f>TEXT(Table1[[#This Row],[SaleDate]],"MMM")</f>
        <v>Oct</v>
      </c>
    </row>
    <row r="2697" spans="1:15">
      <c r="A2697" s="1">
        <v>45228</v>
      </c>
      <c r="B2697" t="s">
        <v>24</v>
      </c>
      <c r="C2697" t="s">
        <v>22</v>
      </c>
      <c r="D2697">
        <v>1</v>
      </c>
      <c r="E2697" t="s">
        <v>7</v>
      </c>
      <c r="F2697">
        <v>33000</v>
      </c>
      <c r="G2697">
        <v>18000</v>
      </c>
      <c r="H2697">
        <f>Table1[[#This Row],[Qty]]*Table1[[#This Row],[SellingPrice]]</f>
        <v>33000</v>
      </c>
      <c r="I2697">
        <f>Table1[[#This Row],[Qty]]*Table1[[#This Row],[CostPrice]]</f>
        <v>18000</v>
      </c>
      <c r="J2697">
        <v>14895</v>
      </c>
      <c r="K2697">
        <v>104.99999999999999</v>
      </c>
      <c r="L2697" t="s">
        <v>12</v>
      </c>
      <c r="M2697" t="s">
        <v>29</v>
      </c>
      <c r="N2697">
        <f>MONTH(Table1[[#This Row],[SaleDate]])</f>
        <v>10</v>
      </c>
      <c r="O2697" t="str">
        <f>TEXT(Table1[[#This Row],[SaleDate]],"MMM")</f>
        <v>Oct</v>
      </c>
    </row>
    <row r="2698" spans="1:15">
      <c r="A2698" s="1">
        <v>45228</v>
      </c>
      <c r="B2698" t="s">
        <v>24</v>
      </c>
      <c r="C2698" t="s">
        <v>22</v>
      </c>
      <c r="D2698">
        <v>1</v>
      </c>
      <c r="E2698" t="s">
        <v>9</v>
      </c>
      <c r="F2698">
        <v>60000</v>
      </c>
      <c r="G2698">
        <v>31000</v>
      </c>
      <c r="H2698">
        <f>Table1[[#This Row],[Qty]]*Table1[[#This Row],[SellingPrice]]</f>
        <v>60000</v>
      </c>
      <c r="I2698">
        <f>Table1[[#This Row],[Qty]]*Table1[[#This Row],[CostPrice]]</f>
        <v>31000</v>
      </c>
      <c r="J2698">
        <v>28797</v>
      </c>
      <c r="K2698">
        <v>202.99999999999997</v>
      </c>
      <c r="L2698" t="s">
        <v>12</v>
      </c>
      <c r="M2698" t="s">
        <v>27</v>
      </c>
      <c r="N2698">
        <f>MONTH(Table1[[#This Row],[SaleDate]])</f>
        <v>10</v>
      </c>
      <c r="O2698" t="str">
        <f>TEXT(Table1[[#This Row],[SaleDate]],"MMM")</f>
        <v>Oct</v>
      </c>
    </row>
    <row r="2699" spans="1:15">
      <c r="A2699" s="1">
        <v>45228</v>
      </c>
      <c r="B2699" t="s">
        <v>24</v>
      </c>
      <c r="C2699" t="s">
        <v>22</v>
      </c>
      <c r="D2699">
        <v>1</v>
      </c>
      <c r="E2699" t="s">
        <v>10</v>
      </c>
      <c r="F2699">
        <v>89000</v>
      </c>
      <c r="G2699">
        <v>65000</v>
      </c>
      <c r="H2699">
        <f>Table1[[#This Row],[Qty]]*Table1[[#This Row],[SellingPrice]]</f>
        <v>89000</v>
      </c>
      <c r="I2699">
        <f>Table1[[#This Row],[Qty]]*Table1[[#This Row],[CostPrice]]</f>
        <v>65000</v>
      </c>
      <c r="J2699">
        <v>23832</v>
      </c>
      <c r="K2699">
        <v>167.99999999999997</v>
      </c>
      <c r="L2699" t="s">
        <v>12</v>
      </c>
      <c r="M2699" t="s">
        <v>27</v>
      </c>
      <c r="N2699">
        <f>MONTH(Table1[[#This Row],[SaleDate]])</f>
        <v>10</v>
      </c>
      <c r="O2699" t="str">
        <f>TEXT(Table1[[#This Row],[SaleDate]],"MMM")</f>
        <v>Oct</v>
      </c>
    </row>
    <row r="2700" spans="1:15">
      <c r="A2700" s="1">
        <v>45228</v>
      </c>
      <c r="B2700" t="s">
        <v>25</v>
      </c>
      <c r="C2700" t="s">
        <v>21</v>
      </c>
      <c r="D2700">
        <v>1</v>
      </c>
      <c r="E2700" t="s">
        <v>7</v>
      </c>
      <c r="F2700">
        <v>33000</v>
      </c>
      <c r="G2700">
        <v>18000</v>
      </c>
      <c r="H2700">
        <f>Table1[[#This Row],[Qty]]*Table1[[#This Row],[SellingPrice]]</f>
        <v>33000</v>
      </c>
      <c r="I2700">
        <f>Table1[[#This Row],[Qty]]*Table1[[#This Row],[CostPrice]]</f>
        <v>18000</v>
      </c>
      <c r="J2700">
        <v>14895</v>
      </c>
      <c r="K2700">
        <v>104.99999999999999</v>
      </c>
      <c r="L2700" t="s">
        <v>13</v>
      </c>
      <c r="M2700" t="s">
        <v>27</v>
      </c>
      <c r="N2700">
        <f>MONTH(Table1[[#This Row],[SaleDate]])</f>
        <v>10</v>
      </c>
      <c r="O2700" t="str">
        <f>TEXT(Table1[[#This Row],[SaleDate]],"MMM")</f>
        <v>Oct</v>
      </c>
    </row>
    <row r="2701" spans="1:15">
      <c r="A2701" s="1">
        <v>45228</v>
      </c>
      <c r="B2701" t="s">
        <v>25</v>
      </c>
      <c r="C2701" t="s">
        <v>21</v>
      </c>
      <c r="D2701">
        <v>1</v>
      </c>
      <c r="E2701" t="s">
        <v>9</v>
      </c>
      <c r="F2701">
        <v>60000</v>
      </c>
      <c r="G2701">
        <v>31000</v>
      </c>
      <c r="H2701">
        <f>Table1[[#This Row],[Qty]]*Table1[[#This Row],[SellingPrice]]</f>
        <v>60000</v>
      </c>
      <c r="I2701">
        <f>Table1[[#This Row],[Qty]]*Table1[[#This Row],[CostPrice]]</f>
        <v>31000</v>
      </c>
      <c r="J2701">
        <v>28797</v>
      </c>
      <c r="K2701">
        <v>202.99999999999997</v>
      </c>
      <c r="L2701" t="s">
        <v>13</v>
      </c>
      <c r="M2701" t="s">
        <v>29</v>
      </c>
      <c r="N2701">
        <f>MONTH(Table1[[#This Row],[SaleDate]])</f>
        <v>10</v>
      </c>
      <c r="O2701" t="str">
        <f>TEXT(Table1[[#This Row],[SaleDate]],"MMM")</f>
        <v>Oct</v>
      </c>
    </row>
    <row r="2702" spans="1:15">
      <c r="A2702" s="1">
        <v>45228</v>
      </c>
      <c r="B2702" t="s">
        <v>25</v>
      </c>
      <c r="C2702" t="s">
        <v>21</v>
      </c>
      <c r="D2702">
        <v>1</v>
      </c>
      <c r="E2702" t="s">
        <v>10</v>
      </c>
      <c r="F2702">
        <v>89000</v>
      </c>
      <c r="G2702">
        <v>65000</v>
      </c>
      <c r="H2702">
        <f>Table1[[#This Row],[Qty]]*Table1[[#This Row],[SellingPrice]]</f>
        <v>89000</v>
      </c>
      <c r="I2702">
        <f>Table1[[#This Row],[Qty]]*Table1[[#This Row],[CostPrice]]</f>
        <v>65000</v>
      </c>
      <c r="J2702">
        <v>23832</v>
      </c>
      <c r="K2702">
        <v>167.99999999999997</v>
      </c>
      <c r="L2702" t="s">
        <v>13</v>
      </c>
      <c r="M2702" t="s">
        <v>29</v>
      </c>
      <c r="N2702">
        <f>MONTH(Table1[[#This Row],[SaleDate]])</f>
        <v>10</v>
      </c>
      <c r="O2702" t="str">
        <f>TEXT(Table1[[#This Row],[SaleDate]],"MMM")</f>
        <v>Oct</v>
      </c>
    </row>
    <row r="2703" spans="1:15">
      <c r="A2703" s="1">
        <v>45229</v>
      </c>
      <c r="B2703" t="s">
        <v>23</v>
      </c>
      <c r="C2703" t="s">
        <v>19</v>
      </c>
      <c r="D2703">
        <v>1</v>
      </c>
      <c r="E2703" t="s">
        <v>7</v>
      </c>
      <c r="F2703">
        <v>33000</v>
      </c>
      <c r="G2703">
        <v>18000</v>
      </c>
      <c r="H2703">
        <f>Table1[[#This Row],[Qty]]*Table1[[#This Row],[SellingPrice]]</f>
        <v>33000</v>
      </c>
      <c r="I2703">
        <f>Table1[[#This Row],[Qty]]*Table1[[#This Row],[CostPrice]]</f>
        <v>18000</v>
      </c>
      <c r="J2703">
        <v>14895</v>
      </c>
      <c r="K2703">
        <v>104.99999999999999</v>
      </c>
      <c r="L2703" t="s">
        <v>8</v>
      </c>
      <c r="M2703" t="s">
        <v>27</v>
      </c>
      <c r="N2703">
        <f>MONTH(Table1[[#This Row],[SaleDate]])</f>
        <v>10</v>
      </c>
      <c r="O2703" t="str">
        <f>TEXT(Table1[[#This Row],[SaleDate]],"MMM")</f>
        <v>Oct</v>
      </c>
    </row>
    <row r="2704" spans="1:15">
      <c r="A2704" s="1">
        <v>45229</v>
      </c>
      <c r="B2704" t="s">
        <v>23</v>
      </c>
      <c r="C2704" t="s">
        <v>19</v>
      </c>
      <c r="D2704">
        <v>1</v>
      </c>
      <c r="E2704" t="s">
        <v>9</v>
      </c>
      <c r="F2704">
        <v>60000</v>
      </c>
      <c r="G2704">
        <v>31000</v>
      </c>
      <c r="H2704">
        <f>Table1[[#This Row],[Qty]]*Table1[[#This Row],[SellingPrice]]</f>
        <v>60000</v>
      </c>
      <c r="I2704">
        <f>Table1[[#This Row],[Qty]]*Table1[[#This Row],[CostPrice]]</f>
        <v>31000</v>
      </c>
      <c r="J2704">
        <v>28797</v>
      </c>
      <c r="K2704">
        <v>202.99999999999997</v>
      </c>
      <c r="L2704" t="s">
        <v>8</v>
      </c>
      <c r="M2704" t="s">
        <v>27</v>
      </c>
      <c r="N2704">
        <f>MONTH(Table1[[#This Row],[SaleDate]])</f>
        <v>10</v>
      </c>
      <c r="O2704" t="str">
        <f>TEXT(Table1[[#This Row],[SaleDate]],"MMM")</f>
        <v>Oct</v>
      </c>
    </row>
    <row r="2705" spans="1:15">
      <c r="A2705" s="1">
        <v>45229</v>
      </c>
      <c r="B2705" t="s">
        <v>23</v>
      </c>
      <c r="C2705" t="s">
        <v>19</v>
      </c>
      <c r="D2705">
        <v>1</v>
      </c>
      <c r="E2705" t="s">
        <v>10</v>
      </c>
      <c r="F2705">
        <v>89000</v>
      </c>
      <c r="G2705">
        <v>65000</v>
      </c>
      <c r="H2705">
        <f>Table1[[#This Row],[Qty]]*Table1[[#This Row],[SellingPrice]]</f>
        <v>89000</v>
      </c>
      <c r="I2705">
        <f>Table1[[#This Row],[Qty]]*Table1[[#This Row],[CostPrice]]</f>
        <v>65000</v>
      </c>
      <c r="J2705">
        <v>23832</v>
      </c>
      <c r="K2705">
        <v>167.99999999999997</v>
      </c>
      <c r="L2705" t="s">
        <v>8</v>
      </c>
      <c r="M2705" t="s">
        <v>29</v>
      </c>
      <c r="N2705">
        <f>MONTH(Table1[[#This Row],[SaleDate]])</f>
        <v>10</v>
      </c>
      <c r="O2705" t="str">
        <f>TEXT(Table1[[#This Row],[SaleDate]],"MMM")</f>
        <v>Oct</v>
      </c>
    </row>
    <row r="2706" spans="1:15">
      <c r="A2706" s="1">
        <v>45229</v>
      </c>
      <c r="B2706" t="s">
        <v>26</v>
      </c>
      <c r="C2706" t="s">
        <v>20</v>
      </c>
      <c r="D2706">
        <v>1</v>
      </c>
      <c r="E2706" t="s">
        <v>7</v>
      </c>
      <c r="F2706">
        <v>33000</v>
      </c>
      <c r="G2706">
        <v>18000</v>
      </c>
      <c r="H2706">
        <f>Table1[[#This Row],[Qty]]*Table1[[#This Row],[SellingPrice]]</f>
        <v>33000</v>
      </c>
      <c r="I2706">
        <f>Table1[[#This Row],[Qty]]*Table1[[#This Row],[CostPrice]]</f>
        <v>18000</v>
      </c>
      <c r="J2706">
        <v>14895</v>
      </c>
      <c r="K2706">
        <v>104.99999999999999</v>
      </c>
      <c r="L2706" t="s">
        <v>11</v>
      </c>
      <c r="M2706" t="s">
        <v>29</v>
      </c>
      <c r="N2706">
        <f>MONTH(Table1[[#This Row],[SaleDate]])</f>
        <v>10</v>
      </c>
      <c r="O2706" t="str">
        <f>TEXT(Table1[[#This Row],[SaleDate]],"MMM")</f>
        <v>Oct</v>
      </c>
    </row>
    <row r="2707" spans="1:15">
      <c r="A2707" s="1">
        <v>45229</v>
      </c>
      <c r="B2707" t="s">
        <v>26</v>
      </c>
      <c r="C2707" t="s">
        <v>20</v>
      </c>
      <c r="D2707">
        <v>1</v>
      </c>
      <c r="E2707" t="s">
        <v>10</v>
      </c>
      <c r="F2707">
        <v>89000</v>
      </c>
      <c r="G2707">
        <v>65000</v>
      </c>
      <c r="H2707">
        <f>Table1[[#This Row],[Qty]]*Table1[[#This Row],[SellingPrice]]</f>
        <v>89000</v>
      </c>
      <c r="I2707">
        <f>Table1[[#This Row],[Qty]]*Table1[[#This Row],[CostPrice]]</f>
        <v>65000</v>
      </c>
      <c r="J2707">
        <v>23832</v>
      </c>
      <c r="K2707">
        <v>167.99999999999997</v>
      </c>
      <c r="L2707" t="s">
        <v>11</v>
      </c>
      <c r="M2707" t="s">
        <v>30</v>
      </c>
      <c r="N2707">
        <f>MONTH(Table1[[#This Row],[SaleDate]])</f>
        <v>10</v>
      </c>
      <c r="O2707" t="str">
        <f>TEXT(Table1[[#This Row],[SaleDate]],"MMM")</f>
        <v>Oct</v>
      </c>
    </row>
    <row r="2708" spans="1:15">
      <c r="A2708" s="1">
        <v>45229</v>
      </c>
      <c r="B2708" t="s">
        <v>24</v>
      </c>
      <c r="C2708" t="s">
        <v>22</v>
      </c>
      <c r="D2708">
        <v>1</v>
      </c>
      <c r="E2708" t="s">
        <v>7</v>
      </c>
      <c r="F2708">
        <v>33000</v>
      </c>
      <c r="G2708">
        <v>18000</v>
      </c>
      <c r="H2708">
        <f>Table1[[#This Row],[Qty]]*Table1[[#This Row],[SellingPrice]]</f>
        <v>33000</v>
      </c>
      <c r="I2708">
        <f>Table1[[#This Row],[Qty]]*Table1[[#This Row],[CostPrice]]</f>
        <v>18000</v>
      </c>
      <c r="J2708">
        <v>14895</v>
      </c>
      <c r="K2708">
        <v>104.99999999999999</v>
      </c>
      <c r="L2708" t="s">
        <v>12</v>
      </c>
      <c r="M2708" t="s">
        <v>30</v>
      </c>
      <c r="N2708">
        <f>MONTH(Table1[[#This Row],[SaleDate]])</f>
        <v>10</v>
      </c>
      <c r="O2708" t="str">
        <f>TEXT(Table1[[#This Row],[SaleDate]],"MMM")</f>
        <v>Oct</v>
      </c>
    </row>
    <row r="2709" spans="1:15">
      <c r="A2709" s="1">
        <v>45229</v>
      </c>
      <c r="B2709" t="s">
        <v>24</v>
      </c>
      <c r="C2709" t="s">
        <v>22</v>
      </c>
      <c r="D2709">
        <v>1</v>
      </c>
      <c r="E2709" t="s">
        <v>9</v>
      </c>
      <c r="F2709">
        <v>60000</v>
      </c>
      <c r="G2709">
        <v>31000</v>
      </c>
      <c r="H2709">
        <f>Table1[[#This Row],[Qty]]*Table1[[#This Row],[SellingPrice]]</f>
        <v>60000</v>
      </c>
      <c r="I2709">
        <f>Table1[[#This Row],[Qty]]*Table1[[#This Row],[CostPrice]]</f>
        <v>31000</v>
      </c>
      <c r="J2709">
        <v>28797</v>
      </c>
      <c r="K2709">
        <v>202.99999999999997</v>
      </c>
      <c r="L2709" t="s">
        <v>12</v>
      </c>
      <c r="M2709" t="s">
        <v>28</v>
      </c>
      <c r="N2709">
        <f>MONTH(Table1[[#This Row],[SaleDate]])</f>
        <v>10</v>
      </c>
      <c r="O2709" t="str">
        <f>TEXT(Table1[[#This Row],[SaleDate]],"MMM")</f>
        <v>Oct</v>
      </c>
    </row>
    <row r="2710" spans="1:15">
      <c r="A2710" s="1">
        <v>45229</v>
      </c>
      <c r="B2710" t="s">
        <v>24</v>
      </c>
      <c r="C2710" t="s">
        <v>22</v>
      </c>
      <c r="D2710">
        <v>1</v>
      </c>
      <c r="E2710" t="s">
        <v>10</v>
      </c>
      <c r="F2710">
        <v>89000</v>
      </c>
      <c r="G2710">
        <v>65000</v>
      </c>
      <c r="H2710">
        <f>Table1[[#This Row],[Qty]]*Table1[[#This Row],[SellingPrice]]</f>
        <v>89000</v>
      </c>
      <c r="I2710">
        <f>Table1[[#This Row],[Qty]]*Table1[[#This Row],[CostPrice]]</f>
        <v>65000</v>
      </c>
      <c r="J2710">
        <v>23832</v>
      </c>
      <c r="K2710">
        <v>167.99999999999997</v>
      </c>
      <c r="L2710" t="s">
        <v>12</v>
      </c>
      <c r="M2710" t="s">
        <v>29</v>
      </c>
      <c r="N2710">
        <f>MONTH(Table1[[#This Row],[SaleDate]])</f>
        <v>10</v>
      </c>
      <c r="O2710" t="str">
        <f>TEXT(Table1[[#This Row],[SaleDate]],"MMM")</f>
        <v>Oct</v>
      </c>
    </row>
    <row r="2711" spans="1:15">
      <c r="A2711" s="1">
        <v>45229</v>
      </c>
      <c r="B2711" t="s">
        <v>25</v>
      </c>
      <c r="C2711" t="s">
        <v>21</v>
      </c>
      <c r="D2711">
        <v>1</v>
      </c>
      <c r="E2711" t="s">
        <v>7</v>
      </c>
      <c r="F2711">
        <v>33000</v>
      </c>
      <c r="G2711">
        <v>18000</v>
      </c>
      <c r="H2711">
        <f>Table1[[#This Row],[Qty]]*Table1[[#This Row],[SellingPrice]]</f>
        <v>33000</v>
      </c>
      <c r="I2711">
        <f>Table1[[#This Row],[Qty]]*Table1[[#This Row],[CostPrice]]</f>
        <v>18000</v>
      </c>
      <c r="J2711">
        <v>14895</v>
      </c>
      <c r="K2711">
        <v>104.99999999999999</v>
      </c>
      <c r="L2711" t="s">
        <v>13</v>
      </c>
      <c r="M2711" t="s">
        <v>30</v>
      </c>
      <c r="N2711">
        <f>MONTH(Table1[[#This Row],[SaleDate]])</f>
        <v>10</v>
      </c>
      <c r="O2711" t="str">
        <f>TEXT(Table1[[#This Row],[SaleDate]],"MMM")</f>
        <v>Oct</v>
      </c>
    </row>
    <row r="2712" spans="1:15">
      <c r="A2712" s="1">
        <v>45229</v>
      </c>
      <c r="B2712" t="s">
        <v>25</v>
      </c>
      <c r="C2712" t="s">
        <v>21</v>
      </c>
      <c r="D2712">
        <v>1</v>
      </c>
      <c r="E2712" t="s">
        <v>9</v>
      </c>
      <c r="F2712">
        <v>60000</v>
      </c>
      <c r="G2712">
        <v>31000</v>
      </c>
      <c r="H2712">
        <f>Table1[[#This Row],[Qty]]*Table1[[#This Row],[SellingPrice]]</f>
        <v>60000</v>
      </c>
      <c r="I2712">
        <f>Table1[[#This Row],[Qty]]*Table1[[#This Row],[CostPrice]]</f>
        <v>31000</v>
      </c>
      <c r="J2712">
        <v>28797</v>
      </c>
      <c r="K2712">
        <v>202.99999999999997</v>
      </c>
      <c r="L2712" t="s">
        <v>13</v>
      </c>
      <c r="M2712" t="s">
        <v>30</v>
      </c>
      <c r="N2712">
        <f>MONTH(Table1[[#This Row],[SaleDate]])</f>
        <v>10</v>
      </c>
      <c r="O2712" t="str">
        <f>TEXT(Table1[[#This Row],[SaleDate]],"MMM")</f>
        <v>Oct</v>
      </c>
    </row>
    <row r="2713" spans="1:15">
      <c r="A2713" s="1">
        <v>45229</v>
      </c>
      <c r="B2713" t="s">
        <v>25</v>
      </c>
      <c r="C2713" t="s">
        <v>21</v>
      </c>
      <c r="D2713">
        <v>1</v>
      </c>
      <c r="E2713" t="s">
        <v>10</v>
      </c>
      <c r="F2713">
        <v>89000</v>
      </c>
      <c r="G2713">
        <v>65000</v>
      </c>
      <c r="H2713">
        <f>Table1[[#This Row],[Qty]]*Table1[[#This Row],[SellingPrice]]</f>
        <v>89000</v>
      </c>
      <c r="I2713">
        <f>Table1[[#This Row],[Qty]]*Table1[[#This Row],[CostPrice]]</f>
        <v>65000</v>
      </c>
      <c r="J2713">
        <v>23832</v>
      </c>
      <c r="K2713">
        <v>167.99999999999997</v>
      </c>
      <c r="L2713" t="s">
        <v>13</v>
      </c>
      <c r="M2713" t="s">
        <v>30</v>
      </c>
      <c r="N2713">
        <f>MONTH(Table1[[#This Row],[SaleDate]])</f>
        <v>10</v>
      </c>
      <c r="O2713" t="str">
        <f>TEXT(Table1[[#This Row],[SaleDate]],"MMM")</f>
        <v>Oct</v>
      </c>
    </row>
    <row r="2714" spans="1:15">
      <c r="A2714" s="1">
        <v>45230</v>
      </c>
      <c r="B2714" t="s">
        <v>23</v>
      </c>
      <c r="C2714" t="s">
        <v>19</v>
      </c>
      <c r="D2714">
        <v>1</v>
      </c>
      <c r="E2714" t="s">
        <v>7</v>
      </c>
      <c r="F2714">
        <v>33000</v>
      </c>
      <c r="G2714">
        <v>18000</v>
      </c>
      <c r="H2714">
        <f>Table1[[#This Row],[Qty]]*Table1[[#This Row],[SellingPrice]]</f>
        <v>33000</v>
      </c>
      <c r="I2714">
        <f>Table1[[#This Row],[Qty]]*Table1[[#This Row],[CostPrice]]</f>
        <v>18000</v>
      </c>
      <c r="J2714">
        <v>14895</v>
      </c>
      <c r="K2714">
        <v>104.99999999999999</v>
      </c>
      <c r="L2714" t="s">
        <v>8</v>
      </c>
      <c r="M2714" t="s">
        <v>30</v>
      </c>
      <c r="N2714">
        <f>MONTH(Table1[[#This Row],[SaleDate]])</f>
        <v>10</v>
      </c>
      <c r="O2714" t="str">
        <f>TEXT(Table1[[#This Row],[SaleDate]],"MMM")</f>
        <v>Oct</v>
      </c>
    </row>
    <row r="2715" spans="1:15">
      <c r="A2715" s="1">
        <v>45230</v>
      </c>
      <c r="B2715" t="s">
        <v>23</v>
      </c>
      <c r="C2715" t="s">
        <v>19</v>
      </c>
      <c r="D2715">
        <v>1</v>
      </c>
      <c r="E2715" t="s">
        <v>9</v>
      </c>
      <c r="F2715">
        <v>60000</v>
      </c>
      <c r="G2715">
        <v>31000</v>
      </c>
      <c r="H2715">
        <f>Table1[[#This Row],[Qty]]*Table1[[#This Row],[SellingPrice]]</f>
        <v>60000</v>
      </c>
      <c r="I2715">
        <f>Table1[[#This Row],[Qty]]*Table1[[#This Row],[CostPrice]]</f>
        <v>31000</v>
      </c>
      <c r="J2715">
        <v>28797</v>
      </c>
      <c r="K2715">
        <v>202.99999999999997</v>
      </c>
      <c r="L2715" t="s">
        <v>8</v>
      </c>
      <c r="M2715" t="s">
        <v>27</v>
      </c>
      <c r="N2715">
        <f>MONTH(Table1[[#This Row],[SaleDate]])</f>
        <v>10</v>
      </c>
      <c r="O2715" t="str">
        <f>TEXT(Table1[[#This Row],[SaleDate]],"MMM")</f>
        <v>Oct</v>
      </c>
    </row>
    <row r="2716" spans="1:15">
      <c r="A2716" s="1">
        <v>45230</v>
      </c>
      <c r="B2716" t="s">
        <v>23</v>
      </c>
      <c r="C2716" t="s">
        <v>19</v>
      </c>
      <c r="D2716">
        <v>1</v>
      </c>
      <c r="E2716" t="s">
        <v>10</v>
      </c>
      <c r="F2716">
        <v>89000</v>
      </c>
      <c r="G2716">
        <v>65000</v>
      </c>
      <c r="H2716">
        <f>Table1[[#This Row],[Qty]]*Table1[[#This Row],[SellingPrice]]</f>
        <v>89000</v>
      </c>
      <c r="I2716">
        <f>Table1[[#This Row],[Qty]]*Table1[[#This Row],[CostPrice]]</f>
        <v>65000</v>
      </c>
      <c r="J2716">
        <v>23832</v>
      </c>
      <c r="K2716">
        <v>167.99999999999997</v>
      </c>
      <c r="L2716" t="s">
        <v>8</v>
      </c>
      <c r="M2716" t="s">
        <v>30</v>
      </c>
      <c r="N2716">
        <f>MONTH(Table1[[#This Row],[SaleDate]])</f>
        <v>10</v>
      </c>
      <c r="O2716" t="str">
        <f>TEXT(Table1[[#This Row],[SaleDate]],"MMM")</f>
        <v>Oct</v>
      </c>
    </row>
    <row r="2717" spans="1:15">
      <c r="A2717" s="1">
        <v>45230</v>
      </c>
      <c r="B2717" t="s">
        <v>26</v>
      </c>
      <c r="C2717" t="s">
        <v>20</v>
      </c>
      <c r="D2717">
        <v>1</v>
      </c>
      <c r="E2717" t="s">
        <v>7</v>
      </c>
      <c r="F2717">
        <v>33000</v>
      </c>
      <c r="G2717">
        <v>18000</v>
      </c>
      <c r="H2717">
        <f>Table1[[#This Row],[Qty]]*Table1[[#This Row],[SellingPrice]]</f>
        <v>33000</v>
      </c>
      <c r="I2717">
        <f>Table1[[#This Row],[Qty]]*Table1[[#This Row],[CostPrice]]</f>
        <v>18000</v>
      </c>
      <c r="J2717">
        <v>14895</v>
      </c>
      <c r="K2717">
        <v>104.99999999999999</v>
      </c>
      <c r="L2717" t="s">
        <v>11</v>
      </c>
      <c r="M2717" t="s">
        <v>30</v>
      </c>
      <c r="N2717">
        <f>MONTH(Table1[[#This Row],[SaleDate]])</f>
        <v>10</v>
      </c>
      <c r="O2717" t="str">
        <f>TEXT(Table1[[#This Row],[SaleDate]],"MMM")</f>
        <v>Oct</v>
      </c>
    </row>
    <row r="2718" spans="1:15">
      <c r="A2718" s="1">
        <v>45230</v>
      </c>
      <c r="B2718" t="s">
        <v>26</v>
      </c>
      <c r="C2718" t="s">
        <v>20</v>
      </c>
      <c r="D2718">
        <v>1</v>
      </c>
      <c r="E2718" t="s">
        <v>10</v>
      </c>
      <c r="F2718">
        <v>89000</v>
      </c>
      <c r="G2718">
        <v>65000</v>
      </c>
      <c r="H2718">
        <f>Table1[[#This Row],[Qty]]*Table1[[#This Row],[SellingPrice]]</f>
        <v>89000</v>
      </c>
      <c r="I2718">
        <f>Table1[[#This Row],[Qty]]*Table1[[#This Row],[CostPrice]]</f>
        <v>65000</v>
      </c>
      <c r="J2718">
        <v>23832</v>
      </c>
      <c r="K2718">
        <v>167.99999999999997</v>
      </c>
      <c r="L2718" t="s">
        <v>11</v>
      </c>
      <c r="M2718" t="s">
        <v>30</v>
      </c>
      <c r="N2718">
        <f>MONTH(Table1[[#This Row],[SaleDate]])</f>
        <v>10</v>
      </c>
      <c r="O2718" t="str">
        <f>TEXT(Table1[[#This Row],[SaleDate]],"MMM")</f>
        <v>Oct</v>
      </c>
    </row>
    <row r="2719" spans="1:15">
      <c r="A2719" s="1">
        <v>45230</v>
      </c>
      <c r="B2719" t="s">
        <v>24</v>
      </c>
      <c r="C2719" t="s">
        <v>22</v>
      </c>
      <c r="D2719">
        <v>1</v>
      </c>
      <c r="E2719" t="s">
        <v>7</v>
      </c>
      <c r="F2719">
        <v>33000</v>
      </c>
      <c r="G2719">
        <v>18000</v>
      </c>
      <c r="H2719">
        <f>Table1[[#This Row],[Qty]]*Table1[[#This Row],[SellingPrice]]</f>
        <v>33000</v>
      </c>
      <c r="I2719">
        <f>Table1[[#This Row],[Qty]]*Table1[[#This Row],[CostPrice]]</f>
        <v>18000</v>
      </c>
      <c r="J2719">
        <v>14895</v>
      </c>
      <c r="K2719">
        <v>104.99999999999999</v>
      </c>
      <c r="L2719" t="s">
        <v>12</v>
      </c>
      <c r="M2719" t="s">
        <v>30</v>
      </c>
      <c r="N2719">
        <f>MONTH(Table1[[#This Row],[SaleDate]])</f>
        <v>10</v>
      </c>
      <c r="O2719" t="str">
        <f>TEXT(Table1[[#This Row],[SaleDate]],"MMM")</f>
        <v>Oct</v>
      </c>
    </row>
    <row r="2720" spans="1:15">
      <c r="A2720" s="1">
        <v>45230</v>
      </c>
      <c r="B2720" t="s">
        <v>24</v>
      </c>
      <c r="C2720" t="s">
        <v>22</v>
      </c>
      <c r="D2720">
        <v>1</v>
      </c>
      <c r="E2720" t="s">
        <v>9</v>
      </c>
      <c r="F2720">
        <v>60000</v>
      </c>
      <c r="G2720">
        <v>31000</v>
      </c>
      <c r="H2720">
        <f>Table1[[#This Row],[Qty]]*Table1[[#This Row],[SellingPrice]]</f>
        <v>60000</v>
      </c>
      <c r="I2720">
        <f>Table1[[#This Row],[Qty]]*Table1[[#This Row],[CostPrice]]</f>
        <v>31000</v>
      </c>
      <c r="J2720">
        <v>28797</v>
      </c>
      <c r="K2720">
        <v>202.99999999999997</v>
      </c>
      <c r="L2720" t="s">
        <v>12</v>
      </c>
      <c r="M2720" t="s">
        <v>27</v>
      </c>
      <c r="N2720">
        <f>MONTH(Table1[[#This Row],[SaleDate]])</f>
        <v>10</v>
      </c>
      <c r="O2720" t="str">
        <f>TEXT(Table1[[#This Row],[SaleDate]],"MMM")</f>
        <v>Oct</v>
      </c>
    </row>
    <row r="2721" spans="1:15">
      <c r="A2721" s="1">
        <v>45230</v>
      </c>
      <c r="B2721" t="s">
        <v>24</v>
      </c>
      <c r="C2721" t="s">
        <v>22</v>
      </c>
      <c r="D2721">
        <v>1</v>
      </c>
      <c r="E2721" t="s">
        <v>10</v>
      </c>
      <c r="F2721">
        <v>89000</v>
      </c>
      <c r="G2721">
        <v>65000</v>
      </c>
      <c r="H2721">
        <f>Table1[[#This Row],[Qty]]*Table1[[#This Row],[SellingPrice]]</f>
        <v>89000</v>
      </c>
      <c r="I2721">
        <f>Table1[[#This Row],[Qty]]*Table1[[#This Row],[CostPrice]]</f>
        <v>65000</v>
      </c>
      <c r="J2721">
        <v>23832</v>
      </c>
      <c r="K2721">
        <v>167.99999999999997</v>
      </c>
      <c r="L2721" t="s">
        <v>12</v>
      </c>
      <c r="M2721" t="s">
        <v>30</v>
      </c>
      <c r="N2721">
        <f>MONTH(Table1[[#This Row],[SaleDate]])</f>
        <v>10</v>
      </c>
      <c r="O2721" t="str">
        <f>TEXT(Table1[[#This Row],[SaleDate]],"MMM")</f>
        <v>Oct</v>
      </c>
    </row>
    <row r="2722" spans="1:15">
      <c r="A2722" s="1">
        <v>45230</v>
      </c>
      <c r="B2722" t="s">
        <v>25</v>
      </c>
      <c r="C2722" t="s">
        <v>21</v>
      </c>
      <c r="D2722">
        <v>1</v>
      </c>
      <c r="E2722" t="s">
        <v>7</v>
      </c>
      <c r="F2722">
        <v>33000</v>
      </c>
      <c r="G2722">
        <v>18000</v>
      </c>
      <c r="H2722">
        <f>Table1[[#This Row],[Qty]]*Table1[[#This Row],[SellingPrice]]</f>
        <v>33000</v>
      </c>
      <c r="I2722">
        <f>Table1[[#This Row],[Qty]]*Table1[[#This Row],[CostPrice]]</f>
        <v>18000</v>
      </c>
      <c r="J2722">
        <v>14895</v>
      </c>
      <c r="K2722">
        <v>104.99999999999999</v>
      </c>
      <c r="L2722" t="s">
        <v>13</v>
      </c>
      <c r="M2722" t="s">
        <v>29</v>
      </c>
      <c r="N2722">
        <f>MONTH(Table1[[#This Row],[SaleDate]])</f>
        <v>10</v>
      </c>
      <c r="O2722" t="str">
        <f>TEXT(Table1[[#This Row],[SaleDate]],"MMM")</f>
        <v>Oct</v>
      </c>
    </row>
    <row r="2723" spans="1:15">
      <c r="A2723" s="1">
        <v>45230</v>
      </c>
      <c r="B2723" t="s">
        <v>25</v>
      </c>
      <c r="C2723" t="s">
        <v>21</v>
      </c>
      <c r="D2723">
        <v>1</v>
      </c>
      <c r="E2723" t="s">
        <v>9</v>
      </c>
      <c r="F2723">
        <v>60000</v>
      </c>
      <c r="G2723">
        <v>31000</v>
      </c>
      <c r="H2723">
        <f>Table1[[#This Row],[Qty]]*Table1[[#This Row],[SellingPrice]]</f>
        <v>60000</v>
      </c>
      <c r="I2723">
        <f>Table1[[#This Row],[Qty]]*Table1[[#This Row],[CostPrice]]</f>
        <v>31000</v>
      </c>
      <c r="J2723">
        <v>28797</v>
      </c>
      <c r="K2723">
        <v>202.99999999999997</v>
      </c>
      <c r="L2723" t="s">
        <v>13</v>
      </c>
      <c r="M2723" t="s">
        <v>28</v>
      </c>
      <c r="N2723">
        <f>MONTH(Table1[[#This Row],[SaleDate]])</f>
        <v>10</v>
      </c>
      <c r="O2723" t="str">
        <f>TEXT(Table1[[#This Row],[SaleDate]],"MMM")</f>
        <v>Oct</v>
      </c>
    </row>
    <row r="2724" spans="1:15">
      <c r="A2724" s="1">
        <v>45230</v>
      </c>
      <c r="B2724" t="s">
        <v>25</v>
      </c>
      <c r="C2724" t="s">
        <v>21</v>
      </c>
      <c r="D2724">
        <v>1</v>
      </c>
      <c r="E2724" t="s">
        <v>10</v>
      </c>
      <c r="F2724">
        <v>89000</v>
      </c>
      <c r="G2724">
        <v>65000</v>
      </c>
      <c r="H2724">
        <f>Table1[[#This Row],[Qty]]*Table1[[#This Row],[SellingPrice]]</f>
        <v>89000</v>
      </c>
      <c r="I2724">
        <f>Table1[[#This Row],[Qty]]*Table1[[#This Row],[CostPrice]]</f>
        <v>65000</v>
      </c>
      <c r="J2724">
        <v>23832</v>
      </c>
      <c r="K2724">
        <v>167.99999999999997</v>
      </c>
      <c r="L2724" t="s">
        <v>13</v>
      </c>
      <c r="M2724" t="s">
        <v>30</v>
      </c>
      <c r="N2724">
        <f>MONTH(Table1[[#This Row],[SaleDate]])</f>
        <v>10</v>
      </c>
      <c r="O2724" t="str">
        <f>TEXT(Table1[[#This Row],[SaleDate]],"MMM")</f>
        <v>Oct</v>
      </c>
    </row>
    <row r="2725" spans="1:15">
      <c r="A2725" s="1">
        <v>45231</v>
      </c>
      <c r="B2725" t="s">
        <v>23</v>
      </c>
      <c r="C2725" t="s">
        <v>19</v>
      </c>
      <c r="D2725">
        <v>1</v>
      </c>
      <c r="E2725" t="s">
        <v>7</v>
      </c>
      <c r="F2725">
        <v>33000</v>
      </c>
      <c r="G2725">
        <v>18000</v>
      </c>
      <c r="H2725">
        <f>Table1[[#This Row],[Qty]]*Table1[[#This Row],[SellingPrice]]</f>
        <v>33000</v>
      </c>
      <c r="I2725">
        <f>Table1[[#This Row],[Qty]]*Table1[[#This Row],[CostPrice]]</f>
        <v>18000</v>
      </c>
      <c r="J2725">
        <v>14895</v>
      </c>
      <c r="K2725">
        <v>104.99999999999999</v>
      </c>
      <c r="L2725" t="s">
        <v>8</v>
      </c>
      <c r="M2725" t="s">
        <v>27</v>
      </c>
      <c r="N2725">
        <f>MONTH(Table1[[#This Row],[SaleDate]])</f>
        <v>11</v>
      </c>
      <c r="O2725" t="str">
        <f>TEXT(Table1[[#This Row],[SaleDate]],"MMM")</f>
        <v>Nov</v>
      </c>
    </row>
    <row r="2726" spans="1:15">
      <c r="A2726" s="1">
        <v>45231</v>
      </c>
      <c r="B2726" t="s">
        <v>23</v>
      </c>
      <c r="C2726" t="s">
        <v>19</v>
      </c>
      <c r="D2726">
        <v>1</v>
      </c>
      <c r="E2726" t="s">
        <v>9</v>
      </c>
      <c r="F2726">
        <v>60000</v>
      </c>
      <c r="G2726">
        <v>31000</v>
      </c>
      <c r="H2726">
        <f>Table1[[#This Row],[Qty]]*Table1[[#This Row],[SellingPrice]]</f>
        <v>60000</v>
      </c>
      <c r="I2726">
        <f>Table1[[#This Row],[Qty]]*Table1[[#This Row],[CostPrice]]</f>
        <v>31000</v>
      </c>
      <c r="J2726">
        <v>28797</v>
      </c>
      <c r="K2726">
        <v>202.99999999999997</v>
      </c>
      <c r="L2726" t="s">
        <v>8</v>
      </c>
      <c r="M2726" t="s">
        <v>30</v>
      </c>
      <c r="N2726">
        <f>MONTH(Table1[[#This Row],[SaleDate]])</f>
        <v>11</v>
      </c>
      <c r="O2726" t="str">
        <f>TEXT(Table1[[#This Row],[SaleDate]],"MMM")</f>
        <v>Nov</v>
      </c>
    </row>
    <row r="2727" spans="1:15">
      <c r="A2727" s="1">
        <v>45231</v>
      </c>
      <c r="B2727" t="s">
        <v>23</v>
      </c>
      <c r="C2727" t="s">
        <v>19</v>
      </c>
      <c r="D2727">
        <v>1</v>
      </c>
      <c r="E2727" t="s">
        <v>10</v>
      </c>
      <c r="F2727">
        <v>89000</v>
      </c>
      <c r="G2727">
        <v>65000</v>
      </c>
      <c r="H2727">
        <f>Table1[[#This Row],[Qty]]*Table1[[#This Row],[SellingPrice]]</f>
        <v>89000</v>
      </c>
      <c r="I2727">
        <f>Table1[[#This Row],[Qty]]*Table1[[#This Row],[CostPrice]]</f>
        <v>65000</v>
      </c>
      <c r="J2727">
        <v>23832</v>
      </c>
      <c r="K2727">
        <v>167.99999999999997</v>
      </c>
      <c r="L2727" t="s">
        <v>8</v>
      </c>
      <c r="M2727" t="s">
        <v>30</v>
      </c>
      <c r="N2727">
        <f>MONTH(Table1[[#This Row],[SaleDate]])</f>
        <v>11</v>
      </c>
      <c r="O2727" t="str">
        <f>TEXT(Table1[[#This Row],[SaleDate]],"MMM")</f>
        <v>Nov</v>
      </c>
    </row>
    <row r="2728" spans="1:15">
      <c r="A2728" s="1">
        <v>45231</v>
      </c>
      <c r="B2728" t="s">
        <v>26</v>
      </c>
      <c r="C2728" t="s">
        <v>20</v>
      </c>
      <c r="D2728">
        <v>1</v>
      </c>
      <c r="E2728" t="s">
        <v>7</v>
      </c>
      <c r="F2728">
        <v>33000</v>
      </c>
      <c r="G2728">
        <v>18000</v>
      </c>
      <c r="H2728">
        <f>Table1[[#This Row],[Qty]]*Table1[[#This Row],[SellingPrice]]</f>
        <v>33000</v>
      </c>
      <c r="I2728">
        <f>Table1[[#This Row],[Qty]]*Table1[[#This Row],[CostPrice]]</f>
        <v>18000</v>
      </c>
      <c r="J2728">
        <v>14895</v>
      </c>
      <c r="K2728">
        <v>104.99999999999999</v>
      </c>
      <c r="L2728" t="s">
        <v>11</v>
      </c>
      <c r="M2728" t="s">
        <v>29</v>
      </c>
      <c r="N2728">
        <f>MONTH(Table1[[#This Row],[SaleDate]])</f>
        <v>11</v>
      </c>
      <c r="O2728" t="str">
        <f>TEXT(Table1[[#This Row],[SaleDate]],"MMM")</f>
        <v>Nov</v>
      </c>
    </row>
    <row r="2729" spans="1:15">
      <c r="A2729" s="1">
        <v>45231</v>
      </c>
      <c r="B2729" t="s">
        <v>24</v>
      </c>
      <c r="C2729" t="s">
        <v>22</v>
      </c>
      <c r="D2729">
        <v>1</v>
      </c>
      <c r="E2729" t="s">
        <v>7</v>
      </c>
      <c r="F2729">
        <v>33000</v>
      </c>
      <c r="G2729">
        <v>18000</v>
      </c>
      <c r="H2729">
        <f>Table1[[#This Row],[Qty]]*Table1[[#This Row],[SellingPrice]]</f>
        <v>33000</v>
      </c>
      <c r="I2729">
        <f>Table1[[#This Row],[Qty]]*Table1[[#This Row],[CostPrice]]</f>
        <v>18000</v>
      </c>
      <c r="J2729">
        <v>14895</v>
      </c>
      <c r="K2729">
        <v>104.99999999999999</v>
      </c>
      <c r="L2729" t="s">
        <v>12</v>
      </c>
      <c r="M2729" t="s">
        <v>30</v>
      </c>
      <c r="N2729">
        <f>MONTH(Table1[[#This Row],[SaleDate]])</f>
        <v>11</v>
      </c>
      <c r="O2729" t="str">
        <f>TEXT(Table1[[#This Row],[SaleDate]],"MMM")</f>
        <v>Nov</v>
      </c>
    </row>
    <row r="2730" spans="1:15">
      <c r="A2730" s="1">
        <v>45231</v>
      </c>
      <c r="B2730" t="s">
        <v>24</v>
      </c>
      <c r="C2730" t="s">
        <v>22</v>
      </c>
      <c r="D2730">
        <v>1</v>
      </c>
      <c r="E2730" t="s">
        <v>9</v>
      </c>
      <c r="F2730">
        <v>60000</v>
      </c>
      <c r="G2730">
        <v>31000</v>
      </c>
      <c r="H2730">
        <f>Table1[[#This Row],[Qty]]*Table1[[#This Row],[SellingPrice]]</f>
        <v>60000</v>
      </c>
      <c r="I2730">
        <f>Table1[[#This Row],[Qty]]*Table1[[#This Row],[CostPrice]]</f>
        <v>31000</v>
      </c>
      <c r="J2730">
        <v>28797</v>
      </c>
      <c r="K2730">
        <v>202.99999999999997</v>
      </c>
      <c r="L2730" t="s">
        <v>12</v>
      </c>
      <c r="M2730" t="s">
        <v>27</v>
      </c>
      <c r="N2730">
        <f>MONTH(Table1[[#This Row],[SaleDate]])</f>
        <v>11</v>
      </c>
      <c r="O2730" t="str">
        <f>TEXT(Table1[[#This Row],[SaleDate]],"MMM")</f>
        <v>Nov</v>
      </c>
    </row>
    <row r="2731" spans="1:15">
      <c r="A2731" s="1">
        <v>45231</v>
      </c>
      <c r="B2731" t="s">
        <v>24</v>
      </c>
      <c r="C2731" t="s">
        <v>22</v>
      </c>
      <c r="D2731">
        <v>1</v>
      </c>
      <c r="E2731" t="s">
        <v>10</v>
      </c>
      <c r="F2731">
        <v>89000</v>
      </c>
      <c r="G2731">
        <v>65000</v>
      </c>
      <c r="H2731">
        <f>Table1[[#This Row],[Qty]]*Table1[[#This Row],[SellingPrice]]</f>
        <v>89000</v>
      </c>
      <c r="I2731">
        <f>Table1[[#This Row],[Qty]]*Table1[[#This Row],[CostPrice]]</f>
        <v>65000</v>
      </c>
      <c r="J2731">
        <v>23832</v>
      </c>
      <c r="K2731">
        <v>167.99999999999997</v>
      </c>
      <c r="L2731" t="s">
        <v>12</v>
      </c>
      <c r="M2731" t="s">
        <v>30</v>
      </c>
      <c r="N2731">
        <f>MONTH(Table1[[#This Row],[SaleDate]])</f>
        <v>11</v>
      </c>
      <c r="O2731" t="str">
        <f>TEXT(Table1[[#This Row],[SaleDate]],"MMM")</f>
        <v>Nov</v>
      </c>
    </row>
    <row r="2732" spans="1:15">
      <c r="A2732" s="1">
        <v>45231</v>
      </c>
      <c r="B2732" t="s">
        <v>25</v>
      </c>
      <c r="C2732" t="s">
        <v>21</v>
      </c>
      <c r="D2732">
        <v>1</v>
      </c>
      <c r="E2732" t="s">
        <v>7</v>
      </c>
      <c r="F2732">
        <v>33000</v>
      </c>
      <c r="G2732">
        <v>18000</v>
      </c>
      <c r="H2732">
        <f>Table1[[#This Row],[Qty]]*Table1[[#This Row],[SellingPrice]]</f>
        <v>33000</v>
      </c>
      <c r="I2732">
        <f>Table1[[#This Row],[Qty]]*Table1[[#This Row],[CostPrice]]</f>
        <v>18000</v>
      </c>
      <c r="J2732">
        <v>14895</v>
      </c>
      <c r="K2732">
        <v>104.99999999999999</v>
      </c>
      <c r="L2732" t="s">
        <v>13</v>
      </c>
      <c r="M2732" t="s">
        <v>27</v>
      </c>
      <c r="N2732">
        <f>MONTH(Table1[[#This Row],[SaleDate]])</f>
        <v>11</v>
      </c>
      <c r="O2732" t="str">
        <f>TEXT(Table1[[#This Row],[SaleDate]],"MMM")</f>
        <v>Nov</v>
      </c>
    </row>
    <row r="2733" spans="1:15">
      <c r="A2733" s="1">
        <v>45231</v>
      </c>
      <c r="B2733" t="s">
        <v>25</v>
      </c>
      <c r="C2733" t="s">
        <v>21</v>
      </c>
      <c r="D2733">
        <v>1</v>
      </c>
      <c r="E2733" t="s">
        <v>9</v>
      </c>
      <c r="F2733">
        <v>60000</v>
      </c>
      <c r="G2733">
        <v>31000</v>
      </c>
      <c r="H2733">
        <f>Table1[[#This Row],[Qty]]*Table1[[#This Row],[SellingPrice]]</f>
        <v>60000</v>
      </c>
      <c r="I2733">
        <f>Table1[[#This Row],[Qty]]*Table1[[#This Row],[CostPrice]]</f>
        <v>31000</v>
      </c>
      <c r="J2733">
        <v>28797</v>
      </c>
      <c r="K2733">
        <v>202.99999999999997</v>
      </c>
      <c r="L2733" t="s">
        <v>13</v>
      </c>
      <c r="M2733" t="s">
        <v>27</v>
      </c>
      <c r="N2733">
        <f>MONTH(Table1[[#This Row],[SaleDate]])</f>
        <v>11</v>
      </c>
      <c r="O2733" t="str">
        <f>TEXT(Table1[[#This Row],[SaleDate]],"MMM")</f>
        <v>Nov</v>
      </c>
    </row>
    <row r="2734" spans="1:15">
      <c r="A2734" s="1">
        <v>45231</v>
      </c>
      <c r="B2734" t="s">
        <v>25</v>
      </c>
      <c r="C2734" t="s">
        <v>21</v>
      </c>
      <c r="D2734">
        <v>1</v>
      </c>
      <c r="E2734" t="s">
        <v>10</v>
      </c>
      <c r="F2734">
        <v>89000</v>
      </c>
      <c r="G2734">
        <v>65000</v>
      </c>
      <c r="H2734">
        <f>Table1[[#This Row],[Qty]]*Table1[[#This Row],[SellingPrice]]</f>
        <v>89000</v>
      </c>
      <c r="I2734">
        <f>Table1[[#This Row],[Qty]]*Table1[[#This Row],[CostPrice]]</f>
        <v>65000</v>
      </c>
      <c r="J2734">
        <v>23832</v>
      </c>
      <c r="K2734">
        <v>167.99999999999997</v>
      </c>
      <c r="L2734" t="s">
        <v>13</v>
      </c>
      <c r="M2734" t="s">
        <v>30</v>
      </c>
      <c r="N2734">
        <f>MONTH(Table1[[#This Row],[SaleDate]])</f>
        <v>11</v>
      </c>
      <c r="O2734" t="str">
        <f>TEXT(Table1[[#This Row],[SaleDate]],"MMM")</f>
        <v>Nov</v>
      </c>
    </row>
    <row r="2735" spans="1:15">
      <c r="A2735" s="1">
        <v>45232</v>
      </c>
      <c r="B2735" t="s">
        <v>23</v>
      </c>
      <c r="C2735" t="s">
        <v>19</v>
      </c>
      <c r="D2735">
        <v>2</v>
      </c>
      <c r="E2735" t="s">
        <v>7</v>
      </c>
      <c r="F2735">
        <v>33000</v>
      </c>
      <c r="G2735">
        <v>18000</v>
      </c>
      <c r="H2735">
        <f>Table1[[#This Row],[Qty]]*Table1[[#This Row],[SellingPrice]]</f>
        <v>66000</v>
      </c>
      <c r="I2735">
        <f>Table1[[#This Row],[Qty]]*Table1[[#This Row],[CostPrice]]</f>
        <v>36000</v>
      </c>
      <c r="J2735">
        <v>29790</v>
      </c>
      <c r="K2735">
        <v>209.99999999999997</v>
      </c>
      <c r="L2735" t="s">
        <v>8</v>
      </c>
      <c r="M2735" t="s">
        <v>29</v>
      </c>
      <c r="N2735">
        <f>MONTH(Table1[[#This Row],[SaleDate]])</f>
        <v>11</v>
      </c>
      <c r="O2735" t="str">
        <f>TEXT(Table1[[#This Row],[SaleDate]],"MMM")</f>
        <v>Nov</v>
      </c>
    </row>
    <row r="2736" spans="1:15">
      <c r="A2736" s="1">
        <v>45232</v>
      </c>
      <c r="B2736" t="s">
        <v>23</v>
      </c>
      <c r="C2736" t="s">
        <v>19</v>
      </c>
      <c r="D2736">
        <v>2</v>
      </c>
      <c r="E2736" t="s">
        <v>9</v>
      </c>
      <c r="F2736">
        <v>60000</v>
      </c>
      <c r="G2736">
        <v>31000</v>
      </c>
      <c r="H2736">
        <f>Table1[[#This Row],[Qty]]*Table1[[#This Row],[SellingPrice]]</f>
        <v>120000</v>
      </c>
      <c r="I2736">
        <f>Table1[[#This Row],[Qty]]*Table1[[#This Row],[CostPrice]]</f>
        <v>62000</v>
      </c>
      <c r="J2736">
        <v>57594</v>
      </c>
      <c r="K2736">
        <v>405.99999999999994</v>
      </c>
      <c r="L2736" t="s">
        <v>8</v>
      </c>
      <c r="M2736" t="s">
        <v>27</v>
      </c>
      <c r="N2736">
        <f>MONTH(Table1[[#This Row],[SaleDate]])</f>
        <v>11</v>
      </c>
      <c r="O2736" t="str">
        <f>TEXT(Table1[[#This Row],[SaleDate]],"MMM")</f>
        <v>Nov</v>
      </c>
    </row>
    <row r="2737" spans="1:15">
      <c r="A2737" s="1">
        <v>45232</v>
      </c>
      <c r="B2737" t="s">
        <v>23</v>
      </c>
      <c r="C2737" t="s">
        <v>19</v>
      </c>
      <c r="D2737">
        <v>2</v>
      </c>
      <c r="E2737" t="s">
        <v>10</v>
      </c>
      <c r="F2737">
        <v>89000</v>
      </c>
      <c r="G2737">
        <v>65000</v>
      </c>
      <c r="H2737">
        <f>Table1[[#This Row],[Qty]]*Table1[[#This Row],[SellingPrice]]</f>
        <v>178000</v>
      </c>
      <c r="I2737">
        <f>Table1[[#This Row],[Qty]]*Table1[[#This Row],[CostPrice]]</f>
        <v>130000</v>
      </c>
      <c r="J2737">
        <v>47664</v>
      </c>
      <c r="K2737">
        <v>335.99999999999994</v>
      </c>
      <c r="L2737" t="s">
        <v>8</v>
      </c>
      <c r="M2737" t="s">
        <v>29</v>
      </c>
      <c r="N2737">
        <f>MONTH(Table1[[#This Row],[SaleDate]])</f>
        <v>11</v>
      </c>
      <c r="O2737" t="str">
        <f>TEXT(Table1[[#This Row],[SaleDate]],"MMM")</f>
        <v>Nov</v>
      </c>
    </row>
    <row r="2738" spans="1:15">
      <c r="A2738" s="1">
        <v>45232</v>
      </c>
      <c r="B2738" t="s">
        <v>26</v>
      </c>
      <c r="C2738" t="s">
        <v>20</v>
      </c>
      <c r="D2738">
        <v>2</v>
      </c>
      <c r="E2738" t="s">
        <v>7</v>
      </c>
      <c r="F2738">
        <v>33000</v>
      </c>
      <c r="G2738">
        <v>18000</v>
      </c>
      <c r="H2738">
        <f>Table1[[#This Row],[Qty]]*Table1[[#This Row],[SellingPrice]]</f>
        <v>66000</v>
      </c>
      <c r="I2738">
        <f>Table1[[#This Row],[Qty]]*Table1[[#This Row],[CostPrice]]</f>
        <v>36000</v>
      </c>
      <c r="J2738">
        <v>29790</v>
      </c>
      <c r="K2738">
        <v>209.99999999999997</v>
      </c>
      <c r="L2738" t="s">
        <v>11</v>
      </c>
      <c r="M2738" t="s">
        <v>29</v>
      </c>
      <c r="N2738">
        <f>MONTH(Table1[[#This Row],[SaleDate]])</f>
        <v>11</v>
      </c>
      <c r="O2738" t="str">
        <f>TEXT(Table1[[#This Row],[SaleDate]],"MMM")</f>
        <v>Nov</v>
      </c>
    </row>
    <row r="2739" spans="1:15">
      <c r="A2739" s="1">
        <v>45232</v>
      </c>
      <c r="B2739" t="s">
        <v>24</v>
      </c>
      <c r="C2739" t="s">
        <v>22</v>
      </c>
      <c r="D2739">
        <v>2</v>
      </c>
      <c r="E2739" t="s">
        <v>7</v>
      </c>
      <c r="F2739">
        <v>33000</v>
      </c>
      <c r="G2739">
        <v>18000</v>
      </c>
      <c r="H2739">
        <f>Table1[[#This Row],[Qty]]*Table1[[#This Row],[SellingPrice]]</f>
        <v>66000</v>
      </c>
      <c r="I2739">
        <f>Table1[[#This Row],[Qty]]*Table1[[#This Row],[CostPrice]]</f>
        <v>36000</v>
      </c>
      <c r="J2739">
        <v>29790</v>
      </c>
      <c r="K2739">
        <v>209.99999999999997</v>
      </c>
      <c r="L2739" t="s">
        <v>12</v>
      </c>
      <c r="M2739" t="s">
        <v>30</v>
      </c>
      <c r="N2739">
        <f>MONTH(Table1[[#This Row],[SaleDate]])</f>
        <v>11</v>
      </c>
      <c r="O2739" t="str">
        <f>TEXT(Table1[[#This Row],[SaleDate]],"MMM")</f>
        <v>Nov</v>
      </c>
    </row>
    <row r="2740" spans="1:15">
      <c r="A2740" s="1">
        <v>45232</v>
      </c>
      <c r="B2740" t="s">
        <v>24</v>
      </c>
      <c r="C2740" t="s">
        <v>22</v>
      </c>
      <c r="D2740">
        <v>2</v>
      </c>
      <c r="E2740" t="s">
        <v>9</v>
      </c>
      <c r="F2740">
        <v>60000</v>
      </c>
      <c r="G2740">
        <v>31000</v>
      </c>
      <c r="H2740">
        <f>Table1[[#This Row],[Qty]]*Table1[[#This Row],[SellingPrice]]</f>
        <v>120000</v>
      </c>
      <c r="I2740">
        <f>Table1[[#This Row],[Qty]]*Table1[[#This Row],[CostPrice]]</f>
        <v>62000</v>
      </c>
      <c r="J2740">
        <v>57594</v>
      </c>
      <c r="K2740">
        <v>405.99999999999994</v>
      </c>
      <c r="L2740" t="s">
        <v>12</v>
      </c>
      <c r="M2740" t="s">
        <v>27</v>
      </c>
      <c r="N2740">
        <f>MONTH(Table1[[#This Row],[SaleDate]])</f>
        <v>11</v>
      </c>
      <c r="O2740" t="str">
        <f>TEXT(Table1[[#This Row],[SaleDate]],"MMM")</f>
        <v>Nov</v>
      </c>
    </row>
    <row r="2741" spans="1:15">
      <c r="A2741" s="1">
        <v>45232</v>
      </c>
      <c r="B2741" t="s">
        <v>24</v>
      </c>
      <c r="C2741" t="s">
        <v>22</v>
      </c>
      <c r="D2741">
        <v>2</v>
      </c>
      <c r="E2741" t="s">
        <v>10</v>
      </c>
      <c r="F2741">
        <v>89000</v>
      </c>
      <c r="G2741">
        <v>65000</v>
      </c>
      <c r="H2741">
        <f>Table1[[#This Row],[Qty]]*Table1[[#This Row],[SellingPrice]]</f>
        <v>178000</v>
      </c>
      <c r="I2741">
        <f>Table1[[#This Row],[Qty]]*Table1[[#This Row],[CostPrice]]</f>
        <v>130000</v>
      </c>
      <c r="J2741">
        <v>47664</v>
      </c>
      <c r="K2741">
        <v>335.99999999999994</v>
      </c>
      <c r="L2741" t="s">
        <v>12</v>
      </c>
      <c r="M2741" t="s">
        <v>28</v>
      </c>
      <c r="N2741">
        <f>MONTH(Table1[[#This Row],[SaleDate]])</f>
        <v>11</v>
      </c>
      <c r="O2741" t="str">
        <f>TEXT(Table1[[#This Row],[SaleDate]],"MMM")</f>
        <v>Nov</v>
      </c>
    </row>
    <row r="2742" spans="1:15">
      <c r="A2742" s="1">
        <v>45232</v>
      </c>
      <c r="B2742" t="s">
        <v>25</v>
      </c>
      <c r="C2742" t="s">
        <v>21</v>
      </c>
      <c r="D2742">
        <v>2</v>
      </c>
      <c r="E2742" t="s">
        <v>7</v>
      </c>
      <c r="F2742">
        <v>33000</v>
      </c>
      <c r="G2742">
        <v>18000</v>
      </c>
      <c r="H2742">
        <f>Table1[[#This Row],[Qty]]*Table1[[#This Row],[SellingPrice]]</f>
        <v>66000</v>
      </c>
      <c r="I2742">
        <f>Table1[[#This Row],[Qty]]*Table1[[#This Row],[CostPrice]]</f>
        <v>36000</v>
      </c>
      <c r="J2742">
        <v>29790</v>
      </c>
      <c r="K2742">
        <v>209.99999999999997</v>
      </c>
      <c r="L2742" t="s">
        <v>13</v>
      </c>
      <c r="M2742" t="s">
        <v>29</v>
      </c>
      <c r="N2742">
        <f>MONTH(Table1[[#This Row],[SaleDate]])</f>
        <v>11</v>
      </c>
      <c r="O2742" t="str">
        <f>TEXT(Table1[[#This Row],[SaleDate]],"MMM")</f>
        <v>Nov</v>
      </c>
    </row>
    <row r="2743" spans="1:15">
      <c r="A2743" s="1">
        <v>45232</v>
      </c>
      <c r="B2743" t="s">
        <v>25</v>
      </c>
      <c r="C2743" t="s">
        <v>21</v>
      </c>
      <c r="D2743">
        <v>2</v>
      </c>
      <c r="E2743" t="s">
        <v>9</v>
      </c>
      <c r="F2743">
        <v>60000</v>
      </c>
      <c r="G2743">
        <v>31000</v>
      </c>
      <c r="H2743">
        <f>Table1[[#This Row],[Qty]]*Table1[[#This Row],[SellingPrice]]</f>
        <v>120000</v>
      </c>
      <c r="I2743">
        <f>Table1[[#This Row],[Qty]]*Table1[[#This Row],[CostPrice]]</f>
        <v>62000</v>
      </c>
      <c r="J2743">
        <v>57594</v>
      </c>
      <c r="K2743">
        <v>405.99999999999994</v>
      </c>
      <c r="L2743" t="s">
        <v>13</v>
      </c>
      <c r="M2743" t="s">
        <v>30</v>
      </c>
      <c r="N2743">
        <f>MONTH(Table1[[#This Row],[SaleDate]])</f>
        <v>11</v>
      </c>
      <c r="O2743" t="str">
        <f>TEXT(Table1[[#This Row],[SaleDate]],"MMM")</f>
        <v>Nov</v>
      </c>
    </row>
    <row r="2744" spans="1:15">
      <c r="A2744" s="1">
        <v>45232</v>
      </c>
      <c r="B2744" t="s">
        <v>25</v>
      </c>
      <c r="C2744" t="s">
        <v>21</v>
      </c>
      <c r="D2744">
        <v>2</v>
      </c>
      <c r="E2744" t="s">
        <v>10</v>
      </c>
      <c r="F2744">
        <v>89000</v>
      </c>
      <c r="G2744">
        <v>65000</v>
      </c>
      <c r="H2744">
        <f>Table1[[#This Row],[Qty]]*Table1[[#This Row],[SellingPrice]]</f>
        <v>178000</v>
      </c>
      <c r="I2744">
        <f>Table1[[#This Row],[Qty]]*Table1[[#This Row],[CostPrice]]</f>
        <v>130000</v>
      </c>
      <c r="J2744">
        <v>47664</v>
      </c>
      <c r="K2744">
        <v>335.99999999999994</v>
      </c>
      <c r="L2744" t="s">
        <v>13</v>
      </c>
      <c r="M2744" t="s">
        <v>29</v>
      </c>
      <c r="N2744">
        <f>MONTH(Table1[[#This Row],[SaleDate]])</f>
        <v>11</v>
      </c>
      <c r="O2744" t="str">
        <f>TEXT(Table1[[#This Row],[SaleDate]],"MMM")</f>
        <v>Nov</v>
      </c>
    </row>
    <row r="2745" spans="1:15">
      <c r="A2745" s="1">
        <v>45233</v>
      </c>
      <c r="B2745" t="s">
        <v>23</v>
      </c>
      <c r="C2745" t="s">
        <v>19</v>
      </c>
      <c r="D2745">
        <v>2</v>
      </c>
      <c r="E2745" t="s">
        <v>7</v>
      </c>
      <c r="F2745">
        <v>33000</v>
      </c>
      <c r="G2745">
        <v>18000</v>
      </c>
      <c r="H2745">
        <f>Table1[[#This Row],[Qty]]*Table1[[#This Row],[SellingPrice]]</f>
        <v>66000</v>
      </c>
      <c r="I2745">
        <f>Table1[[#This Row],[Qty]]*Table1[[#This Row],[CostPrice]]</f>
        <v>36000</v>
      </c>
      <c r="J2745">
        <v>29790</v>
      </c>
      <c r="K2745">
        <v>209.99999999999997</v>
      </c>
      <c r="L2745" t="s">
        <v>8</v>
      </c>
      <c r="M2745" t="s">
        <v>29</v>
      </c>
      <c r="N2745">
        <f>MONTH(Table1[[#This Row],[SaleDate]])</f>
        <v>11</v>
      </c>
      <c r="O2745" t="str">
        <f>TEXT(Table1[[#This Row],[SaleDate]],"MMM")</f>
        <v>Nov</v>
      </c>
    </row>
    <row r="2746" spans="1:15">
      <c r="A2746" s="1">
        <v>45233</v>
      </c>
      <c r="B2746" t="s">
        <v>23</v>
      </c>
      <c r="C2746" t="s">
        <v>19</v>
      </c>
      <c r="D2746">
        <v>2</v>
      </c>
      <c r="E2746" t="s">
        <v>9</v>
      </c>
      <c r="F2746">
        <v>60000</v>
      </c>
      <c r="G2746">
        <v>31000</v>
      </c>
      <c r="H2746">
        <f>Table1[[#This Row],[Qty]]*Table1[[#This Row],[SellingPrice]]</f>
        <v>120000</v>
      </c>
      <c r="I2746">
        <f>Table1[[#This Row],[Qty]]*Table1[[#This Row],[CostPrice]]</f>
        <v>62000</v>
      </c>
      <c r="J2746">
        <v>57594</v>
      </c>
      <c r="K2746">
        <v>405.99999999999994</v>
      </c>
      <c r="L2746" t="s">
        <v>8</v>
      </c>
      <c r="M2746" t="s">
        <v>30</v>
      </c>
      <c r="N2746">
        <f>MONTH(Table1[[#This Row],[SaleDate]])</f>
        <v>11</v>
      </c>
      <c r="O2746" t="str">
        <f>TEXT(Table1[[#This Row],[SaleDate]],"MMM")</f>
        <v>Nov</v>
      </c>
    </row>
    <row r="2747" spans="1:15">
      <c r="A2747" s="1">
        <v>45233</v>
      </c>
      <c r="B2747" t="s">
        <v>23</v>
      </c>
      <c r="C2747" t="s">
        <v>19</v>
      </c>
      <c r="D2747">
        <v>2</v>
      </c>
      <c r="E2747" t="s">
        <v>10</v>
      </c>
      <c r="F2747">
        <v>89000</v>
      </c>
      <c r="G2747">
        <v>65000</v>
      </c>
      <c r="H2747">
        <f>Table1[[#This Row],[Qty]]*Table1[[#This Row],[SellingPrice]]</f>
        <v>178000</v>
      </c>
      <c r="I2747">
        <f>Table1[[#This Row],[Qty]]*Table1[[#This Row],[CostPrice]]</f>
        <v>130000</v>
      </c>
      <c r="J2747">
        <v>47664</v>
      </c>
      <c r="K2747">
        <v>335.99999999999994</v>
      </c>
      <c r="L2747" t="s">
        <v>8</v>
      </c>
      <c r="M2747" t="s">
        <v>30</v>
      </c>
      <c r="N2747">
        <f>MONTH(Table1[[#This Row],[SaleDate]])</f>
        <v>11</v>
      </c>
      <c r="O2747" t="str">
        <f>TEXT(Table1[[#This Row],[SaleDate]],"MMM")</f>
        <v>Nov</v>
      </c>
    </row>
    <row r="2748" spans="1:15">
      <c r="A2748" s="1">
        <v>45233</v>
      </c>
      <c r="B2748" t="s">
        <v>26</v>
      </c>
      <c r="C2748" t="s">
        <v>20</v>
      </c>
      <c r="D2748">
        <v>2</v>
      </c>
      <c r="E2748" t="s">
        <v>7</v>
      </c>
      <c r="F2748">
        <v>33000</v>
      </c>
      <c r="G2748">
        <v>18000</v>
      </c>
      <c r="H2748">
        <f>Table1[[#This Row],[Qty]]*Table1[[#This Row],[SellingPrice]]</f>
        <v>66000</v>
      </c>
      <c r="I2748">
        <f>Table1[[#This Row],[Qty]]*Table1[[#This Row],[CostPrice]]</f>
        <v>36000</v>
      </c>
      <c r="J2748">
        <v>29790</v>
      </c>
      <c r="K2748">
        <v>209.99999999999997</v>
      </c>
      <c r="L2748" t="s">
        <v>11</v>
      </c>
      <c r="M2748" t="s">
        <v>28</v>
      </c>
      <c r="N2748">
        <f>MONTH(Table1[[#This Row],[SaleDate]])</f>
        <v>11</v>
      </c>
      <c r="O2748" t="str">
        <f>TEXT(Table1[[#This Row],[SaleDate]],"MMM")</f>
        <v>Nov</v>
      </c>
    </row>
    <row r="2749" spans="1:15">
      <c r="A2749" s="1">
        <v>45233</v>
      </c>
      <c r="B2749" t="s">
        <v>24</v>
      </c>
      <c r="C2749" t="s">
        <v>22</v>
      </c>
      <c r="D2749">
        <v>2</v>
      </c>
      <c r="E2749" t="s">
        <v>7</v>
      </c>
      <c r="F2749">
        <v>33000</v>
      </c>
      <c r="G2749">
        <v>18000</v>
      </c>
      <c r="H2749">
        <f>Table1[[#This Row],[Qty]]*Table1[[#This Row],[SellingPrice]]</f>
        <v>66000</v>
      </c>
      <c r="I2749">
        <f>Table1[[#This Row],[Qty]]*Table1[[#This Row],[CostPrice]]</f>
        <v>36000</v>
      </c>
      <c r="J2749">
        <v>29790</v>
      </c>
      <c r="K2749">
        <v>209.99999999999997</v>
      </c>
      <c r="L2749" t="s">
        <v>12</v>
      </c>
      <c r="M2749" t="s">
        <v>29</v>
      </c>
      <c r="N2749">
        <f>MONTH(Table1[[#This Row],[SaleDate]])</f>
        <v>11</v>
      </c>
      <c r="O2749" t="str">
        <f>TEXT(Table1[[#This Row],[SaleDate]],"MMM")</f>
        <v>Nov</v>
      </c>
    </row>
    <row r="2750" spans="1:15">
      <c r="A2750" s="1">
        <v>45233</v>
      </c>
      <c r="B2750" t="s">
        <v>24</v>
      </c>
      <c r="C2750" t="s">
        <v>22</v>
      </c>
      <c r="D2750">
        <v>2</v>
      </c>
      <c r="E2750" t="s">
        <v>9</v>
      </c>
      <c r="F2750">
        <v>60000</v>
      </c>
      <c r="G2750">
        <v>31000</v>
      </c>
      <c r="H2750">
        <f>Table1[[#This Row],[Qty]]*Table1[[#This Row],[SellingPrice]]</f>
        <v>120000</v>
      </c>
      <c r="I2750">
        <f>Table1[[#This Row],[Qty]]*Table1[[#This Row],[CostPrice]]</f>
        <v>62000</v>
      </c>
      <c r="J2750">
        <v>57594</v>
      </c>
      <c r="K2750">
        <v>405.99999999999994</v>
      </c>
      <c r="L2750" t="s">
        <v>12</v>
      </c>
      <c r="M2750" t="s">
        <v>29</v>
      </c>
      <c r="N2750">
        <f>MONTH(Table1[[#This Row],[SaleDate]])</f>
        <v>11</v>
      </c>
      <c r="O2750" t="str">
        <f>TEXT(Table1[[#This Row],[SaleDate]],"MMM")</f>
        <v>Nov</v>
      </c>
    </row>
    <row r="2751" spans="1:15">
      <c r="A2751" s="1">
        <v>45233</v>
      </c>
      <c r="B2751" t="s">
        <v>24</v>
      </c>
      <c r="C2751" t="s">
        <v>22</v>
      </c>
      <c r="D2751">
        <v>2</v>
      </c>
      <c r="E2751" t="s">
        <v>10</v>
      </c>
      <c r="F2751">
        <v>89000</v>
      </c>
      <c r="G2751">
        <v>65000</v>
      </c>
      <c r="H2751">
        <f>Table1[[#This Row],[Qty]]*Table1[[#This Row],[SellingPrice]]</f>
        <v>178000</v>
      </c>
      <c r="I2751">
        <f>Table1[[#This Row],[Qty]]*Table1[[#This Row],[CostPrice]]</f>
        <v>130000</v>
      </c>
      <c r="J2751">
        <v>47664</v>
      </c>
      <c r="K2751">
        <v>335.99999999999994</v>
      </c>
      <c r="L2751" t="s">
        <v>12</v>
      </c>
      <c r="M2751" t="s">
        <v>27</v>
      </c>
      <c r="N2751">
        <f>MONTH(Table1[[#This Row],[SaleDate]])</f>
        <v>11</v>
      </c>
      <c r="O2751" t="str">
        <f>TEXT(Table1[[#This Row],[SaleDate]],"MMM")</f>
        <v>Nov</v>
      </c>
    </row>
    <row r="2752" spans="1:15">
      <c r="A2752" s="1">
        <v>45233</v>
      </c>
      <c r="B2752" t="s">
        <v>25</v>
      </c>
      <c r="C2752" t="s">
        <v>21</v>
      </c>
      <c r="D2752">
        <v>2</v>
      </c>
      <c r="E2752" t="s">
        <v>7</v>
      </c>
      <c r="F2752">
        <v>33000</v>
      </c>
      <c r="G2752">
        <v>18000</v>
      </c>
      <c r="H2752">
        <f>Table1[[#This Row],[Qty]]*Table1[[#This Row],[SellingPrice]]</f>
        <v>66000</v>
      </c>
      <c r="I2752">
        <f>Table1[[#This Row],[Qty]]*Table1[[#This Row],[CostPrice]]</f>
        <v>36000</v>
      </c>
      <c r="J2752">
        <v>29790</v>
      </c>
      <c r="K2752">
        <v>209.99999999999997</v>
      </c>
      <c r="L2752" t="s">
        <v>13</v>
      </c>
      <c r="M2752" t="s">
        <v>30</v>
      </c>
      <c r="N2752">
        <f>MONTH(Table1[[#This Row],[SaleDate]])</f>
        <v>11</v>
      </c>
      <c r="O2752" t="str">
        <f>TEXT(Table1[[#This Row],[SaleDate]],"MMM")</f>
        <v>Nov</v>
      </c>
    </row>
    <row r="2753" spans="1:15">
      <c r="A2753" s="1">
        <v>45233</v>
      </c>
      <c r="B2753" t="s">
        <v>25</v>
      </c>
      <c r="C2753" t="s">
        <v>21</v>
      </c>
      <c r="D2753">
        <v>2</v>
      </c>
      <c r="E2753" t="s">
        <v>9</v>
      </c>
      <c r="F2753">
        <v>60000</v>
      </c>
      <c r="G2753">
        <v>31000</v>
      </c>
      <c r="H2753">
        <f>Table1[[#This Row],[Qty]]*Table1[[#This Row],[SellingPrice]]</f>
        <v>120000</v>
      </c>
      <c r="I2753">
        <f>Table1[[#This Row],[Qty]]*Table1[[#This Row],[CostPrice]]</f>
        <v>62000</v>
      </c>
      <c r="J2753">
        <v>57594</v>
      </c>
      <c r="K2753">
        <v>405.99999999999994</v>
      </c>
      <c r="L2753" t="s">
        <v>13</v>
      </c>
      <c r="M2753" t="s">
        <v>27</v>
      </c>
      <c r="N2753">
        <f>MONTH(Table1[[#This Row],[SaleDate]])</f>
        <v>11</v>
      </c>
      <c r="O2753" t="str">
        <f>TEXT(Table1[[#This Row],[SaleDate]],"MMM")</f>
        <v>Nov</v>
      </c>
    </row>
    <row r="2754" spans="1:15">
      <c r="A2754" s="1">
        <v>45233</v>
      </c>
      <c r="B2754" t="s">
        <v>25</v>
      </c>
      <c r="C2754" t="s">
        <v>21</v>
      </c>
      <c r="D2754">
        <v>2</v>
      </c>
      <c r="E2754" t="s">
        <v>10</v>
      </c>
      <c r="F2754">
        <v>89000</v>
      </c>
      <c r="G2754">
        <v>65000</v>
      </c>
      <c r="H2754">
        <f>Table1[[#This Row],[Qty]]*Table1[[#This Row],[SellingPrice]]</f>
        <v>178000</v>
      </c>
      <c r="I2754">
        <f>Table1[[#This Row],[Qty]]*Table1[[#This Row],[CostPrice]]</f>
        <v>130000</v>
      </c>
      <c r="J2754">
        <v>47664</v>
      </c>
      <c r="K2754">
        <v>335.99999999999994</v>
      </c>
      <c r="L2754" t="s">
        <v>13</v>
      </c>
      <c r="M2754" t="s">
        <v>29</v>
      </c>
      <c r="N2754">
        <f>MONTH(Table1[[#This Row],[SaleDate]])</f>
        <v>11</v>
      </c>
      <c r="O2754" t="str">
        <f>TEXT(Table1[[#This Row],[SaleDate]],"MMM")</f>
        <v>Nov</v>
      </c>
    </row>
    <row r="2755" spans="1:15">
      <c r="A2755" s="1">
        <v>45234</v>
      </c>
      <c r="B2755" t="s">
        <v>23</v>
      </c>
      <c r="C2755" t="s">
        <v>19</v>
      </c>
      <c r="D2755">
        <v>1</v>
      </c>
      <c r="E2755" t="s">
        <v>7</v>
      </c>
      <c r="F2755">
        <v>33000</v>
      </c>
      <c r="G2755">
        <v>18000</v>
      </c>
      <c r="H2755">
        <f>Table1[[#This Row],[Qty]]*Table1[[#This Row],[SellingPrice]]</f>
        <v>33000</v>
      </c>
      <c r="I2755">
        <f>Table1[[#This Row],[Qty]]*Table1[[#This Row],[CostPrice]]</f>
        <v>18000</v>
      </c>
      <c r="J2755">
        <v>14895</v>
      </c>
      <c r="K2755">
        <v>104.99999999999999</v>
      </c>
      <c r="L2755" t="s">
        <v>8</v>
      </c>
      <c r="M2755" t="s">
        <v>29</v>
      </c>
      <c r="N2755">
        <f>MONTH(Table1[[#This Row],[SaleDate]])</f>
        <v>11</v>
      </c>
      <c r="O2755" t="str">
        <f>TEXT(Table1[[#This Row],[SaleDate]],"MMM")</f>
        <v>Nov</v>
      </c>
    </row>
    <row r="2756" spans="1:15">
      <c r="A2756" s="1">
        <v>45234</v>
      </c>
      <c r="B2756" t="s">
        <v>23</v>
      </c>
      <c r="C2756" t="s">
        <v>19</v>
      </c>
      <c r="D2756">
        <v>1</v>
      </c>
      <c r="E2756" t="s">
        <v>9</v>
      </c>
      <c r="F2756">
        <v>60000</v>
      </c>
      <c r="G2756">
        <v>31000</v>
      </c>
      <c r="H2756">
        <f>Table1[[#This Row],[Qty]]*Table1[[#This Row],[SellingPrice]]</f>
        <v>60000</v>
      </c>
      <c r="I2756">
        <f>Table1[[#This Row],[Qty]]*Table1[[#This Row],[CostPrice]]</f>
        <v>31000</v>
      </c>
      <c r="J2756">
        <v>28797</v>
      </c>
      <c r="K2756">
        <v>202.99999999999997</v>
      </c>
      <c r="L2756" t="s">
        <v>8</v>
      </c>
      <c r="M2756" t="s">
        <v>30</v>
      </c>
      <c r="N2756">
        <f>MONTH(Table1[[#This Row],[SaleDate]])</f>
        <v>11</v>
      </c>
      <c r="O2756" t="str">
        <f>TEXT(Table1[[#This Row],[SaleDate]],"MMM")</f>
        <v>Nov</v>
      </c>
    </row>
    <row r="2757" spans="1:15">
      <c r="A2757" s="1">
        <v>45234</v>
      </c>
      <c r="B2757" t="s">
        <v>23</v>
      </c>
      <c r="C2757" t="s">
        <v>19</v>
      </c>
      <c r="D2757">
        <v>1</v>
      </c>
      <c r="E2757" t="s">
        <v>10</v>
      </c>
      <c r="F2757">
        <v>89000</v>
      </c>
      <c r="G2757">
        <v>65000</v>
      </c>
      <c r="H2757">
        <f>Table1[[#This Row],[Qty]]*Table1[[#This Row],[SellingPrice]]</f>
        <v>89000</v>
      </c>
      <c r="I2757">
        <f>Table1[[#This Row],[Qty]]*Table1[[#This Row],[CostPrice]]</f>
        <v>65000</v>
      </c>
      <c r="J2757">
        <v>23832</v>
      </c>
      <c r="K2757">
        <v>167.99999999999997</v>
      </c>
      <c r="L2757" t="s">
        <v>8</v>
      </c>
      <c r="M2757" t="s">
        <v>27</v>
      </c>
      <c r="N2757">
        <f>MONTH(Table1[[#This Row],[SaleDate]])</f>
        <v>11</v>
      </c>
      <c r="O2757" t="str">
        <f>TEXT(Table1[[#This Row],[SaleDate]],"MMM")</f>
        <v>Nov</v>
      </c>
    </row>
    <row r="2758" spans="1:15">
      <c r="A2758" s="1">
        <v>45234</v>
      </c>
      <c r="B2758" t="s">
        <v>26</v>
      </c>
      <c r="C2758" t="s">
        <v>20</v>
      </c>
      <c r="D2758">
        <v>1</v>
      </c>
      <c r="E2758" t="s">
        <v>7</v>
      </c>
      <c r="F2758">
        <v>33000</v>
      </c>
      <c r="G2758">
        <v>18000</v>
      </c>
      <c r="H2758">
        <f>Table1[[#This Row],[Qty]]*Table1[[#This Row],[SellingPrice]]</f>
        <v>33000</v>
      </c>
      <c r="I2758">
        <f>Table1[[#This Row],[Qty]]*Table1[[#This Row],[CostPrice]]</f>
        <v>18000</v>
      </c>
      <c r="J2758">
        <v>14895</v>
      </c>
      <c r="K2758">
        <v>104.99999999999999</v>
      </c>
      <c r="L2758" t="s">
        <v>11</v>
      </c>
      <c r="M2758" t="s">
        <v>28</v>
      </c>
      <c r="N2758">
        <f>MONTH(Table1[[#This Row],[SaleDate]])</f>
        <v>11</v>
      </c>
      <c r="O2758" t="str">
        <f>TEXT(Table1[[#This Row],[SaleDate]],"MMM")</f>
        <v>Nov</v>
      </c>
    </row>
    <row r="2759" spans="1:15">
      <c r="A2759" s="1">
        <v>45234</v>
      </c>
      <c r="B2759" t="s">
        <v>24</v>
      </c>
      <c r="C2759" t="s">
        <v>22</v>
      </c>
      <c r="D2759">
        <v>1</v>
      </c>
      <c r="E2759" t="s">
        <v>7</v>
      </c>
      <c r="F2759">
        <v>33000</v>
      </c>
      <c r="G2759">
        <v>18000</v>
      </c>
      <c r="H2759">
        <f>Table1[[#This Row],[Qty]]*Table1[[#This Row],[SellingPrice]]</f>
        <v>33000</v>
      </c>
      <c r="I2759">
        <f>Table1[[#This Row],[Qty]]*Table1[[#This Row],[CostPrice]]</f>
        <v>18000</v>
      </c>
      <c r="J2759">
        <v>14895</v>
      </c>
      <c r="K2759">
        <v>104.99999999999999</v>
      </c>
      <c r="L2759" t="s">
        <v>12</v>
      </c>
      <c r="M2759" t="s">
        <v>30</v>
      </c>
      <c r="N2759">
        <f>MONTH(Table1[[#This Row],[SaleDate]])</f>
        <v>11</v>
      </c>
      <c r="O2759" t="str">
        <f>TEXT(Table1[[#This Row],[SaleDate]],"MMM")</f>
        <v>Nov</v>
      </c>
    </row>
    <row r="2760" spans="1:15">
      <c r="A2760" s="1">
        <v>45234</v>
      </c>
      <c r="B2760" t="s">
        <v>24</v>
      </c>
      <c r="C2760" t="s">
        <v>22</v>
      </c>
      <c r="D2760">
        <v>1</v>
      </c>
      <c r="E2760" t="s">
        <v>9</v>
      </c>
      <c r="F2760">
        <v>60000</v>
      </c>
      <c r="G2760">
        <v>31000</v>
      </c>
      <c r="H2760">
        <f>Table1[[#This Row],[Qty]]*Table1[[#This Row],[SellingPrice]]</f>
        <v>60000</v>
      </c>
      <c r="I2760">
        <f>Table1[[#This Row],[Qty]]*Table1[[#This Row],[CostPrice]]</f>
        <v>31000</v>
      </c>
      <c r="J2760">
        <v>28797</v>
      </c>
      <c r="K2760">
        <v>202.99999999999997</v>
      </c>
      <c r="L2760" t="s">
        <v>12</v>
      </c>
      <c r="M2760" t="s">
        <v>30</v>
      </c>
      <c r="N2760">
        <f>MONTH(Table1[[#This Row],[SaleDate]])</f>
        <v>11</v>
      </c>
      <c r="O2760" t="str">
        <f>TEXT(Table1[[#This Row],[SaleDate]],"MMM")</f>
        <v>Nov</v>
      </c>
    </row>
    <row r="2761" spans="1:15">
      <c r="A2761" s="1">
        <v>45234</v>
      </c>
      <c r="B2761" t="s">
        <v>24</v>
      </c>
      <c r="C2761" t="s">
        <v>22</v>
      </c>
      <c r="D2761">
        <v>1</v>
      </c>
      <c r="E2761" t="s">
        <v>10</v>
      </c>
      <c r="F2761">
        <v>89000</v>
      </c>
      <c r="G2761">
        <v>65000</v>
      </c>
      <c r="H2761">
        <f>Table1[[#This Row],[Qty]]*Table1[[#This Row],[SellingPrice]]</f>
        <v>89000</v>
      </c>
      <c r="I2761">
        <f>Table1[[#This Row],[Qty]]*Table1[[#This Row],[CostPrice]]</f>
        <v>65000</v>
      </c>
      <c r="J2761">
        <v>23832</v>
      </c>
      <c r="K2761">
        <v>167.99999999999997</v>
      </c>
      <c r="L2761" t="s">
        <v>12</v>
      </c>
      <c r="M2761" t="s">
        <v>28</v>
      </c>
      <c r="N2761">
        <f>MONTH(Table1[[#This Row],[SaleDate]])</f>
        <v>11</v>
      </c>
      <c r="O2761" t="str">
        <f>TEXT(Table1[[#This Row],[SaleDate]],"MMM")</f>
        <v>Nov</v>
      </c>
    </row>
    <row r="2762" spans="1:15">
      <c r="A2762" s="1">
        <v>45234</v>
      </c>
      <c r="B2762" t="s">
        <v>25</v>
      </c>
      <c r="C2762" t="s">
        <v>21</v>
      </c>
      <c r="D2762">
        <v>1</v>
      </c>
      <c r="E2762" t="s">
        <v>7</v>
      </c>
      <c r="F2762">
        <v>33000</v>
      </c>
      <c r="G2762">
        <v>18000</v>
      </c>
      <c r="H2762">
        <f>Table1[[#This Row],[Qty]]*Table1[[#This Row],[SellingPrice]]</f>
        <v>33000</v>
      </c>
      <c r="I2762">
        <f>Table1[[#This Row],[Qty]]*Table1[[#This Row],[CostPrice]]</f>
        <v>18000</v>
      </c>
      <c r="J2762">
        <v>14895</v>
      </c>
      <c r="K2762">
        <v>104.99999999999999</v>
      </c>
      <c r="L2762" t="s">
        <v>13</v>
      </c>
      <c r="M2762" t="s">
        <v>29</v>
      </c>
      <c r="N2762">
        <f>MONTH(Table1[[#This Row],[SaleDate]])</f>
        <v>11</v>
      </c>
      <c r="O2762" t="str">
        <f>TEXT(Table1[[#This Row],[SaleDate]],"MMM")</f>
        <v>Nov</v>
      </c>
    </row>
    <row r="2763" spans="1:15">
      <c r="A2763" s="1">
        <v>45234</v>
      </c>
      <c r="B2763" t="s">
        <v>25</v>
      </c>
      <c r="C2763" t="s">
        <v>21</v>
      </c>
      <c r="D2763">
        <v>1</v>
      </c>
      <c r="E2763" t="s">
        <v>9</v>
      </c>
      <c r="F2763">
        <v>60000</v>
      </c>
      <c r="G2763">
        <v>31000</v>
      </c>
      <c r="H2763">
        <f>Table1[[#This Row],[Qty]]*Table1[[#This Row],[SellingPrice]]</f>
        <v>60000</v>
      </c>
      <c r="I2763">
        <f>Table1[[#This Row],[Qty]]*Table1[[#This Row],[CostPrice]]</f>
        <v>31000</v>
      </c>
      <c r="J2763">
        <v>28797</v>
      </c>
      <c r="K2763">
        <v>202.99999999999997</v>
      </c>
      <c r="L2763" t="s">
        <v>13</v>
      </c>
      <c r="M2763" t="s">
        <v>29</v>
      </c>
      <c r="N2763">
        <f>MONTH(Table1[[#This Row],[SaleDate]])</f>
        <v>11</v>
      </c>
      <c r="O2763" t="str">
        <f>TEXT(Table1[[#This Row],[SaleDate]],"MMM")</f>
        <v>Nov</v>
      </c>
    </row>
    <row r="2764" spans="1:15">
      <c r="A2764" s="1">
        <v>45234</v>
      </c>
      <c r="B2764" t="s">
        <v>25</v>
      </c>
      <c r="C2764" t="s">
        <v>21</v>
      </c>
      <c r="D2764">
        <v>1</v>
      </c>
      <c r="E2764" t="s">
        <v>10</v>
      </c>
      <c r="F2764">
        <v>89000</v>
      </c>
      <c r="G2764">
        <v>65000</v>
      </c>
      <c r="H2764">
        <f>Table1[[#This Row],[Qty]]*Table1[[#This Row],[SellingPrice]]</f>
        <v>89000</v>
      </c>
      <c r="I2764">
        <f>Table1[[#This Row],[Qty]]*Table1[[#This Row],[CostPrice]]</f>
        <v>65000</v>
      </c>
      <c r="J2764">
        <v>23832</v>
      </c>
      <c r="K2764">
        <v>167.99999999999997</v>
      </c>
      <c r="L2764" t="s">
        <v>13</v>
      </c>
      <c r="M2764" t="s">
        <v>27</v>
      </c>
      <c r="N2764">
        <f>MONTH(Table1[[#This Row],[SaleDate]])</f>
        <v>11</v>
      </c>
      <c r="O2764" t="str">
        <f>TEXT(Table1[[#This Row],[SaleDate]],"MMM")</f>
        <v>Nov</v>
      </c>
    </row>
    <row r="2765" spans="1:15">
      <c r="A2765" s="1">
        <v>45235</v>
      </c>
      <c r="B2765" t="s">
        <v>23</v>
      </c>
      <c r="C2765" t="s">
        <v>19</v>
      </c>
      <c r="D2765">
        <v>2</v>
      </c>
      <c r="E2765" t="s">
        <v>7</v>
      </c>
      <c r="F2765">
        <v>33000</v>
      </c>
      <c r="G2765">
        <v>18000</v>
      </c>
      <c r="H2765">
        <f>Table1[[#This Row],[Qty]]*Table1[[#This Row],[SellingPrice]]</f>
        <v>66000</v>
      </c>
      <c r="I2765">
        <f>Table1[[#This Row],[Qty]]*Table1[[#This Row],[CostPrice]]</f>
        <v>36000</v>
      </c>
      <c r="J2765">
        <v>29790</v>
      </c>
      <c r="K2765">
        <v>209.99999999999997</v>
      </c>
      <c r="L2765" t="s">
        <v>8</v>
      </c>
      <c r="M2765" t="s">
        <v>30</v>
      </c>
      <c r="N2765">
        <f>MONTH(Table1[[#This Row],[SaleDate]])</f>
        <v>11</v>
      </c>
      <c r="O2765" t="str">
        <f>TEXT(Table1[[#This Row],[SaleDate]],"MMM")</f>
        <v>Nov</v>
      </c>
    </row>
    <row r="2766" spans="1:15">
      <c r="A2766" s="1">
        <v>45235</v>
      </c>
      <c r="B2766" t="s">
        <v>23</v>
      </c>
      <c r="C2766" t="s">
        <v>19</v>
      </c>
      <c r="D2766">
        <v>2</v>
      </c>
      <c r="E2766" t="s">
        <v>9</v>
      </c>
      <c r="F2766">
        <v>60000</v>
      </c>
      <c r="G2766">
        <v>31000</v>
      </c>
      <c r="H2766">
        <f>Table1[[#This Row],[Qty]]*Table1[[#This Row],[SellingPrice]]</f>
        <v>120000</v>
      </c>
      <c r="I2766">
        <f>Table1[[#This Row],[Qty]]*Table1[[#This Row],[CostPrice]]</f>
        <v>62000</v>
      </c>
      <c r="J2766">
        <v>57594</v>
      </c>
      <c r="K2766">
        <v>405.99999999999994</v>
      </c>
      <c r="L2766" t="s">
        <v>8</v>
      </c>
      <c r="M2766" t="s">
        <v>28</v>
      </c>
      <c r="N2766">
        <f>MONTH(Table1[[#This Row],[SaleDate]])</f>
        <v>11</v>
      </c>
      <c r="O2766" t="str">
        <f>TEXT(Table1[[#This Row],[SaleDate]],"MMM")</f>
        <v>Nov</v>
      </c>
    </row>
    <row r="2767" spans="1:15">
      <c r="A2767" s="1">
        <v>45235</v>
      </c>
      <c r="B2767" t="s">
        <v>23</v>
      </c>
      <c r="C2767" t="s">
        <v>19</v>
      </c>
      <c r="D2767">
        <v>2</v>
      </c>
      <c r="E2767" t="s">
        <v>10</v>
      </c>
      <c r="F2767">
        <v>89000</v>
      </c>
      <c r="G2767">
        <v>65000</v>
      </c>
      <c r="H2767">
        <f>Table1[[#This Row],[Qty]]*Table1[[#This Row],[SellingPrice]]</f>
        <v>178000</v>
      </c>
      <c r="I2767">
        <f>Table1[[#This Row],[Qty]]*Table1[[#This Row],[CostPrice]]</f>
        <v>130000</v>
      </c>
      <c r="J2767">
        <v>47664</v>
      </c>
      <c r="K2767">
        <v>335.99999999999994</v>
      </c>
      <c r="L2767" t="s">
        <v>8</v>
      </c>
      <c r="M2767" t="s">
        <v>27</v>
      </c>
      <c r="N2767">
        <f>MONTH(Table1[[#This Row],[SaleDate]])</f>
        <v>11</v>
      </c>
      <c r="O2767" t="str">
        <f>TEXT(Table1[[#This Row],[SaleDate]],"MMM")</f>
        <v>Nov</v>
      </c>
    </row>
    <row r="2768" spans="1:15">
      <c r="A2768" s="1">
        <v>45235</v>
      </c>
      <c r="B2768" t="s">
        <v>24</v>
      </c>
      <c r="C2768" t="s">
        <v>22</v>
      </c>
      <c r="D2768">
        <v>2</v>
      </c>
      <c r="E2768" t="s">
        <v>7</v>
      </c>
      <c r="F2768">
        <v>33000</v>
      </c>
      <c r="G2768">
        <v>18000</v>
      </c>
      <c r="H2768">
        <f>Table1[[#This Row],[Qty]]*Table1[[#This Row],[SellingPrice]]</f>
        <v>66000</v>
      </c>
      <c r="I2768">
        <f>Table1[[#This Row],[Qty]]*Table1[[#This Row],[CostPrice]]</f>
        <v>36000</v>
      </c>
      <c r="J2768">
        <v>29790</v>
      </c>
      <c r="K2768">
        <v>209.99999999999997</v>
      </c>
      <c r="L2768" t="s">
        <v>12</v>
      </c>
      <c r="M2768" t="s">
        <v>30</v>
      </c>
      <c r="N2768">
        <f>MONTH(Table1[[#This Row],[SaleDate]])</f>
        <v>11</v>
      </c>
      <c r="O2768" t="str">
        <f>TEXT(Table1[[#This Row],[SaleDate]],"MMM")</f>
        <v>Nov</v>
      </c>
    </row>
    <row r="2769" spans="1:15">
      <c r="A2769" s="1">
        <v>45235</v>
      </c>
      <c r="B2769" t="s">
        <v>24</v>
      </c>
      <c r="C2769" t="s">
        <v>22</v>
      </c>
      <c r="D2769">
        <v>2</v>
      </c>
      <c r="E2769" t="s">
        <v>9</v>
      </c>
      <c r="F2769">
        <v>60000</v>
      </c>
      <c r="G2769">
        <v>31000</v>
      </c>
      <c r="H2769">
        <f>Table1[[#This Row],[Qty]]*Table1[[#This Row],[SellingPrice]]</f>
        <v>120000</v>
      </c>
      <c r="I2769">
        <f>Table1[[#This Row],[Qty]]*Table1[[#This Row],[CostPrice]]</f>
        <v>62000</v>
      </c>
      <c r="J2769">
        <v>57594</v>
      </c>
      <c r="K2769">
        <v>405.99999999999994</v>
      </c>
      <c r="L2769" t="s">
        <v>12</v>
      </c>
      <c r="M2769" t="s">
        <v>30</v>
      </c>
      <c r="N2769">
        <f>MONTH(Table1[[#This Row],[SaleDate]])</f>
        <v>11</v>
      </c>
      <c r="O2769" t="str">
        <f>TEXT(Table1[[#This Row],[SaleDate]],"MMM")</f>
        <v>Nov</v>
      </c>
    </row>
    <row r="2770" spans="1:15">
      <c r="A2770" s="1">
        <v>45235</v>
      </c>
      <c r="B2770" t="s">
        <v>24</v>
      </c>
      <c r="C2770" t="s">
        <v>22</v>
      </c>
      <c r="D2770">
        <v>2</v>
      </c>
      <c r="E2770" t="s">
        <v>10</v>
      </c>
      <c r="F2770">
        <v>89000</v>
      </c>
      <c r="G2770">
        <v>65000</v>
      </c>
      <c r="H2770">
        <f>Table1[[#This Row],[Qty]]*Table1[[#This Row],[SellingPrice]]</f>
        <v>178000</v>
      </c>
      <c r="I2770">
        <f>Table1[[#This Row],[Qty]]*Table1[[#This Row],[CostPrice]]</f>
        <v>130000</v>
      </c>
      <c r="J2770">
        <v>47664</v>
      </c>
      <c r="K2770">
        <v>335.99999999999994</v>
      </c>
      <c r="L2770" t="s">
        <v>12</v>
      </c>
      <c r="M2770" t="s">
        <v>27</v>
      </c>
      <c r="N2770">
        <f>MONTH(Table1[[#This Row],[SaleDate]])</f>
        <v>11</v>
      </c>
      <c r="O2770" t="str">
        <f>TEXT(Table1[[#This Row],[SaleDate]],"MMM")</f>
        <v>Nov</v>
      </c>
    </row>
    <row r="2771" spans="1:15">
      <c r="A2771" s="1">
        <v>45235</v>
      </c>
      <c r="B2771" t="s">
        <v>25</v>
      </c>
      <c r="C2771" t="s">
        <v>21</v>
      </c>
      <c r="D2771">
        <v>2</v>
      </c>
      <c r="E2771" t="s">
        <v>7</v>
      </c>
      <c r="F2771">
        <v>33000</v>
      </c>
      <c r="G2771">
        <v>18000</v>
      </c>
      <c r="H2771">
        <f>Table1[[#This Row],[Qty]]*Table1[[#This Row],[SellingPrice]]</f>
        <v>66000</v>
      </c>
      <c r="I2771">
        <f>Table1[[#This Row],[Qty]]*Table1[[#This Row],[CostPrice]]</f>
        <v>36000</v>
      </c>
      <c r="J2771">
        <v>29790</v>
      </c>
      <c r="K2771">
        <v>209.99999999999997</v>
      </c>
      <c r="L2771" t="s">
        <v>13</v>
      </c>
      <c r="M2771" t="s">
        <v>30</v>
      </c>
      <c r="N2771">
        <f>MONTH(Table1[[#This Row],[SaleDate]])</f>
        <v>11</v>
      </c>
      <c r="O2771" t="str">
        <f>TEXT(Table1[[#This Row],[SaleDate]],"MMM")</f>
        <v>Nov</v>
      </c>
    </row>
    <row r="2772" spans="1:15">
      <c r="A2772" s="1">
        <v>45235</v>
      </c>
      <c r="B2772" t="s">
        <v>25</v>
      </c>
      <c r="C2772" t="s">
        <v>21</v>
      </c>
      <c r="D2772">
        <v>2</v>
      </c>
      <c r="E2772" t="s">
        <v>9</v>
      </c>
      <c r="F2772">
        <v>60000</v>
      </c>
      <c r="G2772">
        <v>31000</v>
      </c>
      <c r="H2772">
        <f>Table1[[#This Row],[Qty]]*Table1[[#This Row],[SellingPrice]]</f>
        <v>120000</v>
      </c>
      <c r="I2772">
        <f>Table1[[#This Row],[Qty]]*Table1[[#This Row],[CostPrice]]</f>
        <v>62000</v>
      </c>
      <c r="J2772">
        <v>57594</v>
      </c>
      <c r="K2772">
        <v>405.99999999999994</v>
      </c>
      <c r="L2772" t="s">
        <v>13</v>
      </c>
      <c r="M2772" t="s">
        <v>27</v>
      </c>
      <c r="N2772">
        <f>MONTH(Table1[[#This Row],[SaleDate]])</f>
        <v>11</v>
      </c>
      <c r="O2772" t="str">
        <f>TEXT(Table1[[#This Row],[SaleDate]],"MMM")</f>
        <v>Nov</v>
      </c>
    </row>
    <row r="2773" spans="1:15">
      <c r="A2773" s="1">
        <v>45235</v>
      </c>
      <c r="B2773" t="s">
        <v>25</v>
      </c>
      <c r="C2773" t="s">
        <v>21</v>
      </c>
      <c r="D2773">
        <v>2</v>
      </c>
      <c r="E2773" t="s">
        <v>10</v>
      </c>
      <c r="F2773">
        <v>89000</v>
      </c>
      <c r="G2773">
        <v>65000</v>
      </c>
      <c r="H2773">
        <f>Table1[[#This Row],[Qty]]*Table1[[#This Row],[SellingPrice]]</f>
        <v>178000</v>
      </c>
      <c r="I2773">
        <f>Table1[[#This Row],[Qty]]*Table1[[#This Row],[CostPrice]]</f>
        <v>130000</v>
      </c>
      <c r="J2773">
        <v>47664</v>
      </c>
      <c r="K2773">
        <v>335.99999999999994</v>
      </c>
      <c r="L2773" t="s">
        <v>13</v>
      </c>
      <c r="M2773" t="s">
        <v>30</v>
      </c>
      <c r="N2773">
        <f>MONTH(Table1[[#This Row],[SaleDate]])</f>
        <v>11</v>
      </c>
      <c r="O2773" t="str">
        <f>TEXT(Table1[[#This Row],[SaleDate]],"MMM")</f>
        <v>Nov</v>
      </c>
    </row>
    <row r="2774" spans="1:15">
      <c r="A2774" s="1">
        <v>45236</v>
      </c>
      <c r="B2774" t="s">
        <v>23</v>
      </c>
      <c r="C2774" t="s">
        <v>19</v>
      </c>
      <c r="D2774">
        <v>1</v>
      </c>
      <c r="E2774" t="s">
        <v>7</v>
      </c>
      <c r="F2774">
        <v>33000</v>
      </c>
      <c r="G2774">
        <v>18000</v>
      </c>
      <c r="H2774">
        <f>Table1[[#This Row],[Qty]]*Table1[[#This Row],[SellingPrice]]</f>
        <v>33000</v>
      </c>
      <c r="I2774">
        <f>Table1[[#This Row],[Qty]]*Table1[[#This Row],[CostPrice]]</f>
        <v>18000</v>
      </c>
      <c r="J2774">
        <v>14895</v>
      </c>
      <c r="K2774">
        <v>104.99999999999999</v>
      </c>
      <c r="L2774" t="s">
        <v>8</v>
      </c>
      <c r="M2774" t="s">
        <v>30</v>
      </c>
      <c r="N2774">
        <f>MONTH(Table1[[#This Row],[SaleDate]])</f>
        <v>11</v>
      </c>
      <c r="O2774" t="str">
        <f>TEXT(Table1[[#This Row],[SaleDate]],"MMM")</f>
        <v>Nov</v>
      </c>
    </row>
    <row r="2775" spans="1:15">
      <c r="A2775" s="1">
        <v>45236</v>
      </c>
      <c r="B2775" t="s">
        <v>23</v>
      </c>
      <c r="C2775" t="s">
        <v>19</v>
      </c>
      <c r="D2775">
        <v>1</v>
      </c>
      <c r="E2775" t="s">
        <v>9</v>
      </c>
      <c r="F2775">
        <v>60000</v>
      </c>
      <c r="G2775">
        <v>31000</v>
      </c>
      <c r="H2775">
        <f>Table1[[#This Row],[Qty]]*Table1[[#This Row],[SellingPrice]]</f>
        <v>60000</v>
      </c>
      <c r="I2775">
        <f>Table1[[#This Row],[Qty]]*Table1[[#This Row],[CostPrice]]</f>
        <v>31000</v>
      </c>
      <c r="J2775">
        <v>28797</v>
      </c>
      <c r="K2775">
        <v>202.99999999999997</v>
      </c>
      <c r="L2775" t="s">
        <v>8</v>
      </c>
      <c r="M2775" t="s">
        <v>30</v>
      </c>
      <c r="N2775">
        <f>MONTH(Table1[[#This Row],[SaleDate]])</f>
        <v>11</v>
      </c>
      <c r="O2775" t="str">
        <f>TEXT(Table1[[#This Row],[SaleDate]],"MMM")</f>
        <v>Nov</v>
      </c>
    </row>
    <row r="2776" spans="1:15">
      <c r="A2776" s="1">
        <v>45236</v>
      </c>
      <c r="B2776" t="s">
        <v>23</v>
      </c>
      <c r="C2776" t="s">
        <v>19</v>
      </c>
      <c r="D2776">
        <v>1</v>
      </c>
      <c r="E2776" t="s">
        <v>10</v>
      </c>
      <c r="F2776">
        <v>89000</v>
      </c>
      <c r="G2776">
        <v>65000</v>
      </c>
      <c r="H2776">
        <f>Table1[[#This Row],[Qty]]*Table1[[#This Row],[SellingPrice]]</f>
        <v>89000</v>
      </c>
      <c r="I2776">
        <f>Table1[[#This Row],[Qty]]*Table1[[#This Row],[CostPrice]]</f>
        <v>65000</v>
      </c>
      <c r="J2776">
        <v>23832</v>
      </c>
      <c r="K2776">
        <v>167.99999999999997</v>
      </c>
      <c r="L2776" t="s">
        <v>8</v>
      </c>
      <c r="M2776" t="s">
        <v>27</v>
      </c>
      <c r="N2776">
        <f>MONTH(Table1[[#This Row],[SaleDate]])</f>
        <v>11</v>
      </c>
      <c r="O2776" t="str">
        <f>TEXT(Table1[[#This Row],[SaleDate]],"MMM")</f>
        <v>Nov</v>
      </c>
    </row>
    <row r="2777" spans="1:15">
      <c r="A2777" s="1">
        <v>45236</v>
      </c>
      <c r="B2777" t="s">
        <v>24</v>
      </c>
      <c r="C2777" t="s">
        <v>22</v>
      </c>
      <c r="D2777">
        <v>1</v>
      </c>
      <c r="E2777" t="s">
        <v>7</v>
      </c>
      <c r="F2777">
        <v>33000</v>
      </c>
      <c r="G2777">
        <v>18000</v>
      </c>
      <c r="H2777">
        <f>Table1[[#This Row],[Qty]]*Table1[[#This Row],[SellingPrice]]</f>
        <v>33000</v>
      </c>
      <c r="I2777">
        <f>Table1[[#This Row],[Qty]]*Table1[[#This Row],[CostPrice]]</f>
        <v>18000</v>
      </c>
      <c r="J2777">
        <v>14895</v>
      </c>
      <c r="K2777">
        <v>104.99999999999999</v>
      </c>
      <c r="L2777" t="s">
        <v>12</v>
      </c>
      <c r="M2777" t="s">
        <v>28</v>
      </c>
      <c r="N2777">
        <f>MONTH(Table1[[#This Row],[SaleDate]])</f>
        <v>11</v>
      </c>
      <c r="O2777" t="str">
        <f>TEXT(Table1[[#This Row],[SaleDate]],"MMM")</f>
        <v>Nov</v>
      </c>
    </row>
    <row r="2778" spans="1:15">
      <c r="A2778" s="1">
        <v>45236</v>
      </c>
      <c r="B2778" t="s">
        <v>24</v>
      </c>
      <c r="C2778" t="s">
        <v>22</v>
      </c>
      <c r="D2778">
        <v>1</v>
      </c>
      <c r="E2778" t="s">
        <v>9</v>
      </c>
      <c r="F2778">
        <v>60000</v>
      </c>
      <c r="G2778">
        <v>31000</v>
      </c>
      <c r="H2778">
        <f>Table1[[#This Row],[Qty]]*Table1[[#This Row],[SellingPrice]]</f>
        <v>60000</v>
      </c>
      <c r="I2778">
        <f>Table1[[#This Row],[Qty]]*Table1[[#This Row],[CostPrice]]</f>
        <v>31000</v>
      </c>
      <c r="J2778">
        <v>28797</v>
      </c>
      <c r="K2778">
        <v>202.99999999999997</v>
      </c>
      <c r="L2778" t="s">
        <v>12</v>
      </c>
      <c r="M2778" t="s">
        <v>30</v>
      </c>
      <c r="N2778">
        <f>MONTH(Table1[[#This Row],[SaleDate]])</f>
        <v>11</v>
      </c>
      <c r="O2778" t="str">
        <f>TEXT(Table1[[#This Row],[SaleDate]],"MMM")</f>
        <v>Nov</v>
      </c>
    </row>
    <row r="2779" spans="1:15">
      <c r="A2779" s="1">
        <v>45236</v>
      </c>
      <c r="B2779" t="s">
        <v>24</v>
      </c>
      <c r="C2779" t="s">
        <v>22</v>
      </c>
      <c r="D2779">
        <v>1</v>
      </c>
      <c r="E2779" t="s">
        <v>10</v>
      </c>
      <c r="F2779">
        <v>89000</v>
      </c>
      <c r="G2779">
        <v>65000</v>
      </c>
      <c r="H2779">
        <f>Table1[[#This Row],[Qty]]*Table1[[#This Row],[SellingPrice]]</f>
        <v>89000</v>
      </c>
      <c r="I2779">
        <f>Table1[[#This Row],[Qty]]*Table1[[#This Row],[CostPrice]]</f>
        <v>65000</v>
      </c>
      <c r="J2779">
        <v>23832</v>
      </c>
      <c r="K2779">
        <v>167.99999999999997</v>
      </c>
      <c r="L2779" t="s">
        <v>12</v>
      </c>
      <c r="M2779" t="s">
        <v>28</v>
      </c>
      <c r="N2779">
        <f>MONTH(Table1[[#This Row],[SaleDate]])</f>
        <v>11</v>
      </c>
      <c r="O2779" t="str">
        <f>TEXT(Table1[[#This Row],[SaleDate]],"MMM")</f>
        <v>Nov</v>
      </c>
    </row>
    <row r="2780" spans="1:15">
      <c r="A2780" s="1">
        <v>45236</v>
      </c>
      <c r="B2780" t="s">
        <v>25</v>
      </c>
      <c r="C2780" t="s">
        <v>21</v>
      </c>
      <c r="D2780">
        <v>1</v>
      </c>
      <c r="E2780" t="s">
        <v>7</v>
      </c>
      <c r="F2780">
        <v>33000</v>
      </c>
      <c r="G2780">
        <v>18000</v>
      </c>
      <c r="H2780">
        <f>Table1[[#This Row],[Qty]]*Table1[[#This Row],[SellingPrice]]</f>
        <v>33000</v>
      </c>
      <c r="I2780">
        <f>Table1[[#This Row],[Qty]]*Table1[[#This Row],[CostPrice]]</f>
        <v>18000</v>
      </c>
      <c r="J2780">
        <v>14895</v>
      </c>
      <c r="K2780">
        <v>104.99999999999999</v>
      </c>
      <c r="L2780" t="s">
        <v>13</v>
      </c>
      <c r="M2780" t="s">
        <v>28</v>
      </c>
      <c r="N2780">
        <f>MONTH(Table1[[#This Row],[SaleDate]])</f>
        <v>11</v>
      </c>
      <c r="O2780" t="str">
        <f>TEXT(Table1[[#This Row],[SaleDate]],"MMM")</f>
        <v>Nov</v>
      </c>
    </row>
    <row r="2781" spans="1:15">
      <c r="A2781" s="1">
        <v>45236</v>
      </c>
      <c r="B2781" t="s">
        <v>25</v>
      </c>
      <c r="C2781" t="s">
        <v>21</v>
      </c>
      <c r="D2781">
        <v>1</v>
      </c>
      <c r="E2781" t="s">
        <v>9</v>
      </c>
      <c r="F2781">
        <v>60000</v>
      </c>
      <c r="G2781">
        <v>31000</v>
      </c>
      <c r="H2781">
        <f>Table1[[#This Row],[Qty]]*Table1[[#This Row],[SellingPrice]]</f>
        <v>60000</v>
      </c>
      <c r="I2781">
        <f>Table1[[#This Row],[Qty]]*Table1[[#This Row],[CostPrice]]</f>
        <v>31000</v>
      </c>
      <c r="J2781">
        <v>28797</v>
      </c>
      <c r="K2781">
        <v>202.99999999999997</v>
      </c>
      <c r="L2781" t="s">
        <v>13</v>
      </c>
      <c r="M2781" t="s">
        <v>30</v>
      </c>
      <c r="N2781">
        <f>MONTH(Table1[[#This Row],[SaleDate]])</f>
        <v>11</v>
      </c>
      <c r="O2781" t="str">
        <f>TEXT(Table1[[#This Row],[SaleDate]],"MMM")</f>
        <v>Nov</v>
      </c>
    </row>
    <row r="2782" spans="1:15">
      <c r="A2782" s="1">
        <v>45236</v>
      </c>
      <c r="B2782" t="s">
        <v>25</v>
      </c>
      <c r="C2782" t="s">
        <v>21</v>
      </c>
      <c r="D2782">
        <v>1</v>
      </c>
      <c r="E2782" t="s">
        <v>10</v>
      </c>
      <c r="F2782">
        <v>89000</v>
      </c>
      <c r="G2782">
        <v>65000</v>
      </c>
      <c r="H2782">
        <f>Table1[[#This Row],[Qty]]*Table1[[#This Row],[SellingPrice]]</f>
        <v>89000</v>
      </c>
      <c r="I2782">
        <f>Table1[[#This Row],[Qty]]*Table1[[#This Row],[CostPrice]]</f>
        <v>65000</v>
      </c>
      <c r="J2782">
        <v>23832</v>
      </c>
      <c r="K2782">
        <v>167.99999999999997</v>
      </c>
      <c r="L2782" t="s">
        <v>13</v>
      </c>
      <c r="M2782" t="s">
        <v>27</v>
      </c>
      <c r="N2782">
        <f>MONTH(Table1[[#This Row],[SaleDate]])</f>
        <v>11</v>
      </c>
      <c r="O2782" t="str">
        <f>TEXT(Table1[[#This Row],[SaleDate]],"MMM")</f>
        <v>Nov</v>
      </c>
    </row>
    <row r="2783" spans="1:15">
      <c r="A2783" s="1">
        <v>45237</v>
      </c>
      <c r="B2783" t="s">
        <v>23</v>
      </c>
      <c r="C2783" t="s">
        <v>19</v>
      </c>
      <c r="D2783">
        <v>1</v>
      </c>
      <c r="E2783" t="s">
        <v>7</v>
      </c>
      <c r="F2783">
        <v>33000</v>
      </c>
      <c r="G2783">
        <v>18000</v>
      </c>
      <c r="H2783">
        <f>Table1[[#This Row],[Qty]]*Table1[[#This Row],[SellingPrice]]</f>
        <v>33000</v>
      </c>
      <c r="I2783">
        <f>Table1[[#This Row],[Qty]]*Table1[[#This Row],[CostPrice]]</f>
        <v>18000</v>
      </c>
      <c r="J2783">
        <v>14895</v>
      </c>
      <c r="K2783">
        <v>104.99999999999999</v>
      </c>
      <c r="L2783" t="s">
        <v>8</v>
      </c>
      <c r="M2783" t="s">
        <v>30</v>
      </c>
      <c r="N2783">
        <f>MONTH(Table1[[#This Row],[SaleDate]])</f>
        <v>11</v>
      </c>
      <c r="O2783" t="str">
        <f>TEXT(Table1[[#This Row],[SaleDate]],"MMM")</f>
        <v>Nov</v>
      </c>
    </row>
    <row r="2784" spans="1:15">
      <c r="A2784" s="1">
        <v>45237</v>
      </c>
      <c r="B2784" t="s">
        <v>23</v>
      </c>
      <c r="C2784" t="s">
        <v>19</v>
      </c>
      <c r="D2784">
        <v>1</v>
      </c>
      <c r="E2784" t="s">
        <v>9</v>
      </c>
      <c r="F2784">
        <v>60000</v>
      </c>
      <c r="G2784">
        <v>31000</v>
      </c>
      <c r="H2784">
        <f>Table1[[#This Row],[Qty]]*Table1[[#This Row],[SellingPrice]]</f>
        <v>60000</v>
      </c>
      <c r="I2784">
        <f>Table1[[#This Row],[Qty]]*Table1[[#This Row],[CostPrice]]</f>
        <v>31000</v>
      </c>
      <c r="J2784">
        <v>28797</v>
      </c>
      <c r="K2784">
        <v>202.99999999999997</v>
      </c>
      <c r="L2784" t="s">
        <v>8</v>
      </c>
      <c r="M2784" t="s">
        <v>27</v>
      </c>
      <c r="N2784">
        <f>MONTH(Table1[[#This Row],[SaleDate]])</f>
        <v>11</v>
      </c>
      <c r="O2784" t="str">
        <f>TEXT(Table1[[#This Row],[SaleDate]],"MMM")</f>
        <v>Nov</v>
      </c>
    </row>
    <row r="2785" spans="1:15">
      <c r="A2785" s="1">
        <v>45237</v>
      </c>
      <c r="B2785" t="s">
        <v>23</v>
      </c>
      <c r="C2785" t="s">
        <v>19</v>
      </c>
      <c r="D2785">
        <v>1</v>
      </c>
      <c r="E2785" t="s">
        <v>10</v>
      </c>
      <c r="F2785">
        <v>89000</v>
      </c>
      <c r="G2785">
        <v>65000</v>
      </c>
      <c r="H2785">
        <f>Table1[[#This Row],[Qty]]*Table1[[#This Row],[SellingPrice]]</f>
        <v>89000</v>
      </c>
      <c r="I2785">
        <f>Table1[[#This Row],[Qty]]*Table1[[#This Row],[CostPrice]]</f>
        <v>65000</v>
      </c>
      <c r="J2785">
        <v>23832</v>
      </c>
      <c r="K2785">
        <v>167.99999999999997</v>
      </c>
      <c r="L2785" t="s">
        <v>8</v>
      </c>
      <c r="M2785" t="s">
        <v>30</v>
      </c>
      <c r="N2785">
        <f>MONTH(Table1[[#This Row],[SaleDate]])</f>
        <v>11</v>
      </c>
      <c r="O2785" t="str">
        <f>TEXT(Table1[[#This Row],[SaleDate]],"MMM")</f>
        <v>Nov</v>
      </c>
    </row>
    <row r="2786" spans="1:15">
      <c r="A2786" s="1">
        <v>45237</v>
      </c>
      <c r="B2786" t="s">
        <v>24</v>
      </c>
      <c r="C2786" t="s">
        <v>22</v>
      </c>
      <c r="D2786">
        <v>1</v>
      </c>
      <c r="E2786" t="s">
        <v>7</v>
      </c>
      <c r="F2786">
        <v>33000</v>
      </c>
      <c r="G2786">
        <v>18000</v>
      </c>
      <c r="H2786">
        <f>Table1[[#This Row],[Qty]]*Table1[[#This Row],[SellingPrice]]</f>
        <v>33000</v>
      </c>
      <c r="I2786">
        <f>Table1[[#This Row],[Qty]]*Table1[[#This Row],[CostPrice]]</f>
        <v>18000</v>
      </c>
      <c r="J2786">
        <v>14895</v>
      </c>
      <c r="K2786">
        <v>104.99999999999999</v>
      </c>
      <c r="L2786" t="s">
        <v>12</v>
      </c>
      <c r="M2786" t="s">
        <v>27</v>
      </c>
      <c r="N2786">
        <f>MONTH(Table1[[#This Row],[SaleDate]])</f>
        <v>11</v>
      </c>
      <c r="O2786" t="str">
        <f>TEXT(Table1[[#This Row],[SaleDate]],"MMM")</f>
        <v>Nov</v>
      </c>
    </row>
    <row r="2787" spans="1:15">
      <c r="A2787" s="1">
        <v>45237</v>
      </c>
      <c r="B2787" t="s">
        <v>24</v>
      </c>
      <c r="C2787" t="s">
        <v>22</v>
      </c>
      <c r="D2787">
        <v>1</v>
      </c>
      <c r="E2787" t="s">
        <v>9</v>
      </c>
      <c r="F2787">
        <v>60000</v>
      </c>
      <c r="G2787">
        <v>31000</v>
      </c>
      <c r="H2787">
        <f>Table1[[#This Row],[Qty]]*Table1[[#This Row],[SellingPrice]]</f>
        <v>60000</v>
      </c>
      <c r="I2787">
        <f>Table1[[#This Row],[Qty]]*Table1[[#This Row],[CostPrice]]</f>
        <v>31000</v>
      </c>
      <c r="J2787">
        <v>28797</v>
      </c>
      <c r="K2787">
        <v>202.99999999999997</v>
      </c>
      <c r="L2787" t="s">
        <v>12</v>
      </c>
      <c r="M2787" t="s">
        <v>27</v>
      </c>
      <c r="N2787">
        <f>MONTH(Table1[[#This Row],[SaleDate]])</f>
        <v>11</v>
      </c>
      <c r="O2787" t="str">
        <f>TEXT(Table1[[#This Row],[SaleDate]],"MMM")</f>
        <v>Nov</v>
      </c>
    </row>
    <row r="2788" spans="1:15">
      <c r="A2788" s="1">
        <v>45237</v>
      </c>
      <c r="B2788" t="s">
        <v>24</v>
      </c>
      <c r="C2788" t="s">
        <v>22</v>
      </c>
      <c r="D2788">
        <v>1</v>
      </c>
      <c r="E2788" t="s">
        <v>10</v>
      </c>
      <c r="F2788">
        <v>89000</v>
      </c>
      <c r="G2788">
        <v>65000</v>
      </c>
      <c r="H2788">
        <f>Table1[[#This Row],[Qty]]*Table1[[#This Row],[SellingPrice]]</f>
        <v>89000</v>
      </c>
      <c r="I2788">
        <f>Table1[[#This Row],[Qty]]*Table1[[#This Row],[CostPrice]]</f>
        <v>65000</v>
      </c>
      <c r="J2788">
        <v>23832</v>
      </c>
      <c r="K2788">
        <v>167.99999999999997</v>
      </c>
      <c r="L2788" t="s">
        <v>12</v>
      </c>
      <c r="M2788" t="s">
        <v>27</v>
      </c>
      <c r="N2788">
        <f>MONTH(Table1[[#This Row],[SaleDate]])</f>
        <v>11</v>
      </c>
      <c r="O2788" t="str">
        <f>TEXT(Table1[[#This Row],[SaleDate]],"MMM")</f>
        <v>Nov</v>
      </c>
    </row>
    <row r="2789" spans="1:15">
      <c r="A2789" s="1">
        <v>45237</v>
      </c>
      <c r="B2789" t="s">
        <v>25</v>
      </c>
      <c r="C2789" t="s">
        <v>21</v>
      </c>
      <c r="D2789">
        <v>1</v>
      </c>
      <c r="E2789" t="s">
        <v>7</v>
      </c>
      <c r="F2789">
        <v>33000</v>
      </c>
      <c r="G2789">
        <v>18000</v>
      </c>
      <c r="H2789">
        <f>Table1[[#This Row],[Qty]]*Table1[[#This Row],[SellingPrice]]</f>
        <v>33000</v>
      </c>
      <c r="I2789">
        <f>Table1[[#This Row],[Qty]]*Table1[[#This Row],[CostPrice]]</f>
        <v>18000</v>
      </c>
      <c r="J2789">
        <v>14895</v>
      </c>
      <c r="K2789">
        <v>104.99999999999999</v>
      </c>
      <c r="L2789" t="s">
        <v>13</v>
      </c>
      <c r="M2789" t="s">
        <v>30</v>
      </c>
      <c r="N2789">
        <f>MONTH(Table1[[#This Row],[SaleDate]])</f>
        <v>11</v>
      </c>
      <c r="O2789" t="str">
        <f>TEXT(Table1[[#This Row],[SaleDate]],"MMM")</f>
        <v>Nov</v>
      </c>
    </row>
    <row r="2790" spans="1:15">
      <c r="A2790" s="1">
        <v>45237</v>
      </c>
      <c r="B2790" t="s">
        <v>25</v>
      </c>
      <c r="C2790" t="s">
        <v>21</v>
      </c>
      <c r="D2790">
        <v>1</v>
      </c>
      <c r="E2790" t="s">
        <v>9</v>
      </c>
      <c r="F2790">
        <v>60000</v>
      </c>
      <c r="G2790">
        <v>31000</v>
      </c>
      <c r="H2790">
        <f>Table1[[#This Row],[Qty]]*Table1[[#This Row],[SellingPrice]]</f>
        <v>60000</v>
      </c>
      <c r="I2790">
        <f>Table1[[#This Row],[Qty]]*Table1[[#This Row],[CostPrice]]</f>
        <v>31000</v>
      </c>
      <c r="J2790">
        <v>28797</v>
      </c>
      <c r="K2790">
        <v>202.99999999999997</v>
      </c>
      <c r="L2790" t="s">
        <v>13</v>
      </c>
      <c r="M2790" t="s">
        <v>28</v>
      </c>
      <c r="N2790">
        <f>MONTH(Table1[[#This Row],[SaleDate]])</f>
        <v>11</v>
      </c>
      <c r="O2790" t="str">
        <f>TEXT(Table1[[#This Row],[SaleDate]],"MMM")</f>
        <v>Nov</v>
      </c>
    </row>
    <row r="2791" spans="1:15">
      <c r="A2791" s="1">
        <v>45237</v>
      </c>
      <c r="B2791" t="s">
        <v>25</v>
      </c>
      <c r="C2791" t="s">
        <v>21</v>
      </c>
      <c r="D2791">
        <v>1</v>
      </c>
      <c r="E2791" t="s">
        <v>10</v>
      </c>
      <c r="F2791">
        <v>89000</v>
      </c>
      <c r="G2791">
        <v>65000</v>
      </c>
      <c r="H2791">
        <f>Table1[[#This Row],[Qty]]*Table1[[#This Row],[SellingPrice]]</f>
        <v>89000</v>
      </c>
      <c r="I2791">
        <f>Table1[[#This Row],[Qty]]*Table1[[#This Row],[CostPrice]]</f>
        <v>65000</v>
      </c>
      <c r="J2791">
        <v>23832</v>
      </c>
      <c r="K2791">
        <v>167.99999999999997</v>
      </c>
      <c r="L2791" t="s">
        <v>13</v>
      </c>
      <c r="M2791" t="s">
        <v>29</v>
      </c>
      <c r="N2791">
        <f>MONTH(Table1[[#This Row],[SaleDate]])</f>
        <v>11</v>
      </c>
      <c r="O2791" t="str">
        <f>TEXT(Table1[[#This Row],[SaleDate]],"MMM")</f>
        <v>Nov</v>
      </c>
    </row>
    <row r="2792" spans="1:15">
      <c r="A2792" s="1">
        <v>45238</v>
      </c>
      <c r="B2792" t="s">
        <v>23</v>
      </c>
      <c r="C2792" t="s">
        <v>19</v>
      </c>
      <c r="D2792">
        <v>1</v>
      </c>
      <c r="E2792" t="s">
        <v>7</v>
      </c>
      <c r="F2792">
        <v>33000</v>
      </c>
      <c r="G2792">
        <v>18000</v>
      </c>
      <c r="H2792">
        <f>Table1[[#This Row],[Qty]]*Table1[[#This Row],[SellingPrice]]</f>
        <v>33000</v>
      </c>
      <c r="I2792">
        <f>Table1[[#This Row],[Qty]]*Table1[[#This Row],[CostPrice]]</f>
        <v>18000</v>
      </c>
      <c r="J2792">
        <v>14895</v>
      </c>
      <c r="K2792">
        <v>104.99999999999999</v>
      </c>
      <c r="L2792" t="s">
        <v>8</v>
      </c>
      <c r="M2792" t="s">
        <v>29</v>
      </c>
      <c r="N2792">
        <f>MONTH(Table1[[#This Row],[SaleDate]])</f>
        <v>11</v>
      </c>
      <c r="O2792" t="str">
        <f>TEXT(Table1[[#This Row],[SaleDate]],"MMM")</f>
        <v>Nov</v>
      </c>
    </row>
    <row r="2793" spans="1:15">
      <c r="A2793" s="1">
        <v>45238</v>
      </c>
      <c r="B2793" t="s">
        <v>23</v>
      </c>
      <c r="C2793" t="s">
        <v>19</v>
      </c>
      <c r="D2793">
        <v>1</v>
      </c>
      <c r="E2793" t="s">
        <v>9</v>
      </c>
      <c r="F2793">
        <v>60000</v>
      </c>
      <c r="G2793">
        <v>31000</v>
      </c>
      <c r="H2793">
        <f>Table1[[#This Row],[Qty]]*Table1[[#This Row],[SellingPrice]]</f>
        <v>60000</v>
      </c>
      <c r="I2793">
        <f>Table1[[#This Row],[Qty]]*Table1[[#This Row],[CostPrice]]</f>
        <v>31000</v>
      </c>
      <c r="J2793">
        <v>28797</v>
      </c>
      <c r="K2793">
        <v>202.99999999999997</v>
      </c>
      <c r="L2793" t="s">
        <v>8</v>
      </c>
      <c r="M2793" t="s">
        <v>29</v>
      </c>
      <c r="N2793">
        <f>MONTH(Table1[[#This Row],[SaleDate]])</f>
        <v>11</v>
      </c>
      <c r="O2793" t="str">
        <f>TEXT(Table1[[#This Row],[SaleDate]],"MMM")</f>
        <v>Nov</v>
      </c>
    </row>
    <row r="2794" spans="1:15">
      <c r="A2794" s="1">
        <v>45238</v>
      </c>
      <c r="B2794" t="s">
        <v>23</v>
      </c>
      <c r="C2794" t="s">
        <v>19</v>
      </c>
      <c r="D2794">
        <v>1</v>
      </c>
      <c r="E2794" t="s">
        <v>10</v>
      </c>
      <c r="F2794">
        <v>89000</v>
      </c>
      <c r="G2794">
        <v>65000</v>
      </c>
      <c r="H2794">
        <f>Table1[[#This Row],[Qty]]*Table1[[#This Row],[SellingPrice]]</f>
        <v>89000</v>
      </c>
      <c r="I2794">
        <f>Table1[[#This Row],[Qty]]*Table1[[#This Row],[CostPrice]]</f>
        <v>65000</v>
      </c>
      <c r="J2794">
        <v>23832</v>
      </c>
      <c r="K2794">
        <v>167.99999999999997</v>
      </c>
      <c r="L2794" t="s">
        <v>8</v>
      </c>
      <c r="M2794" t="s">
        <v>28</v>
      </c>
      <c r="N2794">
        <f>MONTH(Table1[[#This Row],[SaleDate]])</f>
        <v>11</v>
      </c>
      <c r="O2794" t="str">
        <f>TEXT(Table1[[#This Row],[SaleDate]],"MMM")</f>
        <v>Nov</v>
      </c>
    </row>
    <row r="2795" spans="1:15">
      <c r="A2795" s="1">
        <v>45238</v>
      </c>
      <c r="B2795" t="s">
        <v>24</v>
      </c>
      <c r="C2795" t="s">
        <v>22</v>
      </c>
      <c r="D2795">
        <v>1</v>
      </c>
      <c r="E2795" t="s">
        <v>9</v>
      </c>
      <c r="F2795">
        <v>60000</v>
      </c>
      <c r="G2795">
        <v>31000</v>
      </c>
      <c r="H2795">
        <f>Table1[[#This Row],[Qty]]*Table1[[#This Row],[SellingPrice]]</f>
        <v>60000</v>
      </c>
      <c r="I2795">
        <f>Table1[[#This Row],[Qty]]*Table1[[#This Row],[CostPrice]]</f>
        <v>31000</v>
      </c>
      <c r="J2795">
        <v>28797</v>
      </c>
      <c r="K2795">
        <v>202.99999999999997</v>
      </c>
      <c r="L2795" t="s">
        <v>12</v>
      </c>
      <c r="M2795" t="s">
        <v>30</v>
      </c>
      <c r="N2795">
        <f>MONTH(Table1[[#This Row],[SaleDate]])</f>
        <v>11</v>
      </c>
      <c r="O2795" t="str">
        <f>TEXT(Table1[[#This Row],[SaleDate]],"MMM")</f>
        <v>Nov</v>
      </c>
    </row>
    <row r="2796" spans="1:15">
      <c r="A2796" s="1">
        <v>45238</v>
      </c>
      <c r="B2796" t="s">
        <v>24</v>
      </c>
      <c r="C2796" t="s">
        <v>22</v>
      </c>
      <c r="D2796">
        <v>1</v>
      </c>
      <c r="E2796" t="s">
        <v>10</v>
      </c>
      <c r="F2796">
        <v>89000</v>
      </c>
      <c r="G2796">
        <v>65000</v>
      </c>
      <c r="H2796">
        <f>Table1[[#This Row],[Qty]]*Table1[[#This Row],[SellingPrice]]</f>
        <v>89000</v>
      </c>
      <c r="I2796">
        <f>Table1[[#This Row],[Qty]]*Table1[[#This Row],[CostPrice]]</f>
        <v>65000</v>
      </c>
      <c r="J2796">
        <v>23832</v>
      </c>
      <c r="K2796">
        <v>167.99999999999997</v>
      </c>
      <c r="L2796" t="s">
        <v>12</v>
      </c>
      <c r="M2796" t="s">
        <v>29</v>
      </c>
      <c r="N2796">
        <f>MONTH(Table1[[#This Row],[SaleDate]])</f>
        <v>11</v>
      </c>
      <c r="O2796" t="str">
        <f>TEXT(Table1[[#This Row],[SaleDate]],"MMM")</f>
        <v>Nov</v>
      </c>
    </row>
    <row r="2797" spans="1:15">
      <c r="A2797" s="1">
        <v>45238</v>
      </c>
      <c r="B2797" t="s">
        <v>25</v>
      </c>
      <c r="C2797" t="s">
        <v>21</v>
      </c>
      <c r="D2797">
        <v>1</v>
      </c>
      <c r="E2797" t="s">
        <v>7</v>
      </c>
      <c r="F2797">
        <v>33000</v>
      </c>
      <c r="G2797">
        <v>18000</v>
      </c>
      <c r="H2797">
        <f>Table1[[#This Row],[Qty]]*Table1[[#This Row],[SellingPrice]]</f>
        <v>33000</v>
      </c>
      <c r="I2797">
        <f>Table1[[#This Row],[Qty]]*Table1[[#This Row],[CostPrice]]</f>
        <v>18000</v>
      </c>
      <c r="J2797">
        <v>14895</v>
      </c>
      <c r="K2797">
        <v>104.99999999999999</v>
      </c>
      <c r="L2797" t="s">
        <v>13</v>
      </c>
      <c r="M2797" t="s">
        <v>29</v>
      </c>
      <c r="N2797">
        <f>MONTH(Table1[[#This Row],[SaleDate]])</f>
        <v>11</v>
      </c>
      <c r="O2797" t="str">
        <f>TEXT(Table1[[#This Row],[SaleDate]],"MMM")</f>
        <v>Nov</v>
      </c>
    </row>
    <row r="2798" spans="1:15">
      <c r="A2798" s="1">
        <v>45238</v>
      </c>
      <c r="B2798" t="s">
        <v>25</v>
      </c>
      <c r="C2798" t="s">
        <v>21</v>
      </c>
      <c r="D2798">
        <v>1</v>
      </c>
      <c r="E2798" t="s">
        <v>9</v>
      </c>
      <c r="F2798">
        <v>60000</v>
      </c>
      <c r="G2798">
        <v>31000</v>
      </c>
      <c r="H2798">
        <f>Table1[[#This Row],[Qty]]*Table1[[#This Row],[SellingPrice]]</f>
        <v>60000</v>
      </c>
      <c r="I2798">
        <f>Table1[[#This Row],[Qty]]*Table1[[#This Row],[CostPrice]]</f>
        <v>31000</v>
      </c>
      <c r="J2798">
        <v>28797</v>
      </c>
      <c r="K2798">
        <v>202.99999999999997</v>
      </c>
      <c r="L2798" t="s">
        <v>13</v>
      </c>
      <c r="M2798" t="s">
        <v>29</v>
      </c>
      <c r="N2798">
        <f>MONTH(Table1[[#This Row],[SaleDate]])</f>
        <v>11</v>
      </c>
      <c r="O2798" t="str">
        <f>TEXT(Table1[[#This Row],[SaleDate]],"MMM")</f>
        <v>Nov</v>
      </c>
    </row>
    <row r="2799" spans="1:15">
      <c r="A2799" s="1">
        <v>45238</v>
      </c>
      <c r="B2799" t="s">
        <v>25</v>
      </c>
      <c r="C2799" t="s">
        <v>21</v>
      </c>
      <c r="D2799">
        <v>1</v>
      </c>
      <c r="E2799" t="s">
        <v>10</v>
      </c>
      <c r="F2799">
        <v>89000</v>
      </c>
      <c r="G2799">
        <v>65000</v>
      </c>
      <c r="H2799">
        <f>Table1[[#This Row],[Qty]]*Table1[[#This Row],[SellingPrice]]</f>
        <v>89000</v>
      </c>
      <c r="I2799">
        <f>Table1[[#This Row],[Qty]]*Table1[[#This Row],[CostPrice]]</f>
        <v>65000</v>
      </c>
      <c r="J2799">
        <v>23832</v>
      </c>
      <c r="K2799">
        <v>167.99999999999997</v>
      </c>
      <c r="L2799" t="s">
        <v>13</v>
      </c>
      <c r="M2799" t="s">
        <v>29</v>
      </c>
      <c r="N2799">
        <f>MONTH(Table1[[#This Row],[SaleDate]])</f>
        <v>11</v>
      </c>
      <c r="O2799" t="str">
        <f>TEXT(Table1[[#This Row],[SaleDate]],"MMM")</f>
        <v>Nov</v>
      </c>
    </row>
    <row r="2800" spans="1:15">
      <c r="A2800" s="1">
        <v>45239</v>
      </c>
      <c r="B2800" t="s">
        <v>23</v>
      </c>
      <c r="C2800" t="s">
        <v>19</v>
      </c>
      <c r="D2800">
        <v>1</v>
      </c>
      <c r="E2800" t="s">
        <v>7</v>
      </c>
      <c r="F2800">
        <v>33000</v>
      </c>
      <c r="G2800">
        <v>18000</v>
      </c>
      <c r="H2800">
        <f>Table1[[#This Row],[Qty]]*Table1[[#This Row],[SellingPrice]]</f>
        <v>33000</v>
      </c>
      <c r="I2800">
        <f>Table1[[#This Row],[Qty]]*Table1[[#This Row],[CostPrice]]</f>
        <v>18000</v>
      </c>
      <c r="J2800">
        <v>14895</v>
      </c>
      <c r="K2800">
        <v>104.99999999999999</v>
      </c>
      <c r="L2800" t="s">
        <v>8</v>
      </c>
      <c r="M2800" t="s">
        <v>27</v>
      </c>
      <c r="N2800">
        <f>MONTH(Table1[[#This Row],[SaleDate]])</f>
        <v>11</v>
      </c>
      <c r="O2800" t="str">
        <f>TEXT(Table1[[#This Row],[SaleDate]],"MMM")</f>
        <v>Nov</v>
      </c>
    </row>
    <row r="2801" spans="1:15">
      <c r="A2801" s="1">
        <v>45239</v>
      </c>
      <c r="B2801" t="s">
        <v>23</v>
      </c>
      <c r="C2801" t="s">
        <v>19</v>
      </c>
      <c r="D2801">
        <v>1</v>
      </c>
      <c r="E2801" t="s">
        <v>9</v>
      </c>
      <c r="F2801">
        <v>60000</v>
      </c>
      <c r="G2801">
        <v>31000</v>
      </c>
      <c r="H2801">
        <f>Table1[[#This Row],[Qty]]*Table1[[#This Row],[SellingPrice]]</f>
        <v>60000</v>
      </c>
      <c r="I2801">
        <f>Table1[[#This Row],[Qty]]*Table1[[#This Row],[CostPrice]]</f>
        <v>31000</v>
      </c>
      <c r="J2801">
        <v>28797</v>
      </c>
      <c r="K2801">
        <v>202.99999999999997</v>
      </c>
      <c r="L2801" t="s">
        <v>8</v>
      </c>
      <c r="M2801" t="s">
        <v>29</v>
      </c>
      <c r="N2801">
        <f>MONTH(Table1[[#This Row],[SaleDate]])</f>
        <v>11</v>
      </c>
      <c r="O2801" t="str">
        <f>TEXT(Table1[[#This Row],[SaleDate]],"MMM")</f>
        <v>Nov</v>
      </c>
    </row>
    <row r="2802" spans="1:15">
      <c r="A2802" s="1">
        <v>45239</v>
      </c>
      <c r="B2802" t="s">
        <v>23</v>
      </c>
      <c r="C2802" t="s">
        <v>19</v>
      </c>
      <c r="D2802">
        <v>1</v>
      </c>
      <c r="E2802" t="s">
        <v>10</v>
      </c>
      <c r="F2802">
        <v>89000</v>
      </c>
      <c r="G2802">
        <v>65000</v>
      </c>
      <c r="H2802">
        <f>Table1[[#This Row],[Qty]]*Table1[[#This Row],[SellingPrice]]</f>
        <v>89000</v>
      </c>
      <c r="I2802">
        <f>Table1[[#This Row],[Qty]]*Table1[[#This Row],[CostPrice]]</f>
        <v>65000</v>
      </c>
      <c r="J2802">
        <v>23832</v>
      </c>
      <c r="K2802">
        <v>167.99999999999997</v>
      </c>
      <c r="L2802" t="s">
        <v>8</v>
      </c>
      <c r="M2802" t="s">
        <v>29</v>
      </c>
      <c r="N2802">
        <f>MONTH(Table1[[#This Row],[SaleDate]])</f>
        <v>11</v>
      </c>
      <c r="O2802" t="str">
        <f>TEXT(Table1[[#This Row],[SaleDate]],"MMM")</f>
        <v>Nov</v>
      </c>
    </row>
    <row r="2803" spans="1:15">
      <c r="A2803" s="1">
        <v>45239</v>
      </c>
      <c r="B2803" t="s">
        <v>24</v>
      </c>
      <c r="C2803" t="s">
        <v>22</v>
      </c>
      <c r="D2803">
        <v>1</v>
      </c>
      <c r="E2803" t="s">
        <v>9</v>
      </c>
      <c r="F2803">
        <v>60000</v>
      </c>
      <c r="G2803">
        <v>31000</v>
      </c>
      <c r="H2803">
        <f>Table1[[#This Row],[Qty]]*Table1[[#This Row],[SellingPrice]]</f>
        <v>60000</v>
      </c>
      <c r="I2803">
        <f>Table1[[#This Row],[Qty]]*Table1[[#This Row],[CostPrice]]</f>
        <v>31000</v>
      </c>
      <c r="J2803">
        <v>28797</v>
      </c>
      <c r="K2803">
        <v>202.99999999999997</v>
      </c>
      <c r="L2803" t="s">
        <v>12</v>
      </c>
      <c r="M2803" t="s">
        <v>29</v>
      </c>
      <c r="N2803">
        <f>MONTH(Table1[[#This Row],[SaleDate]])</f>
        <v>11</v>
      </c>
      <c r="O2803" t="str">
        <f>TEXT(Table1[[#This Row],[SaleDate]],"MMM")</f>
        <v>Nov</v>
      </c>
    </row>
    <row r="2804" spans="1:15">
      <c r="A2804" s="1">
        <v>45239</v>
      </c>
      <c r="B2804" t="s">
        <v>24</v>
      </c>
      <c r="C2804" t="s">
        <v>22</v>
      </c>
      <c r="D2804">
        <v>1</v>
      </c>
      <c r="E2804" t="s">
        <v>10</v>
      </c>
      <c r="F2804">
        <v>89000</v>
      </c>
      <c r="G2804">
        <v>65000</v>
      </c>
      <c r="H2804">
        <f>Table1[[#This Row],[Qty]]*Table1[[#This Row],[SellingPrice]]</f>
        <v>89000</v>
      </c>
      <c r="I2804">
        <f>Table1[[#This Row],[Qty]]*Table1[[#This Row],[CostPrice]]</f>
        <v>65000</v>
      </c>
      <c r="J2804">
        <v>23832</v>
      </c>
      <c r="K2804">
        <v>167.99999999999997</v>
      </c>
      <c r="L2804" t="s">
        <v>12</v>
      </c>
      <c r="M2804" t="s">
        <v>30</v>
      </c>
      <c r="N2804">
        <f>MONTH(Table1[[#This Row],[SaleDate]])</f>
        <v>11</v>
      </c>
      <c r="O2804" t="str">
        <f>TEXT(Table1[[#This Row],[SaleDate]],"MMM")</f>
        <v>Nov</v>
      </c>
    </row>
    <row r="2805" spans="1:15">
      <c r="A2805" s="1">
        <v>45239</v>
      </c>
      <c r="B2805" t="s">
        <v>25</v>
      </c>
      <c r="C2805" t="s">
        <v>21</v>
      </c>
      <c r="D2805">
        <v>1</v>
      </c>
      <c r="E2805" t="s">
        <v>7</v>
      </c>
      <c r="F2805">
        <v>33000</v>
      </c>
      <c r="G2805">
        <v>18000</v>
      </c>
      <c r="H2805">
        <f>Table1[[#This Row],[Qty]]*Table1[[#This Row],[SellingPrice]]</f>
        <v>33000</v>
      </c>
      <c r="I2805">
        <f>Table1[[#This Row],[Qty]]*Table1[[#This Row],[CostPrice]]</f>
        <v>18000</v>
      </c>
      <c r="J2805">
        <v>14895</v>
      </c>
      <c r="K2805">
        <v>104.99999999999999</v>
      </c>
      <c r="L2805" t="s">
        <v>13</v>
      </c>
      <c r="M2805" t="s">
        <v>28</v>
      </c>
      <c r="N2805">
        <f>MONTH(Table1[[#This Row],[SaleDate]])</f>
        <v>11</v>
      </c>
      <c r="O2805" t="str">
        <f>TEXT(Table1[[#This Row],[SaleDate]],"MMM")</f>
        <v>Nov</v>
      </c>
    </row>
    <row r="2806" spans="1:15">
      <c r="A2806" s="1">
        <v>45239</v>
      </c>
      <c r="B2806" t="s">
        <v>25</v>
      </c>
      <c r="C2806" t="s">
        <v>21</v>
      </c>
      <c r="D2806">
        <v>1</v>
      </c>
      <c r="E2806" t="s">
        <v>9</v>
      </c>
      <c r="F2806">
        <v>60000</v>
      </c>
      <c r="G2806">
        <v>31000</v>
      </c>
      <c r="H2806">
        <f>Table1[[#This Row],[Qty]]*Table1[[#This Row],[SellingPrice]]</f>
        <v>60000</v>
      </c>
      <c r="I2806">
        <f>Table1[[#This Row],[Qty]]*Table1[[#This Row],[CostPrice]]</f>
        <v>31000</v>
      </c>
      <c r="J2806">
        <v>28797</v>
      </c>
      <c r="K2806">
        <v>202.99999999999997</v>
      </c>
      <c r="L2806" t="s">
        <v>13</v>
      </c>
      <c r="M2806" t="s">
        <v>30</v>
      </c>
      <c r="N2806">
        <f>MONTH(Table1[[#This Row],[SaleDate]])</f>
        <v>11</v>
      </c>
      <c r="O2806" t="str">
        <f>TEXT(Table1[[#This Row],[SaleDate]],"MMM")</f>
        <v>Nov</v>
      </c>
    </row>
    <row r="2807" spans="1:15">
      <c r="A2807" s="1">
        <v>45239</v>
      </c>
      <c r="B2807" t="s">
        <v>25</v>
      </c>
      <c r="C2807" t="s">
        <v>21</v>
      </c>
      <c r="D2807">
        <v>1</v>
      </c>
      <c r="E2807" t="s">
        <v>10</v>
      </c>
      <c r="F2807">
        <v>89000</v>
      </c>
      <c r="G2807">
        <v>65000</v>
      </c>
      <c r="H2807">
        <f>Table1[[#This Row],[Qty]]*Table1[[#This Row],[SellingPrice]]</f>
        <v>89000</v>
      </c>
      <c r="I2807">
        <f>Table1[[#This Row],[Qty]]*Table1[[#This Row],[CostPrice]]</f>
        <v>65000</v>
      </c>
      <c r="J2807">
        <v>23832</v>
      </c>
      <c r="K2807">
        <v>167.99999999999997</v>
      </c>
      <c r="L2807" t="s">
        <v>13</v>
      </c>
      <c r="M2807" t="s">
        <v>27</v>
      </c>
      <c r="N2807">
        <f>MONTH(Table1[[#This Row],[SaleDate]])</f>
        <v>11</v>
      </c>
      <c r="O2807" t="str">
        <f>TEXT(Table1[[#This Row],[SaleDate]],"MMM")</f>
        <v>Nov</v>
      </c>
    </row>
    <row r="2808" spans="1:15">
      <c r="A2808" s="1">
        <v>45240</v>
      </c>
      <c r="B2808" t="s">
        <v>23</v>
      </c>
      <c r="C2808" t="s">
        <v>19</v>
      </c>
      <c r="D2808">
        <v>1</v>
      </c>
      <c r="E2808" t="s">
        <v>7</v>
      </c>
      <c r="F2808">
        <v>33000</v>
      </c>
      <c r="G2808">
        <v>18000</v>
      </c>
      <c r="H2808">
        <f>Table1[[#This Row],[Qty]]*Table1[[#This Row],[SellingPrice]]</f>
        <v>33000</v>
      </c>
      <c r="I2808">
        <f>Table1[[#This Row],[Qty]]*Table1[[#This Row],[CostPrice]]</f>
        <v>18000</v>
      </c>
      <c r="J2808">
        <v>14895</v>
      </c>
      <c r="K2808">
        <v>104.99999999999999</v>
      </c>
      <c r="L2808" t="s">
        <v>8</v>
      </c>
      <c r="M2808" t="s">
        <v>28</v>
      </c>
      <c r="N2808">
        <f>MONTH(Table1[[#This Row],[SaleDate]])</f>
        <v>11</v>
      </c>
      <c r="O2808" t="str">
        <f>TEXT(Table1[[#This Row],[SaleDate]],"MMM")</f>
        <v>Nov</v>
      </c>
    </row>
    <row r="2809" spans="1:15">
      <c r="A2809" s="1">
        <v>45240</v>
      </c>
      <c r="B2809" t="s">
        <v>23</v>
      </c>
      <c r="C2809" t="s">
        <v>19</v>
      </c>
      <c r="D2809">
        <v>1</v>
      </c>
      <c r="E2809" t="s">
        <v>9</v>
      </c>
      <c r="F2809">
        <v>60000</v>
      </c>
      <c r="G2809">
        <v>31000</v>
      </c>
      <c r="H2809">
        <f>Table1[[#This Row],[Qty]]*Table1[[#This Row],[SellingPrice]]</f>
        <v>60000</v>
      </c>
      <c r="I2809">
        <f>Table1[[#This Row],[Qty]]*Table1[[#This Row],[CostPrice]]</f>
        <v>31000</v>
      </c>
      <c r="J2809">
        <v>28797</v>
      </c>
      <c r="K2809">
        <v>202.99999999999997</v>
      </c>
      <c r="L2809" t="s">
        <v>8</v>
      </c>
      <c r="M2809" t="s">
        <v>29</v>
      </c>
      <c r="N2809">
        <f>MONTH(Table1[[#This Row],[SaleDate]])</f>
        <v>11</v>
      </c>
      <c r="O2809" t="str">
        <f>TEXT(Table1[[#This Row],[SaleDate]],"MMM")</f>
        <v>Nov</v>
      </c>
    </row>
    <row r="2810" spans="1:15">
      <c r="A2810" s="1">
        <v>45240</v>
      </c>
      <c r="B2810" t="s">
        <v>23</v>
      </c>
      <c r="C2810" t="s">
        <v>19</v>
      </c>
      <c r="D2810">
        <v>1</v>
      </c>
      <c r="E2810" t="s">
        <v>10</v>
      </c>
      <c r="F2810">
        <v>89000</v>
      </c>
      <c r="G2810">
        <v>65000</v>
      </c>
      <c r="H2810">
        <f>Table1[[#This Row],[Qty]]*Table1[[#This Row],[SellingPrice]]</f>
        <v>89000</v>
      </c>
      <c r="I2810">
        <f>Table1[[#This Row],[Qty]]*Table1[[#This Row],[CostPrice]]</f>
        <v>65000</v>
      </c>
      <c r="J2810">
        <v>23832</v>
      </c>
      <c r="K2810">
        <v>167.99999999999997</v>
      </c>
      <c r="L2810" t="s">
        <v>8</v>
      </c>
      <c r="M2810" t="s">
        <v>30</v>
      </c>
      <c r="N2810">
        <f>MONTH(Table1[[#This Row],[SaleDate]])</f>
        <v>11</v>
      </c>
      <c r="O2810" t="str">
        <f>TEXT(Table1[[#This Row],[SaleDate]],"MMM")</f>
        <v>Nov</v>
      </c>
    </row>
    <row r="2811" spans="1:15">
      <c r="A2811" s="1">
        <v>45240</v>
      </c>
      <c r="B2811" t="s">
        <v>24</v>
      </c>
      <c r="C2811" t="s">
        <v>22</v>
      </c>
      <c r="D2811">
        <v>1</v>
      </c>
      <c r="E2811" t="s">
        <v>7</v>
      </c>
      <c r="F2811">
        <v>33000</v>
      </c>
      <c r="G2811">
        <v>18000</v>
      </c>
      <c r="H2811">
        <f>Table1[[#This Row],[Qty]]*Table1[[#This Row],[SellingPrice]]</f>
        <v>33000</v>
      </c>
      <c r="I2811">
        <f>Table1[[#This Row],[Qty]]*Table1[[#This Row],[CostPrice]]</f>
        <v>18000</v>
      </c>
      <c r="J2811">
        <v>14895</v>
      </c>
      <c r="K2811">
        <v>104.99999999999999</v>
      </c>
      <c r="L2811" t="s">
        <v>12</v>
      </c>
      <c r="M2811" t="s">
        <v>30</v>
      </c>
      <c r="N2811">
        <f>MONTH(Table1[[#This Row],[SaleDate]])</f>
        <v>11</v>
      </c>
      <c r="O2811" t="str">
        <f>TEXT(Table1[[#This Row],[SaleDate]],"MMM")</f>
        <v>Nov</v>
      </c>
    </row>
    <row r="2812" spans="1:15">
      <c r="A2812" s="1">
        <v>45240</v>
      </c>
      <c r="B2812" t="s">
        <v>24</v>
      </c>
      <c r="C2812" t="s">
        <v>22</v>
      </c>
      <c r="D2812">
        <v>1</v>
      </c>
      <c r="E2812" t="s">
        <v>9</v>
      </c>
      <c r="F2812">
        <v>60000</v>
      </c>
      <c r="G2812">
        <v>31000</v>
      </c>
      <c r="H2812">
        <f>Table1[[#This Row],[Qty]]*Table1[[#This Row],[SellingPrice]]</f>
        <v>60000</v>
      </c>
      <c r="I2812">
        <f>Table1[[#This Row],[Qty]]*Table1[[#This Row],[CostPrice]]</f>
        <v>31000</v>
      </c>
      <c r="J2812">
        <v>28797</v>
      </c>
      <c r="K2812">
        <v>202.99999999999997</v>
      </c>
      <c r="L2812" t="s">
        <v>12</v>
      </c>
      <c r="M2812" t="s">
        <v>27</v>
      </c>
      <c r="N2812">
        <f>MONTH(Table1[[#This Row],[SaleDate]])</f>
        <v>11</v>
      </c>
      <c r="O2812" t="str">
        <f>TEXT(Table1[[#This Row],[SaleDate]],"MMM")</f>
        <v>Nov</v>
      </c>
    </row>
    <row r="2813" spans="1:15">
      <c r="A2813" s="1">
        <v>45240</v>
      </c>
      <c r="B2813" t="s">
        <v>24</v>
      </c>
      <c r="C2813" t="s">
        <v>22</v>
      </c>
      <c r="D2813">
        <v>1</v>
      </c>
      <c r="E2813" t="s">
        <v>10</v>
      </c>
      <c r="F2813">
        <v>89000</v>
      </c>
      <c r="G2813">
        <v>65000</v>
      </c>
      <c r="H2813">
        <f>Table1[[#This Row],[Qty]]*Table1[[#This Row],[SellingPrice]]</f>
        <v>89000</v>
      </c>
      <c r="I2813">
        <f>Table1[[#This Row],[Qty]]*Table1[[#This Row],[CostPrice]]</f>
        <v>65000</v>
      </c>
      <c r="J2813">
        <v>23832</v>
      </c>
      <c r="K2813">
        <v>167.99999999999997</v>
      </c>
      <c r="L2813" t="s">
        <v>12</v>
      </c>
      <c r="M2813" t="s">
        <v>30</v>
      </c>
      <c r="N2813">
        <f>MONTH(Table1[[#This Row],[SaleDate]])</f>
        <v>11</v>
      </c>
      <c r="O2813" t="str">
        <f>TEXT(Table1[[#This Row],[SaleDate]],"MMM")</f>
        <v>Nov</v>
      </c>
    </row>
    <row r="2814" spans="1:15">
      <c r="A2814" s="1">
        <v>45240</v>
      </c>
      <c r="B2814" t="s">
        <v>25</v>
      </c>
      <c r="C2814" t="s">
        <v>21</v>
      </c>
      <c r="D2814">
        <v>1</v>
      </c>
      <c r="E2814" t="s">
        <v>7</v>
      </c>
      <c r="F2814">
        <v>33000</v>
      </c>
      <c r="G2814">
        <v>18000</v>
      </c>
      <c r="H2814">
        <f>Table1[[#This Row],[Qty]]*Table1[[#This Row],[SellingPrice]]</f>
        <v>33000</v>
      </c>
      <c r="I2814">
        <f>Table1[[#This Row],[Qty]]*Table1[[#This Row],[CostPrice]]</f>
        <v>18000</v>
      </c>
      <c r="J2814">
        <v>14895</v>
      </c>
      <c r="K2814">
        <v>104.99999999999999</v>
      </c>
      <c r="L2814" t="s">
        <v>13</v>
      </c>
      <c r="M2814" t="s">
        <v>30</v>
      </c>
      <c r="N2814">
        <f>MONTH(Table1[[#This Row],[SaleDate]])</f>
        <v>11</v>
      </c>
      <c r="O2814" t="str">
        <f>TEXT(Table1[[#This Row],[SaleDate]],"MMM")</f>
        <v>Nov</v>
      </c>
    </row>
    <row r="2815" spans="1:15">
      <c r="A2815" s="1">
        <v>45240</v>
      </c>
      <c r="B2815" t="s">
        <v>25</v>
      </c>
      <c r="C2815" t="s">
        <v>21</v>
      </c>
      <c r="D2815">
        <v>1</v>
      </c>
      <c r="E2815" t="s">
        <v>9</v>
      </c>
      <c r="F2815">
        <v>60000</v>
      </c>
      <c r="G2815">
        <v>31000</v>
      </c>
      <c r="H2815">
        <f>Table1[[#This Row],[Qty]]*Table1[[#This Row],[SellingPrice]]</f>
        <v>60000</v>
      </c>
      <c r="I2815">
        <f>Table1[[#This Row],[Qty]]*Table1[[#This Row],[CostPrice]]</f>
        <v>31000</v>
      </c>
      <c r="J2815">
        <v>28797</v>
      </c>
      <c r="K2815">
        <v>202.99999999999997</v>
      </c>
      <c r="L2815" t="s">
        <v>13</v>
      </c>
      <c r="M2815" t="s">
        <v>27</v>
      </c>
      <c r="N2815">
        <f>MONTH(Table1[[#This Row],[SaleDate]])</f>
        <v>11</v>
      </c>
      <c r="O2815" t="str">
        <f>TEXT(Table1[[#This Row],[SaleDate]],"MMM")</f>
        <v>Nov</v>
      </c>
    </row>
    <row r="2816" spans="1:15">
      <c r="A2816" s="1">
        <v>45240</v>
      </c>
      <c r="B2816" t="s">
        <v>25</v>
      </c>
      <c r="C2816" t="s">
        <v>21</v>
      </c>
      <c r="D2816">
        <v>1</v>
      </c>
      <c r="E2816" t="s">
        <v>10</v>
      </c>
      <c r="F2816">
        <v>89000</v>
      </c>
      <c r="G2816">
        <v>65000</v>
      </c>
      <c r="H2816">
        <f>Table1[[#This Row],[Qty]]*Table1[[#This Row],[SellingPrice]]</f>
        <v>89000</v>
      </c>
      <c r="I2816">
        <f>Table1[[#This Row],[Qty]]*Table1[[#This Row],[CostPrice]]</f>
        <v>65000</v>
      </c>
      <c r="J2816">
        <v>23832</v>
      </c>
      <c r="K2816">
        <v>167.99999999999997</v>
      </c>
      <c r="L2816" t="s">
        <v>13</v>
      </c>
      <c r="M2816" t="s">
        <v>30</v>
      </c>
      <c r="N2816">
        <f>MONTH(Table1[[#This Row],[SaleDate]])</f>
        <v>11</v>
      </c>
      <c r="O2816" t="str">
        <f>TEXT(Table1[[#This Row],[SaleDate]],"MMM")</f>
        <v>Nov</v>
      </c>
    </row>
    <row r="2817" spans="1:15">
      <c r="A2817" s="1">
        <v>45241</v>
      </c>
      <c r="B2817" t="s">
        <v>23</v>
      </c>
      <c r="C2817" t="s">
        <v>19</v>
      </c>
      <c r="D2817">
        <v>1</v>
      </c>
      <c r="E2817" t="s">
        <v>7</v>
      </c>
      <c r="F2817">
        <v>33000</v>
      </c>
      <c r="G2817">
        <v>18000</v>
      </c>
      <c r="H2817">
        <f>Table1[[#This Row],[Qty]]*Table1[[#This Row],[SellingPrice]]</f>
        <v>33000</v>
      </c>
      <c r="I2817">
        <f>Table1[[#This Row],[Qty]]*Table1[[#This Row],[CostPrice]]</f>
        <v>18000</v>
      </c>
      <c r="J2817">
        <v>14895</v>
      </c>
      <c r="K2817">
        <v>104.99999999999999</v>
      </c>
      <c r="L2817" t="s">
        <v>8</v>
      </c>
      <c r="M2817" t="s">
        <v>29</v>
      </c>
      <c r="N2817">
        <f>MONTH(Table1[[#This Row],[SaleDate]])</f>
        <v>11</v>
      </c>
      <c r="O2817" t="str">
        <f>TEXT(Table1[[#This Row],[SaleDate]],"MMM")</f>
        <v>Nov</v>
      </c>
    </row>
    <row r="2818" spans="1:15">
      <c r="A2818" s="1">
        <v>45241</v>
      </c>
      <c r="B2818" t="s">
        <v>23</v>
      </c>
      <c r="C2818" t="s">
        <v>19</v>
      </c>
      <c r="D2818">
        <v>1</v>
      </c>
      <c r="E2818" t="s">
        <v>9</v>
      </c>
      <c r="F2818">
        <v>60000</v>
      </c>
      <c r="G2818">
        <v>31000</v>
      </c>
      <c r="H2818">
        <f>Table1[[#This Row],[Qty]]*Table1[[#This Row],[SellingPrice]]</f>
        <v>60000</v>
      </c>
      <c r="I2818">
        <f>Table1[[#This Row],[Qty]]*Table1[[#This Row],[CostPrice]]</f>
        <v>31000</v>
      </c>
      <c r="J2818">
        <v>28797</v>
      </c>
      <c r="K2818">
        <v>202.99999999999997</v>
      </c>
      <c r="L2818" t="s">
        <v>8</v>
      </c>
      <c r="M2818" t="s">
        <v>30</v>
      </c>
      <c r="N2818">
        <f>MONTH(Table1[[#This Row],[SaleDate]])</f>
        <v>11</v>
      </c>
      <c r="O2818" t="str">
        <f>TEXT(Table1[[#This Row],[SaleDate]],"MMM")</f>
        <v>Nov</v>
      </c>
    </row>
    <row r="2819" spans="1:15">
      <c r="A2819" s="1">
        <v>45241</v>
      </c>
      <c r="B2819" t="s">
        <v>23</v>
      </c>
      <c r="C2819" t="s">
        <v>19</v>
      </c>
      <c r="D2819">
        <v>1</v>
      </c>
      <c r="E2819" t="s">
        <v>10</v>
      </c>
      <c r="F2819">
        <v>89000</v>
      </c>
      <c r="G2819">
        <v>65000</v>
      </c>
      <c r="H2819">
        <f>Table1[[#This Row],[Qty]]*Table1[[#This Row],[SellingPrice]]</f>
        <v>89000</v>
      </c>
      <c r="I2819">
        <f>Table1[[#This Row],[Qty]]*Table1[[#This Row],[CostPrice]]</f>
        <v>65000</v>
      </c>
      <c r="J2819">
        <v>23832</v>
      </c>
      <c r="K2819">
        <v>167.99999999999997</v>
      </c>
      <c r="L2819" t="s">
        <v>8</v>
      </c>
      <c r="M2819" t="s">
        <v>29</v>
      </c>
      <c r="N2819">
        <f>MONTH(Table1[[#This Row],[SaleDate]])</f>
        <v>11</v>
      </c>
      <c r="O2819" t="str">
        <f>TEXT(Table1[[#This Row],[SaleDate]],"MMM")</f>
        <v>Nov</v>
      </c>
    </row>
    <row r="2820" spans="1:15">
      <c r="A2820" s="1">
        <v>45241</v>
      </c>
      <c r="B2820" t="s">
        <v>24</v>
      </c>
      <c r="C2820" t="s">
        <v>22</v>
      </c>
      <c r="D2820">
        <v>1</v>
      </c>
      <c r="E2820" t="s">
        <v>7</v>
      </c>
      <c r="F2820">
        <v>33000</v>
      </c>
      <c r="G2820">
        <v>18000</v>
      </c>
      <c r="H2820">
        <f>Table1[[#This Row],[Qty]]*Table1[[#This Row],[SellingPrice]]</f>
        <v>33000</v>
      </c>
      <c r="I2820">
        <f>Table1[[#This Row],[Qty]]*Table1[[#This Row],[CostPrice]]</f>
        <v>18000</v>
      </c>
      <c r="J2820">
        <v>14895</v>
      </c>
      <c r="K2820">
        <v>104.99999999999999</v>
      </c>
      <c r="L2820" t="s">
        <v>12</v>
      </c>
      <c r="M2820" t="s">
        <v>29</v>
      </c>
      <c r="N2820">
        <f>MONTH(Table1[[#This Row],[SaleDate]])</f>
        <v>11</v>
      </c>
      <c r="O2820" t="str">
        <f>TEXT(Table1[[#This Row],[SaleDate]],"MMM")</f>
        <v>Nov</v>
      </c>
    </row>
    <row r="2821" spans="1:15">
      <c r="A2821" s="1">
        <v>45241</v>
      </c>
      <c r="B2821" t="s">
        <v>24</v>
      </c>
      <c r="C2821" t="s">
        <v>22</v>
      </c>
      <c r="D2821">
        <v>1</v>
      </c>
      <c r="E2821" t="s">
        <v>9</v>
      </c>
      <c r="F2821">
        <v>60000</v>
      </c>
      <c r="G2821">
        <v>31000</v>
      </c>
      <c r="H2821">
        <f>Table1[[#This Row],[Qty]]*Table1[[#This Row],[SellingPrice]]</f>
        <v>60000</v>
      </c>
      <c r="I2821">
        <f>Table1[[#This Row],[Qty]]*Table1[[#This Row],[CostPrice]]</f>
        <v>31000</v>
      </c>
      <c r="J2821">
        <v>28797</v>
      </c>
      <c r="K2821">
        <v>202.99999999999997</v>
      </c>
      <c r="L2821" t="s">
        <v>12</v>
      </c>
      <c r="M2821" t="s">
        <v>28</v>
      </c>
      <c r="N2821">
        <f>MONTH(Table1[[#This Row],[SaleDate]])</f>
        <v>11</v>
      </c>
      <c r="O2821" t="str">
        <f>TEXT(Table1[[#This Row],[SaleDate]],"MMM")</f>
        <v>Nov</v>
      </c>
    </row>
    <row r="2822" spans="1:15">
      <c r="A2822" s="1">
        <v>45241</v>
      </c>
      <c r="B2822" t="s">
        <v>24</v>
      </c>
      <c r="C2822" t="s">
        <v>22</v>
      </c>
      <c r="D2822">
        <v>1</v>
      </c>
      <c r="E2822" t="s">
        <v>10</v>
      </c>
      <c r="F2822">
        <v>89000</v>
      </c>
      <c r="G2822">
        <v>65000</v>
      </c>
      <c r="H2822">
        <f>Table1[[#This Row],[Qty]]*Table1[[#This Row],[SellingPrice]]</f>
        <v>89000</v>
      </c>
      <c r="I2822">
        <f>Table1[[#This Row],[Qty]]*Table1[[#This Row],[CostPrice]]</f>
        <v>65000</v>
      </c>
      <c r="J2822">
        <v>23832</v>
      </c>
      <c r="K2822">
        <v>167.99999999999997</v>
      </c>
      <c r="L2822" t="s">
        <v>12</v>
      </c>
      <c r="M2822" t="s">
        <v>29</v>
      </c>
      <c r="N2822">
        <f>MONTH(Table1[[#This Row],[SaleDate]])</f>
        <v>11</v>
      </c>
      <c r="O2822" t="str">
        <f>TEXT(Table1[[#This Row],[SaleDate]],"MMM")</f>
        <v>Nov</v>
      </c>
    </row>
    <row r="2823" spans="1:15">
      <c r="A2823" s="1">
        <v>45241</v>
      </c>
      <c r="B2823" t="s">
        <v>25</v>
      </c>
      <c r="C2823" t="s">
        <v>21</v>
      </c>
      <c r="D2823">
        <v>1</v>
      </c>
      <c r="E2823" t="s">
        <v>7</v>
      </c>
      <c r="F2823">
        <v>33000</v>
      </c>
      <c r="G2823">
        <v>18000</v>
      </c>
      <c r="H2823">
        <f>Table1[[#This Row],[Qty]]*Table1[[#This Row],[SellingPrice]]</f>
        <v>33000</v>
      </c>
      <c r="I2823">
        <f>Table1[[#This Row],[Qty]]*Table1[[#This Row],[CostPrice]]</f>
        <v>18000</v>
      </c>
      <c r="J2823">
        <v>14895</v>
      </c>
      <c r="K2823">
        <v>104.99999999999999</v>
      </c>
      <c r="L2823" t="s">
        <v>13</v>
      </c>
      <c r="M2823" t="s">
        <v>29</v>
      </c>
      <c r="N2823">
        <f>MONTH(Table1[[#This Row],[SaleDate]])</f>
        <v>11</v>
      </c>
      <c r="O2823" t="str">
        <f>TEXT(Table1[[#This Row],[SaleDate]],"MMM")</f>
        <v>Nov</v>
      </c>
    </row>
    <row r="2824" spans="1:15">
      <c r="A2824" s="1">
        <v>45241</v>
      </c>
      <c r="B2824" t="s">
        <v>25</v>
      </c>
      <c r="C2824" t="s">
        <v>21</v>
      </c>
      <c r="D2824">
        <v>1</v>
      </c>
      <c r="E2824" t="s">
        <v>9</v>
      </c>
      <c r="F2824">
        <v>60000</v>
      </c>
      <c r="G2824">
        <v>31000</v>
      </c>
      <c r="H2824">
        <f>Table1[[#This Row],[Qty]]*Table1[[#This Row],[SellingPrice]]</f>
        <v>60000</v>
      </c>
      <c r="I2824">
        <f>Table1[[#This Row],[Qty]]*Table1[[#This Row],[CostPrice]]</f>
        <v>31000</v>
      </c>
      <c r="J2824">
        <v>28797</v>
      </c>
      <c r="K2824">
        <v>202.99999999999997</v>
      </c>
      <c r="L2824" t="s">
        <v>13</v>
      </c>
      <c r="M2824" t="s">
        <v>29</v>
      </c>
      <c r="N2824">
        <f>MONTH(Table1[[#This Row],[SaleDate]])</f>
        <v>11</v>
      </c>
      <c r="O2824" t="str">
        <f>TEXT(Table1[[#This Row],[SaleDate]],"MMM")</f>
        <v>Nov</v>
      </c>
    </row>
    <row r="2825" spans="1:15">
      <c r="A2825" s="1">
        <v>45241</v>
      </c>
      <c r="B2825" t="s">
        <v>25</v>
      </c>
      <c r="C2825" t="s">
        <v>21</v>
      </c>
      <c r="D2825">
        <v>1</v>
      </c>
      <c r="E2825" t="s">
        <v>10</v>
      </c>
      <c r="F2825">
        <v>89000</v>
      </c>
      <c r="G2825">
        <v>65000</v>
      </c>
      <c r="H2825">
        <f>Table1[[#This Row],[Qty]]*Table1[[#This Row],[SellingPrice]]</f>
        <v>89000</v>
      </c>
      <c r="I2825">
        <f>Table1[[#This Row],[Qty]]*Table1[[#This Row],[CostPrice]]</f>
        <v>65000</v>
      </c>
      <c r="J2825">
        <v>23832</v>
      </c>
      <c r="K2825">
        <v>167.99999999999997</v>
      </c>
      <c r="L2825" t="s">
        <v>13</v>
      </c>
      <c r="M2825" t="s">
        <v>30</v>
      </c>
      <c r="N2825">
        <f>MONTH(Table1[[#This Row],[SaleDate]])</f>
        <v>11</v>
      </c>
      <c r="O2825" t="str">
        <f>TEXT(Table1[[#This Row],[SaleDate]],"MMM")</f>
        <v>Nov</v>
      </c>
    </row>
    <row r="2826" spans="1:15">
      <c r="A2826" s="1">
        <v>45242</v>
      </c>
      <c r="B2826" t="s">
        <v>23</v>
      </c>
      <c r="C2826" t="s">
        <v>19</v>
      </c>
      <c r="D2826">
        <v>1</v>
      </c>
      <c r="E2826" t="s">
        <v>7</v>
      </c>
      <c r="F2826">
        <v>33000</v>
      </c>
      <c r="G2826">
        <v>18000</v>
      </c>
      <c r="H2826">
        <f>Table1[[#This Row],[Qty]]*Table1[[#This Row],[SellingPrice]]</f>
        <v>33000</v>
      </c>
      <c r="I2826">
        <f>Table1[[#This Row],[Qty]]*Table1[[#This Row],[CostPrice]]</f>
        <v>18000</v>
      </c>
      <c r="J2826">
        <v>14895</v>
      </c>
      <c r="K2826">
        <v>104.99999999999999</v>
      </c>
      <c r="L2826" t="s">
        <v>8</v>
      </c>
      <c r="M2826" t="s">
        <v>29</v>
      </c>
      <c r="N2826">
        <f>MONTH(Table1[[#This Row],[SaleDate]])</f>
        <v>11</v>
      </c>
      <c r="O2826" t="str">
        <f>TEXT(Table1[[#This Row],[SaleDate]],"MMM")</f>
        <v>Nov</v>
      </c>
    </row>
    <row r="2827" spans="1:15">
      <c r="A2827" s="1">
        <v>45242</v>
      </c>
      <c r="B2827" t="s">
        <v>23</v>
      </c>
      <c r="C2827" t="s">
        <v>19</v>
      </c>
      <c r="D2827">
        <v>1</v>
      </c>
      <c r="E2827" t="s">
        <v>9</v>
      </c>
      <c r="F2827">
        <v>60000</v>
      </c>
      <c r="G2827">
        <v>31000</v>
      </c>
      <c r="H2827">
        <f>Table1[[#This Row],[Qty]]*Table1[[#This Row],[SellingPrice]]</f>
        <v>60000</v>
      </c>
      <c r="I2827">
        <f>Table1[[#This Row],[Qty]]*Table1[[#This Row],[CostPrice]]</f>
        <v>31000</v>
      </c>
      <c r="J2827">
        <v>28797</v>
      </c>
      <c r="K2827">
        <v>202.99999999999997</v>
      </c>
      <c r="L2827" t="s">
        <v>8</v>
      </c>
      <c r="M2827" t="s">
        <v>30</v>
      </c>
      <c r="N2827">
        <f>MONTH(Table1[[#This Row],[SaleDate]])</f>
        <v>11</v>
      </c>
      <c r="O2827" t="str">
        <f>TEXT(Table1[[#This Row],[SaleDate]],"MMM")</f>
        <v>Nov</v>
      </c>
    </row>
    <row r="2828" spans="1:15">
      <c r="A2828" s="1">
        <v>45242</v>
      </c>
      <c r="B2828" t="s">
        <v>23</v>
      </c>
      <c r="C2828" t="s">
        <v>19</v>
      </c>
      <c r="D2828">
        <v>1</v>
      </c>
      <c r="E2828" t="s">
        <v>10</v>
      </c>
      <c r="F2828">
        <v>89000</v>
      </c>
      <c r="G2828">
        <v>65000</v>
      </c>
      <c r="H2828">
        <f>Table1[[#This Row],[Qty]]*Table1[[#This Row],[SellingPrice]]</f>
        <v>89000</v>
      </c>
      <c r="I2828">
        <f>Table1[[#This Row],[Qty]]*Table1[[#This Row],[CostPrice]]</f>
        <v>65000</v>
      </c>
      <c r="J2828">
        <v>23832</v>
      </c>
      <c r="K2828">
        <v>167.99999999999997</v>
      </c>
      <c r="L2828" t="s">
        <v>8</v>
      </c>
      <c r="M2828" t="s">
        <v>27</v>
      </c>
      <c r="N2828">
        <f>MONTH(Table1[[#This Row],[SaleDate]])</f>
        <v>11</v>
      </c>
      <c r="O2828" t="str">
        <f>TEXT(Table1[[#This Row],[SaleDate]],"MMM")</f>
        <v>Nov</v>
      </c>
    </row>
    <row r="2829" spans="1:15">
      <c r="A2829" s="1">
        <v>45242</v>
      </c>
      <c r="B2829" t="s">
        <v>24</v>
      </c>
      <c r="C2829" t="s">
        <v>22</v>
      </c>
      <c r="D2829">
        <v>1</v>
      </c>
      <c r="E2829" t="s">
        <v>7</v>
      </c>
      <c r="F2829">
        <v>33000</v>
      </c>
      <c r="G2829">
        <v>18000</v>
      </c>
      <c r="H2829">
        <f>Table1[[#This Row],[Qty]]*Table1[[#This Row],[SellingPrice]]</f>
        <v>33000</v>
      </c>
      <c r="I2829">
        <f>Table1[[#This Row],[Qty]]*Table1[[#This Row],[CostPrice]]</f>
        <v>18000</v>
      </c>
      <c r="J2829">
        <v>14895</v>
      </c>
      <c r="K2829">
        <v>104.99999999999999</v>
      </c>
      <c r="L2829" t="s">
        <v>12</v>
      </c>
      <c r="M2829" t="s">
        <v>30</v>
      </c>
      <c r="N2829">
        <f>MONTH(Table1[[#This Row],[SaleDate]])</f>
        <v>11</v>
      </c>
      <c r="O2829" t="str">
        <f>TEXT(Table1[[#This Row],[SaleDate]],"MMM")</f>
        <v>Nov</v>
      </c>
    </row>
    <row r="2830" spans="1:15">
      <c r="A2830" s="1">
        <v>45242</v>
      </c>
      <c r="B2830" t="s">
        <v>24</v>
      </c>
      <c r="C2830" t="s">
        <v>22</v>
      </c>
      <c r="D2830">
        <v>1</v>
      </c>
      <c r="E2830" t="s">
        <v>9</v>
      </c>
      <c r="F2830">
        <v>60000</v>
      </c>
      <c r="G2830">
        <v>31000</v>
      </c>
      <c r="H2830">
        <f>Table1[[#This Row],[Qty]]*Table1[[#This Row],[SellingPrice]]</f>
        <v>60000</v>
      </c>
      <c r="I2830">
        <f>Table1[[#This Row],[Qty]]*Table1[[#This Row],[CostPrice]]</f>
        <v>31000</v>
      </c>
      <c r="J2830">
        <v>28797</v>
      </c>
      <c r="K2830">
        <v>202.99999999999997</v>
      </c>
      <c r="L2830" t="s">
        <v>12</v>
      </c>
      <c r="M2830" t="s">
        <v>27</v>
      </c>
      <c r="N2830">
        <f>MONTH(Table1[[#This Row],[SaleDate]])</f>
        <v>11</v>
      </c>
      <c r="O2830" t="str">
        <f>TEXT(Table1[[#This Row],[SaleDate]],"MMM")</f>
        <v>Nov</v>
      </c>
    </row>
    <row r="2831" spans="1:15">
      <c r="A2831" s="1">
        <v>45242</v>
      </c>
      <c r="B2831" t="s">
        <v>24</v>
      </c>
      <c r="C2831" t="s">
        <v>22</v>
      </c>
      <c r="D2831">
        <v>1</v>
      </c>
      <c r="E2831" t="s">
        <v>10</v>
      </c>
      <c r="F2831">
        <v>89000</v>
      </c>
      <c r="G2831">
        <v>65000</v>
      </c>
      <c r="H2831">
        <f>Table1[[#This Row],[Qty]]*Table1[[#This Row],[SellingPrice]]</f>
        <v>89000</v>
      </c>
      <c r="I2831">
        <f>Table1[[#This Row],[Qty]]*Table1[[#This Row],[CostPrice]]</f>
        <v>65000</v>
      </c>
      <c r="J2831">
        <v>23832</v>
      </c>
      <c r="K2831">
        <v>167.99999999999997</v>
      </c>
      <c r="L2831" t="s">
        <v>12</v>
      </c>
      <c r="M2831" t="s">
        <v>27</v>
      </c>
      <c r="N2831">
        <f>MONTH(Table1[[#This Row],[SaleDate]])</f>
        <v>11</v>
      </c>
      <c r="O2831" t="str">
        <f>TEXT(Table1[[#This Row],[SaleDate]],"MMM")</f>
        <v>Nov</v>
      </c>
    </row>
    <row r="2832" spans="1:15">
      <c r="A2832" s="1">
        <v>45242</v>
      </c>
      <c r="B2832" t="s">
        <v>25</v>
      </c>
      <c r="C2832" t="s">
        <v>21</v>
      </c>
      <c r="D2832">
        <v>1</v>
      </c>
      <c r="E2832" t="s">
        <v>7</v>
      </c>
      <c r="F2832">
        <v>33000</v>
      </c>
      <c r="G2832">
        <v>18000</v>
      </c>
      <c r="H2832">
        <f>Table1[[#This Row],[Qty]]*Table1[[#This Row],[SellingPrice]]</f>
        <v>33000</v>
      </c>
      <c r="I2832">
        <f>Table1[[#This Row],[Qty]]*Table1[[#This Row],[CostPrice]]</f>
        <v>18000</v>
      </c>
      <c r="J2832">
        <v>14895</v>
      </c>
      <c r="K2832">
        <v>104.99999999999999</v>
      </c>
      <c r="L2832" t="s">
        <v>13</v>
      </c>
      <c r="M2832" t="s">
        <v>28</v>
      </c>
      <c r="N2832">
        <f>MONTH(Table1[[#This Row],[SaleDate]])</f>
        <v>11</v>
      </c>
      <c r="O2832" t="str">
        <f>TEXT(Table1[[#This Row],[SaleDate]],"MMM")</f>
        <v>Nov</v>
      </c>
    </row>
    <row r="2833" spans="1:15">
      <c r="A2833" s="1">
        <v>45242</v>
      </c>
      <c r="B2833" t="s">
        <v>25</v>
      </c>
      <c r="C2833" t="s">
        <v>21</v>
      </c>
      <c r="D2833">
        <v>1</v>
      </c>
      <c r="E2833" t="s">
        <v>9</v>
      </c>
      <c r="F2833">
        <v>60000</v>
      </c>
      <c r="G2833">
        <v>31000</v>
      </c>
      <c r="H2833">
        <f>Table1[[#This Row],[Qty]]*Table1[[#This Row],[SellingPrice]]</f>
        <v>60000</v>
      </c>
      <c r="I2833">
        <f>Table1[[#This Row],[Qty]]*Table1[[#This Row],[CostPrice]]</f>
        <v>31000</v>
      </c>
      <c r="J2833">
        <v>28797</v>
      </c>
      <c r="K2833">
        <v>202.99999999999997</v>
      </c>
      <c r="L2833" t="s">
        <v>13</v>
      </c>
      <c r="M2833" t="s">
        <v>27</v>
      </c>
      <c r="N2833">
        <f>MONTH(Table1[[#This Row],[SaleDate]])</f>
        <v>11</v>
      </c>
      <c r="O2833" t="str">
        <f>TEXT(Table1[[#This Row],[SaleDate]],"MMM")</f>
        <v>Nov</v>
      </c>
    </row>
    <row r="2834" spans="1:15">
      <c r="A2834" s="1">
        <v>45242</v>
      </c>
      <c r="B2834" t="s">
        <v>25</v>
      </c>
      <c r="C2834" t="s">
        <v>21</v>
      </c>
      <c r="D2834">
        <v>1</v>
      </c>
      <c r="E2834" t="s">
        <v>10</v>
      </c>
      <c r="F2834">
        <v>89000</v>
      </c>
      <c r="G2834">
        <v>65000</v>
      </c>
      <c r="H2834">
        <f>Table1[[#This Row],[Qty]]*Table1[[#This Row],[SellingPrice]]</f>
        <v>89000</v>
      </c>
      <c r="I2834">
        <f>Table1[[#This Row],[Qty]]*Table1[[#This Row],[CostPrice]]</f>
        <v>65000</v>
      </c>
      <c r="J2834">
        <v>23832</v>
      </c>
      <c r="K2834">
        <v>167.99999999999997</v>
      </c>
      <c r="L2834" t="s">
        <v>13</v>
      </c>
      <c r="M2834" t="s">
        <v>29</v>
      </c>
      <c r="N2834">
        <f>MONTH(Table1[[#This Row],[SaleDate]])</f>
        <v>11</v>
      </c>
      <c r="O2834" t="str">
        <f>TEXT(Table1[[#This Row],[SaleDate]],"MMM")</f>
        <v>Nov</v>
      </c>
    </row>
    <row r="2835" spans="1:15">
      <c r="A2835" s="1">
        <v>45243</v>
      </c>
      <c r="B2835" t="s">
        <v>23</v>
      </c>
      <c r="C2835" t="s">
        <v>19</v>
      </c>
      <c r="D2835">
        <v>2</v>
      </c>
      <c r="E2835" t="s">
        <v>7</v>
      </c>
      <c r="F2835">
        <v>33000</v>
      </c>
      <c r="G2835">
        <v>18000</v>
      </c>
      <c r="H2835">
        <f>Table1[[#This Row],[Qty]]*Table1[[#This Row],[SellingPrice]]</f>
        <v>66000</v>
      </c>
      <c r="I2835">
        <f>Table1[[#This Row],[Qty]]*Table1[[#This Row],[CostPrice]]</f>
        <v>36000</v>
      </c>
      <c r="J2835">
        <v>29790</v>
      </c>
      <c r="K2835">
        <v>209.99999999999997</v>
      </c>
      <c r="L2835" t="s">
        <v>8</v>
      </c>
      <c r="M2835" t="s">
        <v>29</v>
      </c>
      <c r="N2835">
        <f>MONTH(Table1[[#This Row],[SaleDate]])</f>
        <v>11</v>
      </c>
      <c r="O2835" t="str">
        <f>TEXT(Table1[[#This Row],[SaleDate]],"MMM")</f>
        <v>Nov</v>
      </c>
    </row>
    <row r="2836" spans="1:15">
      <c r="A2836" s="1">
        <v>45243</v>
      </c>
      <c r="B2836" t="s">
        <v>23</v>
      </c>
      <c r="C2836" t="s">
        <v>19</v>
      </c>
      <c r="D2836">
        <v>2</v>
      </c>
      <c r="E2836" t="s">
        <v>9</v>
      </c>
      <c r="F2836">
        <v>60000</v>
      </c>
      <c r="G2836">
        <v>31000</v>
      </c>
      <c r="H2836">
        <f>Table1[[#This Row],[Qty]]*Table1[[#This Row],[SellingPrice]]</f>
        <v>120000</v>
      </c>
      <c r="I2836">
        <f>Table1[[#This Row],[Qty]]*Table1[[#This Row],[CostPrice]]</f>
        <v>62000</v>
      </c>
      <c r="J2836">
        <v>57594</v>
      </c>
      <c r="K2836">
        <v>405.99999999999994</v>
      </c>
      <c r="L2836" t="s">
        <v>8</v>
      </c>
      <c r="M2836" t="s">
        <v>28</v>
      </c>
      <c r="N2836">
        <f>MONTH(Table1[[#This Row],[SaleDate]])</f>
        <v>11</v>
      </c>
      <c r="O2836" t="str">
        <f>TEXT(Table1[[#This Row],[SaleDate]],"MMM")</f>
        <v>Nov</v>
      </c>
    </row>
    <row r="2837" spans="1:15">
      <c r="A2837" s="1">
        <v>45243</v>
      </c>
      <c r="B2837" t="s">
        <v>23</v>
      </c>
      <c r="C2837" t="s">
        <v>19</v>
      </c>
      <c r="D2837">
        <v>2</v>
      </c>
      <c r="E2837" t="s">
        <v>10</v>
      </c>
      <c r="F2837">
        <v>89000</v>
      </c>
      <c r="G2837">
        <v>65000</v>
      </c>
      <c r="H2837">
        <f>Table1[[#This Row],[Qty]]*Table1[[#This Row],[SellingPrice]]</f>
        <v>178000</v>
      </c>
      <c r="I2837">
        <f>Table1[[#This Row],[Qty]]*Table1[[#This Row],[CostPrice]]</f>
        <v>130000</v>
      </c>
      <c r="J2837">
        <v>47664</v>
      </c>
      <c r="K2837">
        <v>335.99999999999994</v>
      </c>
      <c r="L2837" t="s">
        <v>8</v>
      </c>
      <c r="M2837" t="s">
        <v>29</v>
      </c>
      <c r="N2837">
        <f>MONTH(Table1[[#This Row],[SaleDate]])</f>
        <v>11</v>
      </c>
      <c r="O2837" t="str">
        <f>TEXT(Table1[[#This Row],[SaleDate]],"MMM")</f>
        <v>Nov</v>
      </c>
    </row>
    <row r="2838" spans="1:15">
      <c r="A2838" s="1">
        <v>45243</v>
      </c>
      <c r="B2838" t="s">
        <v>24</v>
      </c>
      <c r="C2838" t="s">
        <v>22</v>
      </c>
      <c r="D2838">
        <v>2</v>
      </c>
      <c r="E2838" t="s">
        <v>9</v>
      </c>
      <c r="F2838">
        <v>60000</v>
      </c>
      <c r="G2838">
        <v>31000</v>
      </c>
      <c r="H2838">
        <f>Table1[[#This Row],[Qty]]*Table1[[#This Row],[SellingPrice]]</f>
        <v>120000</v>
      </c>
      <c r="I2838">
        <f>Table1[[#This Row],[Qty]]*Table1[[#This Row],[CostPrice]]</f>
        <v>62000</v>
      </c>
      <c r="J2838">
        <v>57594</v>
      </c>
      <c r="K2838">
        <v>405.99999999999994</v>
      </c>
      <c r="L2838" t="s">
        <v>12</v>
      </c>
      <c r="M2838" t="s">
        <v>29</v>
      </c>
      <c r="N2838">
        <f>MONTH(Table1[[#This Row],[SaleDate]])</f>
        <v>11</v>
      </c>
      <c r="O2838" t="str">
        <f>TEXT(Table1[[#This Row],[SaleDate]],"MMM")</f>
        <v>Nov</v>
      </c>
    </row>
    <row r="2839" spans="1:15">
      <c r="A2839" s="1">
        <v>45243</v>
      </c>
      <c r="B2839" t="s">
        <v>24</v>
      </c>
      <c r="C2839" t="s">
        <v>22</v>
      </c>
      <c r="D2839">
        <v>2</v>
      </c>
      <c r="E2839" t="s">
        <v>10</v>
      </c>
      <c r="F2839">
        <v>89000</v>
      </c>
      <c r="G2839">
        <v>65000</v>
      </c>
      <c r="H2839">
        <f>Table1[[#This Row],[Qty]]*Table1[[#This Row],[SellingPrice]]</f>
        <v>178000</v>
      </c>
      <c r="I2839">
        <f>Table1[[#This Row],[Qty]]*Table1[[#This Row],[CostPrice]]</f>
        <v>130000</v>
      </c>
      <c r="J2839">
        <v>47664</v>
      </c>
      <c r="K2839">
        <v>335.99999999999994</v>
      </c>
      <c r="L2839" t="s">
        <v>12</v>
      </c>
      <c r="M2839" t="s">
        <v>28</v>
      </c>
      <c r="N2839">
        <f>MONTH(Table1[[#This Row],[SaleDate]])</f>
        <v>11</v>
      </c>
      <c r="O2839" t="str">
        <f>TEXT(Table1[[#This Row],[SaleDate]],"MMM")</f>
        <v>Nov</v>
      </c>
    </row>
    <row r="2840" spans="1:15">
      <c r="A2840" s="1">
        <v>45243</v>
      </c>
      <c r="B2840" t="s">
        <v>25</v>
      </c>
      <c r="C2840" t="s">
        <v>21</v>
      </c>
      <c r="D2840">
        <v>2</v>
      </c>
      <c r="E2840" t="s">
        <v>7</v>
      </c>
      <c r="F2840">
        <v>33000</v>
      </c>
      <c r="G2840">
        <v>18000</v>
      </c>
      <c r="H2840">
        <f>Table1[[#This Row],[Qty]]*Table1[[#This Row],[SellingPrice]]</f>
        <v>66000</v>
      </c>
      <c r="I2840">
        <f>Table1[[#This Row],[Qty]]*Table1[[#This Row],[CostPrice]]</f>
        <v>36000</v>
      </c>
      <c r="J2840">
        <v>29790</v>
      </c>
      <c r="K2840">
        <v>209.99999999999997</v>
      </c>
      <c r="L2840" t="s">
        <v>13</v>
      </c>
      <c r="M2840" t="s">
        <v>30</v>
      </c>
      <c r="N2840">
        <f>MONTH(Table1[[#This Row],[SaleDate]])</f>
        <v>11</v>
      </c>
      <c r="O2840" t="str">
        <f>TEXT(Table1[[#This Row],[SaleDate]],"MMM")</f>
        <v>Nov</v>
      </c>
    </row>
    <row r="2841" spans="1:15">
      <c r="A2841" s="1">
        <v>45243</v>
      </c>
      <c r="B2841" t="s">
        <v>25</v>
      </c>
      <c r="C2841" t="s">
        <v>21</v>
      </c>
      <c r="D2841">
        <v>2</v>
      </c>
      <c r="E2841" t="s">
        <v>9</v>
      </c>
      <c r="F2841">
        <v>60000</v>
      </c>
      <c r="G2841">
        <v>31000</v>
      </c>
      <c r="H2841">
        <f>Table1[[#This Row],[Qty]]*Table1[[#This Row],[SellingPrice]]</f>
        <v>120000</v>
      </c>
      <c r="I2841">
        <f>Table1[[#This Row],[Qty]]*Table1[[#This Row],[CostPrice]]</f>
        <v>62000</v>
      </c>
      <c r="J2841">
        <v>57594</v>
      </c>
      <c r="K2841">
        <v>405.99999999999994</v>
      </c>
      <c r="L2841" t="s">
        <v>13</v>
      </c>
      <c r="M2841" t="s">
        <v>30</v>
      </c>
      <c r="N2841">
        <f>MONTH(Table1[[#This Row],[SaleDate]])</f>
        <v>11</v>
      </c>
      <c r="O2841" t="str">
        <f>TEXT(Table1[[#This Row],[SaleDate]],"MMM")</f>
        <v>Nov</v>
      </c>
    </row>
    <row r="2842" spans="1:15">
      <c r="A2842" s="1">
        <v>45243</v>
      </c>
      <c r="B2842" t="s">
        <v>25</v>
      </c>
      <c r="C2842" t="s">
        <v>21</v>
      </c>
      <c r="D2842">
        <v>2</v>
      </c>
      <c r="E2842" t="s">
        <v>10</v>
      </c>
      <c r="F2842">
        <v>89000</v>
      </c>
      <c r="G2842">
        <v>65000</v>
      </c>
      <c r="H2842">
        <f>Table1[[#This Row],[Qty]]*Table1[[#This Row],[SellingPrice]]</f>
        <v>178000</v>
      </c>
      <c r="I2842">
        <f>Table1[[#This Row],[Qty]]*Table1[[#This Row],[CostPrice]]</f>
        <v>130000</v>
      </c>
      <c r="J2842">
        <v>47664</v>
      </c>
      <c r="K2842">
        <v>335.99999999999994</v>
      </c>
      <c r="L2842" t="s">
        <v>13</v>
      </c>
      <c r="M2842" t="s">
        <v>29</v>
      </c>
      <c r="N2842">
        <f>MONTH(Table1[[#This Row],[SaleDate]])</f>
        <v>11</v>
      </c>
      <c r="O2842" t="str">
        <f>TEXT(Table1[[#This Row],[SaleDate]],"MMM")</f>
        <v>Nov</v>
      </c>
    </row>
    <row r="2843" spans="1:15">
      <c r="A2843" s="1">
        <v>45244</v>
      </c>
      <c r="B2843" t="s">
        <v>23</v>
      </c>
      <c r="C2843" t="s">
        <v>19</v>
      </c>
      <c r="D2843">
        <v>2</v>
      </c>
      <c r="E2843" t="s">
        <v>7</v>
      </c>
      <c r="F2843">
        <v>33000</v>
      </c>
      <c r="G2843">
        <v>18000</v>
      </c>
      <c r="H2843">
        <f>Table1[[#This Row],[Qty]]*Table1[[#This Row],[SellingPrice]]</f>
        <v>66000</v>
      </c>
      <c r="I2843">
        <f>Table1[[#This Row],[Qty]]*Table1[[#This Row],[CostPrice]]</f>
        <v>36000</v>
      </c>
      <c r="J2843">
        <v>29790</v>
      </c>
      <c r="K2843">
        <v>209.99999999999997</v>
      </c>
      <c r="L2843" t="s">
        <v>8</v>
      </c>
      <c r="M2843" t="s">
        <v>30</v>
      </c>
      <c r="N2843">
        <f>MONTH(Table1[[#This Row],[SaleDate]])</f>
        <v>11</v>
      </c>
      <c r="O2843" t="str">
        <f>TEXT(Table1[[#This Row],[SaleDate]],"MMM")</f>
        <v>Nov</v>
      </c>
    </row>
    <row r="2844" spans="1:15">
      <c r="A2844" s="1">
        <v>45244</v>
      </c>
      <c r="B2844" t="s">
        <v>23</v>
      </c>
      <c r="C2844" t="s">
        <v>19</v>
      </c>
      <c r="D2844">
        <v>2</v>
      </c>
      <c r="E2844" t="s">
        <v>9</v>
      </c>
      <c r="F2844">
        <v>60000</v>
      </c>
      <c r="G2844">
        <v>31000</v>
      </c>
      <c r="H2844">
        <f>Table1[[#This Row],[Qty]]*Table1[[#This Row],[SellingPrice]]</f>
        <v>120000</v>
      </c>
      <c r="I2844">
        <f>Table1[[#This Row],[Qty]]*Table1[[#This Row],[CostPrice]]</f>
        <v>62000</v>
      </c>
      <c r="J2844">
        <v>57594</v>
      </c>
      <c r="K2844">
        <v>405.99999999999994</v>
      </c>
      <c r="L2844" t="s">
        <v>8</v>
      </c>
      <c r="M2844" t="s">
        <v>30</v>
      </c>
      <c r="N2844">
        <f>MONTH(Table1[[#This Row],[SaleDate]])</f>
        <v>11</v>
      </c>
      <c r="O2844" t="str">
        <f>TEXT(Table1[[#This Row],[SaleDate]],"MMM")</f>
        <v>Nov</v>
      </c>
    </row>
    <row r="2845" spans="1:15">
      <c r="A2845" s="1">
        <v>45244</v>
      </c>
      <c r="B2845" t="s">
        <v>23</v>
      </c>
      <c r="C2845" t="s">
        <v>19</v>
      </c>
      <c r="D2845">
        <v>2</v>
      </c>
      <c r="E2845" t="s">
        <v>10</v>
      </c>
      <c r="F2845">
        <v>89000</v>
      </c>
      <c r="G2845">
        <v>65000</v>
      </c>
      <c r="H2845">
        <f>Table1[[#This Row],[Qty]]*Table1[[#This Row],[SellingPrice]]</f>
        <v>178000</v>
      </c>
      <c r="I2845">
        <f>Table1[[#This Row],[Qty]]*Table1[[#This Row],[CostPrice]]</f>
        <v>130000</v>
      </c>
      <c r="J2845">
        <v>47664</v>
      </c>
      <c r="K2845">
        <v>335.99999999999994</v>
      </c>
      <c r="L2845" t="s">
        <v>8</v>
      </c>
      <c r="M2845" t="s">
        <v>29</v>
      </c>
      <c r="N2845">
        <f>MONTH(Table1[[#This Row],[SaleDate]])</f>
        <v>11</v>
      </c>
      <c r="O2845" t="str">
        <f>TEXT(Table1[[#This Row],[SaleDate]],"MMM")</f>
        <v>Nov</v>
      </c>
    </row>
    <row r="2846" spans="1:15">
      <c r="A2846" s="1">
        <v>45244</v>
      </c>
      <c r="B2846" t="s">
        <v>24</v>
      </c>
      <c r="C2846" t="s">
        <v>22</v>
      </c>
      <c r="D2846">
        <v>2</v>
      </c>
      <c r="E2846" t="s">
        <v>7</v>
      </c>
      <c r="F2846">
        <v>33000</v>
      </c>
      <c r="G2846">
        <v>18000</v>
      </c>
      <c r="H2846">
        <f>Table1[[#This Row],[Qty]]*Table1[[#This Row],[SellingPrice]]</f>
        <v>66000</v>
      </c>
      <c r="I2846">
        <f>Table1[[#This Row],[Qty]]*Table1[[#This Row],[CostPrice]]</f>
        <v>36000</v>
      </c>
      <c r="J2846">
        <v>29790</v>
      </c>
      <c r="K2846">
        <v>209.99999999999997</v>
      </c>
      <c r="L2846" t="s">
        <v>12</v>
      </c>
      <c r="M2846" t="s">
        <v>30</v>
      </c>
      <c r="N2846">
        <f>MONTH(Table1[[#This Row],[SaleDate]])</f>
        <v>11</v>
      </c>
      <c r="O2846" t="str">
        <f>TEXT(Table1[[#This Row],[SaleDate]],"MMM")</f>
        <v>Nov</v>
      </c>
    </row>
    <row r="2847" spans="1:15">
      <c r="A2847" s="1">
        <v>45244</v>
      </c>
      <c r="B2847" t="s">
        <v>24</v>
      </c>
      <c r="C2847" t="s">
        <v>22</v>
      </c>
      <c r="D2847">
        <v>2</v>
      </c>
      <c r="E2847" t="s">
        <v>9</v>
      </c>
      <c r="F2847">
        <v>60000</v>
      </c>
      <c r="G2847">
        <v>31000</v>
      </c>
      <c r="H2847">
        <f>Table1[[#This Row],[Qty]]*Table1[[#This Row],[SellingPrice]]</f>
        <v>120000</v>
      </c>
      <c r="I2847">
        <f>Table1[[#This Row],[Qty]]*Table1[[#This Row],[CostPrice]]</f>
        <v>62000</v>
      </c>
      <c r="J2847">
        <v>57594</v>
      </c>
      <c r="K2847">
        <v>405.99999999999994</v>
      </c>
      <c r="L2847" t="s">
        <v>12</v>
      </c>
      <c r="M2847" t="s">
        <v>27</v>
      </c>
      <c r="N2847">
        <f>MONTH(Table1[[#This Row],[SaleDate]])</f>
        <v>11</v>
      </c>
      <c r="O2847" t="str">
        <f>TEXT(Table1[[#This Row],[SaleDate]],"MMM")</f>
        <v>Nov</v>
      </c>
    </row>
    <row r="2848" spans="1:15">
      <c r="A2848" s="1">
        <v>45244</v>
      </c>
      <c r="B2848" t="s">
        <v>24</v>
      </c>
      <c r="C2848" t="s">
        <v>22</v>
      </c>
      <c r="D2848">
        <v>2</v>
      </c>
      <c r="E2848" t="s">
        <v>10</v>
      </c>
      <c r="F2848">
        <v>89000</v>
      </c>
      <c r="G2848">
        <v>65000</v>
      </c>
      <c r="H2848">
        <f>Table1[[#This Row],[Qty]]*Table1[[#This Row],[SellingPrice]]</f>
        <v>178000</v>
      </c>
      <c r="I2848">
        <f>Table1[[#This Row],[Qty]]*Table1[[#This Row],[CostPrice]]</f>
        <v>130000</v>
      </c>
      <c r="J2848">
        <v>47664</v>
      </c>
      <c r="K2848">
        <v>335.99999999999994</v>
      </c>
      <c r="L2848" t="s">
        <v>12</v>
      </c>
      <c r="M2848" t="s">
        <v>30</v>
      </c>
      <c r="N2848">
        <f>MONTH(Table1[[#This Row],[SaleDate]])</f>
        <v>11</v>
      </c>
      <c r="O2848" t="str">
        <f>TEXT(Table1[[#This Row],[SaleDate]],"MMM")</f>
        <v>Nov</v>
      </c>
    </row>
    <row r="2849" spans="1:15">
      <c r="A2849" s="1">
        <v>45244</v>
      </c>
      <c r="B2849" t="s">
        <v>25</v>
      </c>
      <c r="C2849" t="s">
        <v>21</v>
      </c>
      <c r="D2849">
        <v>2</v>
      </c>
      <c r="E2849" t="s">
        <v>7</v>
      </c>
      <c r="F2849">
        <v>33000</v>
      </c>
      <c r="G2849">
        <v>18000</v>
      </c>
      <c r="H2849">
        <f>Table1[[#This Row],[Qty]]*Table1[[#This Row],[SellingPrice]]</f>
        <v>66000</v>
      </c>
      <c r="I2849">
        <f>Table1[[#This Row],[Qty]]*Table1[[#This Row],[CostPrice]]</f>
        <v>36000</v>
      </c>
      <c r="J2849">
        <v>29790</v>
      </c>
      <c r="K2849">
        <v>209.99999999999997</v>
      </c>
      <c r="L2849" t="s">
        <v>13</v>
      </c>
      <c r="M2849" t="s">
        <v>30</v>
      </c>
      <c r="N2849">
        <f>MONTH(Table1[[#This Row],[SaleDate]])</f>
        <v>11</v>
      </c>
      <c r="O2849" t="str">
        <f>TEXT(Table1[[#This Row],[SaleDate]],"MMM")</f>
        <v>Nov</v>
      </c>
    </row>
    <row r="2850" spans="1:15">
      <c r="A2850" s="1">
        <v>45244</v>
      </c>
      <c r="B2850" t="s">
        <v>25</v>
      </c>
      <c r="C2850" t="s">
        <v>21</v>
      </c>
      <c r="D2850">
        <v>2</v>
      </c>
      <c r="E2850" t="s">
        <v>9</v>
      </c>
      <c r="F2850">
        <v>60000</v>
      </c>
      <c r="G2850">
        <v>31000</v>
      </c>
      <c r="H2850">
        <f>Table1[[#This Row],[Qty]]*Table1[[#This Row],[SellingPrice]]</f>
        <v>120000</v>
      </c>
      <c r="I2850">
        <f>Table1[[#This Row],[Qty]]*Table1[[#This Row],[CostPrice]]</f>
        <v>62000</v>
      </c>
      <c r="J2850">
        <v>57594</v>
      </c>
      <c r="K2850">
        <v>405.99999999999994</v>
      </c>
      <c r="L2850" t="s">
        <v>13</v>
      </c>
      <c r="M2850" t="s">
        <v>29</v>
      </c>
      <c r="N2850">
        <f>MONTH(Table1[[#This Row],[SaleDate]])</f>
        <v>11</v>
      </c>
      <c r="O2850" t="str">
        <f>TEXT(Table1[[#This Row],[SaleDate]],"MMM")</f>
        <v>Nov</v>
      </c>
    </row>
    <row r="2851" spans="1:15">
      <c r="A2851" s="1">
        <v>45244</v>
      </c>
      <c r="B2851" t="s">
        <v>25</v>
      </c>
      <c r="C2851" t="s">
        <v>21</v>
      </c>
      <c r="D2851">
        <v>2</v>
      </c>
      <c r="E2851" t="s">
        <v>10</v>
      </c>
      <c r="F2851">
        <v>89000</v>
      </c>
      <c r="G2851">
        <v>65000</v>
      </c>
      <c r="H2851">
        <f>Table1[[#This Row],[Qty]]*Table1[[#This Row],[SellingPrice]]</f>
        <v>178000</v>
      </c>
      <c r="I2851">
        <f>Table1[[#This Row],[Qty]]*Table1[[#This Row],[CostPrice]]</f>
        <v>130000</v>
      </c>
      <c r="J2851">
        <v>47664</v>
      </c>
      <c r="K2851">
        <v>335.99999999999994</v>
      </c>
      <c r="L2851" t="s">
        <v>13</v>
      </c>
      <c r="M2851" t="s">
        <v>30</v>
      </c>
      <c r="N2851">
        <f>MONTH(Table1[[#This Row],[SaleDate]])</f>
        <v>11</v>
      </c>
      <c r="O2851" t="str">
        <f>TEXT(Table1[[#This Row],[SaleDate]],"MMM")</f>
        <v>Nov</v>
      </c>
    </row>
    <row r="2852" spans="1:15">
      <c r="A2852" s="1">
        <v>45245</v>
      </c>
      <c r="B2852" t="s">
        <v>23</v>
      </c>
      <c r="C2852" t="s">
        <v>19</v>
      </c>
      <c r="D2852">
        <v>1</v>
      </c>
      <c r="E2852" t="s">
        <v>7</v>
      </c>
      <c r="F2852">
        <v>33000</v>
      </c>
      <c r="G2852">
        <v>18000</v>
      </c>
      <c r="H2852">
        <f>Table1[[#This Row],[Qty]]*Table1[[#This Row],[SellingPrice]]</f>
        <v>33000</v>
      </c>
      <c r="I2852">
        <f>Table1[[#This Row],[Qty]]*Table1[[#This Row],[CostPrice]]</f>
        <v>18000</v>
      </c>
      <c r="J2852">
        <v>14895</v>
      </c>
      <c r="K2852">
        <v>104.99999999999999</v>
      </c>
      <c r="L2852" t="s">
        <v>8</v>
      </c>
      <c r="M2852" t="s">
        <v>29</v>
      </c>
      <c r="N2852">
        <f>MONTH(Table1[[#This Row],[SaleDate]])</f>
        <v>11</v>
      </c>
      <c r="O2852" t="str">
        <f>TEXT(Table1[[#This Row],[SaleDate]],"MMM")</f>
        <v>Nov</v>
      </c>
    </row>
    <row r="2853" spans="1:15">
      <c r="A2853" s="1">
        <v>45245</v>
      </c>
      <c r="B2853" t="s">
        <v>23</v>
      </c>
      <c r="C2853" t="s">
        <v>19</v>
      </c>
      <c r="D2853">
        <v>1</v>
      </c>
      <c r="E2853" t="s">
        <v>9</v>
      </c>
      <c r="F2853">
        <v>60000</v>
      </c>
      <c r="G2853">
        <v>31000</v>
      </c>
      <c r="H2853">
        <f>Table1[[#This Row],[Qty]]*Table1[[#This Row],[SellingPrice]]</f>
        <v>60000</v>
      </c>
      <c r="I2853">
        <f>Table1[[#This Row],[Qty]]*Table1[[#This Row],[CostPrice]]</f>
        <v>31000</v>
      </c>
      <c r="J2853">
        <v>28797</v>
      </c>
      <c r="K2853">
        <v>202.99999999999997</v>
      </c>
      <c r="L2853" t="s">
        <v>8</v>
      </c>
      <c r="M2853" t="s">
        <v>28</v>
      </c>
      <c r="N2853">
        <f>MONTH(Table1[[#This Row],[SaleDate]])</f>
        <v>11</v>
      </c>
      <c r="O2853" t="str">
        <f>TEXT(Table1[[#This Row],[SaleDate]],"MMM")</f>
        <v>Nov</v>
      </c>
    </row>
    <row r="2854" spans="1:15">
      <c r="A2854" s="1">
        <v>45245</v>
      </c>
      <c r="B2854" t="s">
        <v>23</v>
      </c>
      <c r="C2854" t="s">
        <v>19</v>
      </c>
      <c r="D2854">
        <v>1</v>
      </c>
      <c r="E2854" t="s">
        <v>10</v>
      </c>
      <c r="F2854">
        <v>89000</v>
      </c>
      <c r="G2854">
        <v>65000</v>
      </c>
      <c r="H2854">
        <f>Table1[[#This Row],[Qty]]*Table1[[#This Row],[SellingPrice]]</f>
        <v>89000</v>
      </c>
      <c r="I2854">
        <f>Table1[[#This Row],[Qty]]*Table1[[#This Row],[CostPrice]]</f>
        <v>65000</v>
      </c>
      <c r="J2854">
        <v>23832</v>
      </c>
      <c r="K2854">
        <v>167.99999999999997</v>
      </c>
      <c r="L2854" t="s">
        <v>8</v>
      </c>
      <c r="M2854" t="s">
        <v>27</v>
      </c>
      <c r="N2854">
        <f>MONTH(Table1[[#This Row],[SaleDate]])</f>
        <v>11</v>
      </c>
      <c r="O2854" t="str">
        <f>TEXT(Table1[[#This Row],[SaleDate]],"MMM")</f>
        <v>Nov</v>
      </c>
    </row>
    <row r="2855" spans="1:15">
      <c r="A2855" s="1">
        <v>45245</v>
      </c>
      <c r="B2855" t="s">
        <v>24</v>
      </c>
      <c r="C2855" t="s">
        <v>22</v>
      </c>
      <c r="D2855">
        <v>1</v>
      </c>
      <c r="E2855" t="s">
        <v>7</v>
      </c>
      <c r="F2855">
        <v>33000</v>
      </c>
      <c r="G2855">
        <v>18000</v>
      </c>
      <c r="H2855">
        <f>Table1[[#This Row],[Qty]]*Table1[[#This Row],[SellingPrice]]</f>
        <v>33000</v>
      </c>
      <c r="I2855">
        <f>Table1[[#This Row],[Qty]]*Table1[[#This Row],[CostPrice]]</f>
        <v>18000</v>
      </c>
      <c r="J2855">
        <v>14895</v>
      </c>
      <c r="K2855">
        <v>104.99999999999999</v>
      </c>
      <c r="L2855" t="s">
        <v>12</v>
      </c>
      <c r="M2855" t="s">
        <v>29</v>
      </c>
      <c r="N2855">
        <f>MONTH(Table1[[#This Row],[SaleDate]])</f>
        <v>11</v>
      </c>
      <c r="O2855" t="str">
        <f>TEXT(Table1[[#This Row],[SaleDate]],"MMM")</f>
        <v>Nov</v>
      </c>
    </row>
    <row r="2856" spans="1:15">
      <c r="A2856" s="1">
        <v>45245</v>
      </c>
      <c r="B2856" t="s">
        <v>24</v>
      </c>
      <c r="C2856" t="s">
        <v>22</v>
      </c>
      <c r="D2856">
        <v>1</v>
      </c>
      <c r="E2856" t="s">
        <v>9</v>
      </c>
      <c r="F2856">
        <v>60000</v>
      </c>
      <c r="G2856">
        <v>31000</v>
      </c>
      <c r="H2856">
        <f>Table1[[#This Row],[Qty]]*Table1[[#This Row],[SellingPrice]]</f>
        <v>60000</v>
      </c>
      <c r="I2856">
        <f>Table1[[#This Row],[Qty]]*Table1[[#This Row],[CostPrice]]</f>
        <v>31000</v>
      </c>
      <c r="J2856">
        <v>28797</v>
      </c>
      <c r="K2856">
        <v>202.99999999999997</v>
      </c>
      <c r="L2856" t="s">
        <v>12</v>
      </c>
      <c r="M2856" t="s">
        <v>29</v>
      </c>
      <c r="N2856">
        <f>MONTH(Table1[[#This Row],[SaleDate]])</f>
        <v>11</v>
      </c>
      <c r="O2856" t="str">
        <f>TEXT(Table1[[#This Row],[SaleDate]],"MMM")</f>
        <v>Nov</v>
      </c>
    </row>
    <row r="2857" spans="1:15">
      <c r="A2857" s="1">
        <v>45245</v>
      </c>
      <c r="B2857" t="s">
        <v>24</v>
      </c>
      <c r="C2857" t="s">
        <v>22</v>
      </c>
      <c r="D2857">
        <v>1</v>
      </c>
      <c r="E2857" t="s">
        <v>10</v>
      </c>
      <c r="F2857">
        <v>89000</v>
      </c>
      <c r="G2857">
        <v>65000</v>
      </c>
      <c r="H2857">
        <f>Table1[[#This Row],[Qty]]*Table1[[#This Row],[SellingPrice]]</f>
        <v>89000</v>
      </c>
      <c r="I2857">
        <f>Table1[[#This Row],[Qty]]*Table1[[#This Row],[CostPrice]]</f>
        <v>65000</v>
      </c>
      <c r="J2857">
        <v>23832</v>
      </c>
      <c r="K2857">
        <v>167.99999999999997</v>
      </c>
      <c r="L2857" t="s">
        <v>12</v>
      </c>
      <c r="M2857" t="s">
        <v>27</v>
      </c>
      <c r="N2857">
        <f>MONTH(Table1[[#This Row],[SaleDate]])</f>
        <v>11</v>
      </c>
      <c r="O2857" t="str">
        <f>TEXT(Table1[[#This Row],[SaleDate]],"MMM")</f>
        <v>Nov</v>
      </c>
    </row>
    <row r="2858" spans="1:15">
      <c r="A2858" s="1">
        <v>45245</v>
      </c>
      <c r="B2858" t="s">
        <v>25</v>
      </c>
      <c r="C2858" t="s">
        <v>21</v>
      </c>
      <c r="D2858">
        <v>1</v>
      </c>
      <c r="E2858" t="s">
        <v>7</v>
      </c>
      <c r="F2858">
        <v>33000</v>
      </c>
      <c r="G2858">
        <v>18000</v>
      </c>
      <c r="H2858">
        <f>Table1[[#This Row],[Qty]]*Table1[[#This Row],[SellingPrice]]</f>
        <v>33000</v>
      </c>
      <c r="I2858">
        <f>Table1[[#This Row],[Qty]]*Table1[[#This Row],[CostPrice]]</f>
        <v>18000</v>
      </c>
      <c r="J2858">
        <v>14895</v>
      </c>
      <c r="K2858">
        <v>104.99999999999999</v>
      </c>
      <c r="L2858" t="s">
        <v>13</v>
      </c>
      <c r="M2858" t="s">
        <v>27</v>
      </c>
      <c r="N2858">
        <f>MONTH(Table1[[#This Row],[SaleDate]])</f>
        <v>11</v>
      </c>
      <c r="O2858" t="str">
        <f>TEXT(Table1[[#This Row],[SaleDate]],"MMM")</f>
        <v>Nov</v>
      </c>
    </row>
    <row r="2859" spans="1:15">
      <c r="A2859" s="1">
        <v>45245</v>
      </c>
      <c r="B2859" t="s">
        <v>25</v>
      </c>
      <c r="C2859" t="s">
        <v>21</v>
      </c>
      <c r="D2859">
        <v>1</v>
      </c>
      <c r="E2859" t="s">
        <v>9</v>
      </c>
      <c r="F2859">
        <v>60000</v>
      </c>
      <c r="G2859">
        <v>31000</v>
      </c>
      <c r="H2859">
        <f>Table1[[#This Row],[Qty]]*Table1[[#This Row],[SellingPrice]]</f>
        <v>60000</v>
      </c>
      <c r="I2859">
        <f>Table1[[#This Row],[Qty]]*Table1[[#This Row],[CostPrice]]</f>
        <v>31000</v>
      </c>
      <c r="J2859">
        <v>28797</v>
      </c>
      <c r="K2859">
        <v>202.99999999999997</v>
      </c>
      <c r="L2859" t="s">
        <v>13</v>
      </c>
      <c r="M2859" t="s">
        <v>28</v>
      </c>
      <c r="N2859">
        <f>MONTH(Table1[[#This Row],[SaleDate]])</f>
        <v>11</v>
      </c>
      <c r="O2859" t="str">
        <f>TEXT(Table1[[#This Row],[SaleDate]],"MMM")</f>
        <v>Nov</v>
      </c>
    </row>
    <row r="2860" spans="1:15">
      <c r="A2860" s="1">
        <v>45245</v>
      </c>
      <c r="B2860" t="s">
        <v>25</v>
      </c>
      <c r="C2860" t="s">
        <v>21</v>
      </c>
      <c r="D2860">
        <v>1</v>
      </c>
      <c r="E2860" t="s">
        <v>10</v>
      </c>
      <c r="F2860">
        <v>89000</v>
      </c>
      <c r="G2860">
        <v>65000</v>
      </c>
      <c r="H2860">
        <f>Table1[[#This Row],[Qty]]*Table1[[#This Row],[SellingPrice]]</f>
        <v>89000</v>
      </c>
      <c r="I2860">
        <f>Table1[[#This Row],[Qty]]*Table1[[#This Row],[CostPrice]]</f>
        <v>65000</v>
      </c>
      <c r="J2860">
        <v>23832</v>
      </c>
      <c r="K2860">
        <v>167.99999999999997</v>
      </c>
      <c r="L2860" t="s">
        <v>13</v>
      </c>
      <c r="M2860" t="s">
        <v>28</v>
      </c>
      <c r="N2860">
        <f>MONTH(Table1[[#This Row],[SaleDate]])</f>
        <v>11</v>
      </c>
      <c r="O2860" t="str">
        <f>TEXT(Table1[[#This Row],[SaleDate]],"MMM")</f>
        <v>Nov</v>
      </c>
    </row>
    <row r="2861" spans="1:15">
      <c r="A2861" s="1">
        <v>45246</v>
      </c>
      <c r="B2861" t="s">
        <v>23</v>
      </c>
      <c r="C2861" t="s">
        <v>19</v>
      </c>
      <c r="D2861">
        <v>1</v>
      </c>
      <c r="E2861" t="s">
        <v>7</v>
      </c>
      <c r="F2861">
        <v>33000</v>
      </c>
      <c r="G2861">
        <v>18000</v>
      </c>
      <c r="H2861">
        <f>Table1[[#This Row],[Qty]]*Table1[[#This Row],[SellingPrice]]</f>
        <v>33000</v>
      </c>
      <c r="I2861">
        <f>Table1[[#This Row],[Qty]]*Table1[[#This Row],[CostPrice]]</f>
        <v>18000</v>
      </c>
      <c r="J2861">
        <v>14895</v>
      </c>
      <c r="K2861">
        <v>104.99999999999999</v>
      </c>
      <c r="L2861" t="s">
        <v>8</v>
      </c>
      <c r="M2861" t="s">
        <v>27</v>
      </c>
      <c r="N2861">
        <f>MONTH(Table1[[#This Row],[SaleDate]])</f>
        <v>11</v>
      </c>
      <c r="O2861" t="str">
        <f>TEXT(Table1[[#This Row],[SaleDate]],"MMM")</f>
        <v>Nov</v>
      </c>
    </row>
    <row r="2862" spans="1:15">
      <c r="A2862" s="1">
        <v>45246</v>
      </c>
      <c r="B2862" t="s">
        <v>23</v>
      </c>
      <c r="C2862" t="s">
        <v>19</v>
      </c>
      <c r="D2862">
        <v>1</v>
      </c>
      <c r="E2862" t="s">
        <v>9</v>
      </c>
      <c r="F2862">
        <v>60000</v>
      </c>
      <c r="G2862">
        <v>31000</v>
      </c>
      <c r="H2862">
        <f>Table1[[#This Row],[Qty]]*Table1[[#This Row],[SellingPrice]]</f>
        <v>60000</v>
      </c>
      <c r="I2862">
        <f>Table1[[#This Row],[Qty]]*Table1[[#This Row],[CostPrice]]</f>
        <v>31000</v>
      </c>
      <c r="J2862">
        <v>28797</v>
      </c>
      <c r="K2862">
        <v>202.99999999999997</v>
      </c>
      <c r="L2862" t="s">
        <v>8</v>
      </c>
      <c r="M2862" t="s">
        <v>29</v>
      </c>
      <c r="N2862">
        <f>MONTH(Table1[[#This Row],[SaleDate]])</f>
        <v>11</v>
      </c>
      <c r="O2862" t="str">
        <f>TEXT(Table1[[#This Row],[SaleDate]],"MMM")</f>
        <v>Nov</v>
      </c>
    </row>
    <row r="2863" spans="1:15">
      <c r="A2863" s="1">
        <v>45246</v>
      </c>
      <c r="B2863" t="s">
        <v>23</v>
      </c>
      <c r="C2863" t="s">
        <v>19</v>
      </c>
      <c r="D2863">
        <v>1</v>
      </c>
      <c r="E2863" t="s">
        <v>10</v>
      </c>
      <c r="F2863">
        <v>89000</v>
      </c>
      <c r="G2863">
        <v>65000</v>
      </c>
      <c r="H2863">
        <f>Table1[[#This Row],[Qty]]*Table1[[#This Row],[SellingPrice]]</f>
        <v>89000</v>
      </c>
      <c r="I2863">
        <f>Table1[[#This Row],[Qty]]*Table1[[#This Row],[CostPrice]]</f>
        <v>65000</v>
      </c>
      <c r="J2863">
        <v>23832</v>
      </c>
      <c r="K2863">
        <v>167.99999999999997</v>
      </c>
      <c r="L2863" t="s">
        <v>8</v>
      </c>
      <c r="M2863" t="s">
        <v>30</v>
      </c>
      <c r="N2863">
        <f>MONTH(Table1[[#This Row],[SaleDate]])</f>
        <v>11</v>
      </c>
      <c r="O2863" t="str">
        <f>TEXT(Table1[[#This Row],[SaleDate]],"MMM")</f>
        <v>Nov</v>
      </c>
    </row>
    <row r="2864" spans="1:15">
      <c r="A2864" s="1">
        <v>45246</v>
      </c>
      <c r="B2864" t="s">
        <v>24</v>
      </c>
      <c r="C2864" t="s">
        <v>22</v>
      </c>
      <c r="D2864">
        <v>1</v>
      </c>
      <c r="E2864" t="s">
        <v>7</v>
      </c>
      <c r="F2864">
        <v>33000</v>
      </c>
      <c r="G2864">
        <v>18000</v>
      </c>
      <c r="H2864">
        <f>Table1[[#This Row],[Qty]]*Table1[[#This Row],[SellingPrice]]</f>
        <v>33000</v>
      </c>
      <c r="I2864">
        <f>Table1[[#This Row],[Qty]]*Table1[[#This Row],[CostPrice]]</f>
        <v>18000</v>
      </c>
      <c r="J2864">
        <v>14895</v>
      </c>
      <c r="K2864">
        <v>104.99999999999999</v>
      </c>
      <c r="L2864" t="s">
        <v>12</v>
      </c>
      <c r="M2864" t="s">
        <v>30</v>
      </c>
      <c r="N2864">
        <f>MONTH(Table1[[#This Row],[SaleDate]])</f>
        <v>11</v>
      </c>
      <c r="O2864" t="str">
        <f>TEXT(Table1[[#This Row],[SaleDate]],"MMM")</f>
        <v>Nov</v>
      </c>
    </row>
    <row r="2865" spans="1:15">
      <c r="A2865" s="1">
        <v>45246</v>
      </c>
      <c r="B2865" t="s">
        <v>24</v>
      </c>
      <c r="C2865" t="s">
        <v>22</v>
      </c>
      <c r="D2865">
        <v>1</v>
      </c>
      <c r="E2865" t="s">
        <v>9</v>
      </c>
      <c r="F2865">
        <v>60000</v>
      </c>
      <c r="G2865">
        <v>31000</v>
      </c>
      <c r="H2865">
        <f>Table1[[#This Row],[Qty]]*Table1[[#This Row],[SellingPrice]]</f>
        <v>60000</v>
      </c>
      <c r="I2865">
        <f>Table1[[#This Row],[Qty]]*Table1[[#This Row],[CostPrice]]</f>
        <v>31000</v>
      </c>
      <c r="J2865">
        <v>28797</v>
      </c>
      <c r="K2865">
        <v>202.99999999999997</v>
      </c>
      <c r="L2865" t="s">
        <v>12</v>
      </c>
      <c r="M2865" t="s">
        <v>30</v>
      </c>
      <c r="N2865">
        <f>MONTH(Table1[[#This Row],[SaleDate]])</f>
        <v>11</v>
      </c>
      <c r="O2865" t="str">
        <f>TEXT(Table1[[#This Row],[SaleDate]],"MMM")</f>
        <v>Nov</v>
      </c>
    </row>
    <row r="2866" spans="1:15">
      <c r="A2866" s="1">
        <v>45246</v>
      </c>
      <c r="B2866" t="s">
        <v>24</v>
      </c>
      <c r="C2866" t="s">
        <v>22</v>
      </c>
      <c r="D2866">
        <v>1</v>
      </c>
      <c r="E2866" t="s">
        <v>10</v>
      </c>
      <c r="F2866">
        <v>89000</v>
      </c>
      <c r="G2866">
        <v>65000</v>
      </c>
      <c r="H2866">
        <f>Table1[[#This Row],[Qty]]*Table1[[#This Row],[SellingPrice]]</f>
        <v>89000</v>
      </c>
      <c r="I2866">
        <f>Table1[[#This Row],[Qty]]*Table1[[#This Row],[CostPrice]]</f>
        <v>65000</v>
      </c>
      <c r="J2866">
        <v>23832</v>
      </c>
      <c r="K2866">
        <v>167.99999999999997</v>
      </c>
      <c r="L2866" t="s">
        <v>12</v>
      </c>
      <c r="M2866" t="s">
        <v>30</v>
      </c>
      <c r="N2866">
        <f>MONTH(Table1[[#This Row],[SaleDate]])</f>
        <v>11</v>
      </c>
      <c r="O2866" t="str">
        <f>TEXT(Table1[[#This Row],[SaleDate]],"MMM")</f>
        <v>Nov</v>
      </c>
    </row>
    <row r="2867" spans="1:15">
      <c r="A2867" s="1">
        <v>45246</v>
      </c>
      <c r="B2867" t="s">
        <v>25</v>
      </c>
      <c r="C2867" t="s">
        <v>21</v>
      </c>
      <c r="D2867">
        <v>1</v>
      </c>
      <c r="E2867" t="s">
        <v>7</v>
      </c>
      <c r="F2867">
        <v>33000</v>
      </c>
      <c r="G2867">
        <v>18000</v>
      </c>
      <c r="H2867">
        <f>Table1[[#This Row],[Qty]]*Table1[[#This Row],[SellingPrice]]</f>
        <v>33000</v>
      </c>
      <c r="I2867">
        <f>Table1[[#This Row],[Qty]]*Table1[[#This Row],[CostPrice]]</f>
        <v>18000</v>
      </c>
      <c r="J2867">
        <v>14895</v>
      </c>
      <c r="K2867">
        <v>104.99999999999999</v>
      </c>
      <c r="L2867" t="s">
        <v>13</v>
      </c>
      <c r="M2867" t="s">
        <v>30</v>
      </c>
      <c r="N2867">
        <f>MONTH(Table1[[#This Row],[SaleDate]])</f>
        <v>11</v>
      </c>
      <c r="O2867" t="str">
        <f>TEXT(Table1[[#This Row],[SaleDate]],"MMM")</f>
        <v>Nov</v>
      </c>
    </row>
    <row r="2868" spans="1:15">
      <c r="A2868" s="1">
        <v>45246</v>
      </c>
      <c r="B2868" t="s">
        <v>25</v>
      </c>
      <c r="C2868" t="s">
        <v>21</v>
      </c>
      <c r="D2868">
        <v>1</v>
      </c>
      <c r="E2868" t="s">
        <v>9</v>
      </c>
      <c r="F2868">
        <v>60000</v>
      </c>
      <c r="G2868">
        <v>31000</v>
      </c>
      <c r="H2868">
        <f>Table1[[#This Row],[Qty]]*Table1[[#This Row],[SellingPrice]]</f>
        <v>60000</v>
      </c>
      <c r="I2868">
        <f>Table1[[#This Row],[Qty]]*Table1[[#This Row],[CostPrice]]</f>
        <v>31000</v>
      </c>
      <c r="J2868">
        <v>28797</v>
      </c>
      <c r="K2868">
        <v>202.99999999999997</v>
      </c>
      <c r="L2868" t="s">
        <v>13</v>
      </c>
      <c r="M2868" t="s">
        <v>29</v>
      </c>
      <c r="N2868">
        <f>MONTH(Table1[[#This Row],[SaleDate]])</f>
        <v>11</v>
      </c>
      <c r="O2868" t="str">
        <f>TEXT(Table1[[#This Row],[SaleDate]],"MMM")</f>
        <v>Nov</v>
      </c>
    </row>
    <row r="2869" spans="1:15">
      <c r="A2869" s="1">
        <v>45246</v>
      </c>
      <c r="B2869" t="s">
        <v>25</v>
      </c>
      <c r="C2869" t="s">
        <v>21</v>
      </c>
      <c r="D2869">
        <v>1</v>
      </c>
      <c r="E2869" t="s">
        <v>10</v>
      </c>
      <c r="F2869">
        <v>89000</v>
      </c>
      <c r="G2869">
        <v>65000</v>
      </c>
      <c r="H2869">
        <f>Table1[[#This Row],[Qty]]*Table1[[#This Row],[SellingPrice]]</f>
        <v>89000</v>
      </c>
      <c r="I2869">
        <f>Table1[[#This Row],[Qty]]*Table1[[#This Row],[CostPrice]]</f>
        <v>65000</v>
      </c>
      <c r="J2869">
        <v>23832</v>
      </c>
      <c r="K2869">
        <v>167.99999999999997</v>
      </c>
      <c r="L2869" t="s">
        <v>13</v>
      </c>
      <c r="M2869" t="s">
        <v>28</v>
      </c>
      <c r="N2869">
        <f>MONTH(Table1[[#This Row],[SaleDate]])</f>
        <v>11</v>
      </c>
      <c r="O2869" t="str">
        <f>TEXT(Table1[[#This Row],[SaleDate]],"MMM")</f>
        <v>Nov</v>
      </c>
    </row>
    <row r="2870" spans="1:15">
      <c r="A2870" s="1">
        <v>45247</v>
      </c>
      <c r="B2870" t="s">
        <v>23</v>
      </c>
      <c r="C2870" t="s">
        <v>19</v>
      </c>
      <c r="D2870">
        <v>1</v>
      </c>
      <c r="E2870" t="s">
        <v>7</v>
      </c>
      <c r="F2870">
        <v>33000</v>
      </c>
      <c r="G2870">
        <v>18000</v>
      </c>
      <c r="H2870">
        <f>Table1[[#This Row],[Qty]]*Table1[[#This Row],[SellingPrice]]</f>
        <v>33000</v>
      </c>
      <c r="I2870">
        <f>Table1[[#This Row],[Qty]]*Table1[[#This Row],[CostPrice]]</f>
        <v>18000</v>
      </c>
      <c r="J2870">
        <v>14895</v>
      </c>
      <c r="K2870">
        <v>104.99999999999999</v>
      </c>
      <c r="L2870" t="s">
        <v>8</v>
      </c>
      <c r="M2870" t="s">
        <v>27</v>
      </c>
      <c r="N2870">
        <f>MONTH(Table1[[#This Row],[SaleDate]])</f>
        <v>11</v>
      </c>
      <c r="O2870" t="str">
        <f>TEXT(Table1[[#This Row],[SaleDate]],"MMM")</f>
        <v>Nov</v>
      </c>
    </row>
    <row r="2871" spans="1:15">
      <c r="A2871" s="1">
        <v>45247</v>
      </c>
      <c r="B2871" t="s">
        <v>23</v>
      </c>
      <c r="C2871" t="s">
        <v>19</v>
      </c>
      <c r="D2871">
        <v>1</v>
      </c>
      <c r="E2871" t="s">
        <v>9</v>
      </c>
      <c r="F2871">
        <v>60000</v>
      </c>
      <c r="G2871">
        <v>31000</v>
      </c>
      <c r="H2871">
        <f>Table1[[#This Row],[Qty]]*Table1[[#This Row],[SellingPrice]]</f>
        <v>60000</v>
      </c>
      <c r="I2871">
        <f>Table1[[#This Row],[Qty]]*Table1[[#This Row],[CostPrice]]</f>
        <v>31000</v>
      </c>
      <c r="J2871">
        <v>28797</v>
      </c>
      <c r="K2871">
        <v>202.99999999999997</v>
      </c>
      <c r="L2871" t="s">
        <v>8</v>
      </c>
      <c r="M2871" t="s">
        <v>29</v>
      </c>
      <c r="N2871">
        <f>MONTH(Table1[[#This Row],[SaleDate]])</f>
        <v>11</v>
      </c>
      <c r="O2871" t="str">
        <f>TEXT(Table1[[#This Row],[SaleDate]],"MMM")</f>
        <v>Nov</v>
      </c>
    </row>
    <row r="2872" spans="1:15">
      <c r="A2872" s="1">
        <v>45247</v>
      </c>
      <c r="B2872" t="s">
        <v>23</v>
      </c>
      <c r="C2872" t="s">
        <v>19</v>
      </c>
      <c r="D2872">
        <v>1</v>
      </c>
      <c r="E2872" t="s">
        <v>10</v>
      </c>
      <c r="F2872">
        <v>89000</v>
      </c>
      <c r="G2872">
        <v>65000</v>
      </c>
      <c r="H2872">
        <f>Table1[[#This Row],[Qty]]*Table1[[#This Row],[SellingPrice]]</f>
        <v>89000</v>
      </c>
      <c r="I2872">
        <f>Table1[[#This Row],[Qty]]*Table1[[#This Row],[CostPrice]]</f>
        <v>65000</v>
      </c>
      <c r="J2872">
        <v>23832</v>
      </c>
      <c r="K2872">
        <v>167.99999999999997</v>
      </c>
      <c r="L2872" t="s">
        <v>8</v>
      </c>
      <c r="M2872" t="s">
        <v>27</v>
      </c>
      <c r="N2872">
        <f>MONTH(Table1[[#This Row],[SaleDate]])</f>
        <v>11</v>
      </c>
      <c r="O2872" t="str">
        <f>TEXT(Table1[[#This Row],[SaleDate]],"MMM")</f>
        <v>Nov</v>
      </c>
    </row>
    <row r="2873" spans="1:15">
      <c r="A2873" s="1">
        <v>45247</v>
      </c>
      <c r="B2873" t="s">
        <v>24</v>
      </c>
      <c r="C2873" t="s">
        <v>22</v>
      </c>
      <c r="D2873">
        <v>1</v>
      </c>
      <c r="E2873" t="s">
        <v>7</v>
      </c>
      <c r="F2873">
        <v>33000</v>
      </c>
      <c r="G2873">
        <v>18000</v>
      </c>
      <c r="H2873">
        <f>Table1[[#This Row],[Qty]]*Table1[[#This Row],[SellingPrice]]</f>
        <v>33000</v>
      </c>
      <c r="I2873">
        <f>Table1[[#This Row],[Qty]]*Table1[[#This Row],[CostPrice]]</f>
        <v>18000</v>
      </c>
      <c r="J2873">
        <v>14895</v>
      </c>
      <c r="K2873">
        <v>104.99999999999999</v>
      </c>
      <c r="L2873" t="s">
        <v>12</v>
      </c>
      <c r="M2873" t="s">
        <v>30</v>
      </c>
      <c r="N2873">
        <f>MONTH(Table1[[#This Row],[SaleDate]])</f>
        <v>11</v>
      </c>
      <c r="O2873" t="str">
        <f>TEXT(Table1[[#This Row],[SaleDate]],"MMM")</f>
        <v>Nov</v>
      </c>
    </row>
    <row r="2874" spans="1:15">
      <c r="A2874" s="1">
        <v>45247</v>
      </c>
      <c r="B2874" t="s">
        <v>24</v>
      </c>
      <c r="C2874" t="s">
        <v>22</v>
      </c>
      <c r="D2874">
        <v>1</v>
      </c>
      <c r="E2874" t="s">
        <v>9</v>
      </c>
      <c r="F2874">
        <v>60000</v>
      </c>
      <c r="G2874">
        <v>31000</v>
      </c>
      <c r="H2874">
        <f>Table1[[#This Row],[Qty]]*Table1[[#This Row],[SellingPrice]]</f>
        <v>60000</v>
      </c>
      <c r="I2874">
        <f>Table1[[#This Row],[Qty]]*Table1[[#This Row],[CostPrice]]</f>
        <v>31000</v>
      </c>
      <c r="J2874">
        <v>28797</v>
      </c>
      <c r="K2874">
        <v>202.99999999999997</v>
      </c>
      <c r="L2874" t="s">
        <v>12</v>
      </c>
      <c r="M2874" t="s">
        <v>27</v>
      </c>
      <c r="N2874">
        <f>MONTH(Table1[[#This Row],[SaleDate]])</f>
        <v>11</v>
      </c>
      <c r="O2874" t="str">
        <f>TEXT(Table1[[#This Row],[SaleDate]],"MMM")</f>
        <v>Nov</v>
      </c>
    </row>
    <row r="2875" spans="1:15">
      <c r="A2875" s="1">
        <v>45247</v>
      </c>
      <c r="B2875" t="s">
        <v>24</v>
      </c>
      <c r="C2875" t="s">
        <v>22</v>
      </c>
      <c r="D2875">
        <v>1</v>
      </c>
      <c r="E2875" t="s">
        <v>10</v>
      </c>
      <c r="F2875">
        <v>89000</v>
      </c>
      <c r="G2875">
        <v>65000</v>
      </c>
      <c r="H2875">
        <f>Table1[[#This Row],[Qty]]*Table1[[#This Row],[SellingPrice]]</f>
        <v>89000</v>
      </c>
      <c r="I2875">
        <f>Table1[[#This Row],[Qty]]*Table1[[#This Row],[CostPrice]]</f>
        <v>65000</v>
      </c>
      <c r="J2875">
        <v>23832</v>
      </c>
      <c r="K2875">
        <v>167.99999999999997</v>
      </c>
      <c r="L2875" t="s">
        <v>12</v>
      </c>
      <c r="M2875" t="s">
        <v>30</v>
      </c>
      <c r="N2875">
        <f>MONTH(Table1[[#This Row],[SaleDate]])</f>
        <v>11</v>
      </c>
      <c r="O2875" t="str">
        <f>TEXT(Table1[[#This Row],[SaleDate]],"MMM")</f>
        <v>Nov</v>
      </c>
    </row>
    <row r="2876" spans="1:15">
      <c r="A2876" s="1">
        <v>45247</v>
      </c>
      <c r="B2876" t="s">
        <v>25</v>
      </c>
      <c r="C2876" t="s">
        <v>21</v>
      </c>
      <c r="D2876">
        <v>1</v>
      </c>
      <c r="E2876" t="s">
        <v>7</v>
      </c>
      <c r="F2876">
        <v>33000</v>
      </c>
      <c r="G2876">
        <v>18000</v>
      </c>
      <c r="H2876">
        <f>Table1[[#This Row],[Qty]]*Table1[[#This Row],[SellingPrice]]</f>
        <v>33000</v>
      </c>
      <c r="I2876">
        <f>Table1[[#This Row],[Qty]]*Table1[[#This Row],[CostPrice]]</f>
        <v>18000</v>
      </c>
      <c r="J2876">
        <v>14895</v>
      </c>
      <c r="K2876">
        <v>104.99999999999999</v>
      </c>
      <c r="L2876" t="s">
        <v>13</v>
      </c>
      <c r="M2876" t="s">
        <v>28</v>
      </c>
      <c r="N2876">
        <f>MONTH(Table1[[#This Row],[SaleDate]])</f>
        <v>11</v>
      </c>
      <c r="O2876" t="str">
        <f>TEXT(Table1[[#This Row],[SaleDate]],"MMM")</f>
        <v>Nov</v>
      </c>
    </row>
    <row r="2877" spans="1:15">
      <c r="A2877" s="1">
        <v>45247</v>
      </c>
      <c r="B2877" t="s">
        <v>25</v>
      </c>
      <c r="C2877" t="s">
        <v>21</v>
      </c>
      <c r="D2877">
        <v>1</v>
      </c>
      <c r="E2877" t="s">
        <v>9</v>
      </c>
      <c r="F2877">
        <v>60000</v>
      </c>
      <c r="G2877">
        <v>31000</v>
      </c>
      <c r="H2877">
        <f>Table1[[#This Row],[Qty]]*Table1[[#This Row],[SellingPrice]]</f>
        <v>60000</v>
      </c>
      <c r="I2877">
        <f>Table1[[#This Row],[Qty]]*Table1[[#This Row],[CostPrice]]</f>
        <v>31000</v>
      </c>
      <c r="J2877">
        <v>28797</v>
      </c>
      <c r="K2877">
        <v>202.99999999999997</v>
      </c>
      <c r="L2877" t="s">
        <v>13</v>
      </c>
      <c r="M2877" t="s">
        <v>27</v>
      </c>
      <c r="N2877">
        <f>MONTH(Table1[[#This Row],[SaleDate]])</f>
        <v>11</v>
      </c>
      <c r="O2877" t="str">
        <f>TEXT(Table1[[#This Row],[SaleDate]],"MMM")</f>
        <v>Nov</v>
      </c>
    </row>
    <row r="2878" spans="1:15">
      <c r="A2878" s="1">
        <v>45247</v>
      </c>
      <c r="B2878" t="s">
        <v>25</v>
      </c>
      <c r="C2878" t="s">
        <v>21</v>
      </c>
      <c r="D2878">
        <v>1</v>
      </c>
      <c r="E2878" t="s">
        <v>10</v>
      </c>
      <c r="F2878">
        <v>89000</v>
      </c>
      <c r="G2878">
        <v>65000</v>
      </c>
      <c r="H2878">
        <f>Table1[[#This Row],[Qty]]*Table1[[#This Row],[SellingPrice]]</f>
        <v>89000</v>
      </c>
      <c r="I2878">
        <f>Table1[[#This Row],[Qty]]*Table1[[#This Row],[CostPrice]]</f>
        <v>65000</v>
      </c>
      <c r="J2878">
        <v>23832</v>
      </c>
      <c r="K2878">
        <v>167.99999999999997</v>
      </c>
      <c r="L2878" t="s">
        <v>13</v>
      </c>
      <c r="M2878" t="s">
        <v>30</v>
      </c>
      <c r="N2878">
        <f>MONTH(Table1[[#This Row],[SaleDate]])</f>
        <v>11</v>
      </c>
      <c r="O2878" t="str">
        <f>TEXT(Table1[[#This Row],[SaleDate]],"MMM")</f>
        <v>Nov</v>
      </c>
    </row>
    <row r="2879" spans="1:15">
      <c r="A2879" s="1">
        <v>45248</v>
      </c>
      <c r="B2879" t="s">
        <v>23</v>
      </c>
      <c r="C2879" t="s">
        <v>19</v>
      </c>
      <c r="D2879">
        <v>1</v>
      </c>
      <c r="E2879" t="s">
        <v>7</v>
      </c>
      <c r="F2879">
        <v>33000</v>
      </c>
      <c r="G2879">
        <v>18000</v>
      </c>
      <c r="H2879">
        <f>Table1[[#This Row],[Qty]]*Table1[[#This Row],[SellingPrice]]</f>
        <v>33000</v>
      </c>
      <c r="I2879">
        <f>Table1[[#This Row],[Qty]]*Table1[[#This Row],[CostPrice]]</f>
        <v>18000</v>
      </c>
      <c r="J2879">
        <v>14895</v>
      </c>
      <c r="K2879">
        <v>104.99999999999999</v>
      </c>
      <c r="L2879" t="s">
        <v>8</v>
      </c>
      <c r="M2879" t="s">
        <v>27</v>
      </c>
      <c r="N2879">
        <f>MONTH(Table1[[#This Row],[SaleDate]])</f>
        <v>11</v>
      </c>
      <c r="O2879" t="str">
        <f>TEXT(Table1[[#This Row],[SaleDate]],"MMM")</f>
        <v>Nov</v>
      </c>
    </row>
    <row r="2880" spans="1:15">
      <c r="A2880" s="1">
        <v>45248</v>
      </c>
      <c r="B2880" t="s">
        <v>23</v>
      </c>
      <c r="C2880" t="s">
        <v>19</v>
      </c>
      <c r="D2880">
        <v>1</v>
      </c>
      <c r="E2880" t="s">
        <v>9</v>
      </c>
      <c r="F2880">
        <v>60000</v>
      </c>
      <c r="G2880">
        <v>31000</v>
      </c>
      <c r="H2880">
        <f>Table1[[#This Row],[Qty]]*Table1[[#This Row],[SellingPrice]]</f>
        <v>60000</v>
      </c>
      <c r="I2880">
        <f>Table1[[#This Row],[Qty]]*Table1[[#This Row],[CostPrice]]</f>
        <v>31000</v>
      </c>
      <c r="J2880">
        <v>28797</v>
      </c>
      <c r="K2880">
        <v>202.99999999999997</v>
      </c>
      <c r="L2880" t="s">
        <v>8</v>
      </c>
      <c r="M2880" t="s">
        <v>29</v>
      </c>
      <c r="N2880">
        <f>MONTH(Table1[[#This Row],[SaleDate]])</f>
        <v>11</v>
      </c>
      <c r="O2880" t="str">
        <f>TEXT(Table1[[#This Row],[SaleDate]],"MMM")</f>
        <v>Nov</v>
      </c>
    </row>
    <row r="2881" spans="1:15">
      <c r="A2881" s="1">
        <v>45248</v>
      </c>
      <c r="B2881" t="s">
        <v>23</v>
      </c>
      <c r="C2881" t="s">
        <v>19</v>
      </c>
      <c r="D2881">
        <v>1</v>
      </c>
      <c r="E2881" t="s">
        <v>10</v>
      </c>
      <c r="F2881">
        <v>89000</v>
      </c>
      <c r="G2881">
        <v>65000</v>
      </c>
      <c r="H2881">
        <f>Table1[[#This Row],[Qty]]*Table1[[#This Row],[SellingPrice]]</f>
        <v>89000</v>
      </c>
      <c r="I2881">
        <f>Table1[[#This Row],[Qty]]*Table1[[#This Row],[CostPrice]]</f>
        <v>65000</v>
      </c>
      <c r="J2881">
        <v>23832</v>
      </c>
      <c r="K2881">
        <v>167.99999999999997</v>
      </c>
      <c r="L2881" t="s">
        <v>8</v>
      </c>
      <c r="M2881" t="s">
        <v>30</v>
      </c>
      <c r="N2881">
        <f>MONTH(Table1[[#This Row],[SaleDate]])</f>
        <v>11</v>
      </c>
      <c r="O2881" t="str">
        <f>TEXT(Table1[[#This Row],[SaleDate]],"MMM")</f>
        <v>Nov</v>
      </c>
    </row>
    <row r="2882" spans="1:15">
      <c r="A2882" s="1">
        <v>45248</v>
      </c>
      <c r="B2882" t="s">
        <v>24</v>
      </c>
      <c r="C2882" t="s">
        <v>22</v>
      </c>
      <c r="D2882">
        <v>1</v>
      </c>
      <c r="E2882" t="s">
        <v>7</v>
      </c>
      <c r="F2882">
        <v>33000</v>
      </c>
      <c r="G2882">
        <v>18000</v>
      </c>
      <c r="H2882">
        <f>Table1[[#This Row],[Qty]]*Table1[[#This Row],[SellingPrice]]</f>
        <v>33000</v>
      </c>
      <c r="I2882">
        <f>Table1[[#This Row],[Qty]]*Table1[[#This Row],[CostPrice]]</f>
        <v>18000</v>
      </c>
      <c r="J2882">
        <v>14895</v>
      </c>
      <c r="K2882">
        <v>104.99999999999999</v>
      </c>
      <c r="L2882" t="s">
        <v>12</v>
      </c>
      <c r="M2882" t="s">
        <v>27</v>
      </c>
      <c r="N2882">
        <f>MONTH(Table1[[#This Row],[SaleDate]])</f>
        <v>11</v>
      </c>
      <c r="O2882" t="str">
        <f>TEXT(Table1[[#This Row],[SaleDate]],"MMM")</f>
        <v>Nov</v>
      </c>
    </row>
    <row r="2883" spans="1:15">
      <c r="A2883" s="1">
        <v>45248</v>
      </c>
      <c r="B2883" t="s">
        <v>24</v>
      </c>
      <c r="C2883" t="s">
        <v>22</v>
      </c>
      <c r="D2883">
        <v>1</v>
      </c>
      <c r="E2883" t="s">
        <v>9</v>
      </c>
      <c r="F2883">
        <v>60000</v>
      </c>
      <c r="G2883">
        <v>31000</v>
      </c>
      <c r="H2883">
        <f>Table1[[#This Row],[Qty]]*Table1[[#This Row],[SellingPrice]]</f>
        <v>60000</v>
      </c>
      <c r="I2883">
        <f>Table1[[#This Row],[Qty]]*Table1[[#This Row],[CostPrice]]</f>
        <v>31000</v>
      </c>
      <c r="J2883">
        <v>28797</v>
      </c>
      <c r="K2883">
        <v>202.99999999999997</v>
      </c>
      <c r="L2883" t="s">
        <v>12</v>
      </c>
      <c r="M2883" t="s">
        <v>29</v>
      </c>
      <c r="N2883">
        <f>MONTH(Table1[[#This Row],[SaleDate]])</f>
        <v>11</v>
      </c>
      <c r="O2883" t="str">
        <f>TEXT(Table1[[#This Row],[SaleDate]],"MMM")</f>
        <v>Nov</v>
      </c>
    </row>
    <row r="2884" spans="1:15">
      <c r="A2884" s="1">
        <v>45248</v>
      </c>
      <c r="B2884" t="s">
        <v>24</v>
      </c>
      <c r="C2884" t="s">
        <v>22</v>
      </c>
      <c r="D2884">
        <v>1</v>
      </c>
      <c r="E2884" t="s">
        <v>10</v>
      </c>
      <c r="F2884">
        <v>89000</v>
      </c>
      <c r="G2884">
        <v>65000</v>
      </c>
      <c r="H2884">
        <f>Table1[[#This Row],[Qty]]*Table1[[#This Row],[SellingPrice]]</f>
        <v>89000</v>
      </c>
      <c r="I2884">
        <f>Table1[[#This Row],[Qty]]*Table1[[#This Row],[CostPrice]]</f>
        <v>65000</v>
      </c>
      <c r="J2884">
        <v>23832</v>
      </c>
      <c r="K2884">
        <v>167.99999999999997</v>
      </c>
      <c r="L2884" t="s">
        <v>12</v>
      </c>
      <c r="M2884" t="s">
        <v>27</v>
      </c>
      <c r="N2884">
        <f>MONTH(Table1[[#This Row],[SaleDate]])</f>
        <v>11</v>
      </c>
      <c r="O2884" t="str">
        <f>TEXT(Table1[[#This Row],[SaleDate]],"MMM")</f>
        <v>Nov</v>
      </c>
    </row>
    <row r="2885" spans="1:15">
      <c r="A2885" s="1">
        <v>45248</v>
      </c>
      <c r="B2885" t="s">
        <v>25</v>
      </c>
      <c r="C2885" t="s">
        <v>21</v>
      </c>
      <c r="D2885">
        <v>1</v>
      </c>
      <c r="E2885" t="s">
        <v>7</v>
      </c>
      <c r="F2885">
        <v>33000</v>
      </c>
      <c r="G2885">
        <v>18000</v>
      </c>
      <c r="H2885">
        <f>Table1[[#This Row],[Qty]]*Table1[[#This Row],[SellingPrice]]</f>
        <v>33000</v>
      </c>
      <c r="I2885">
        <f>Table1[[#This Row],[Qty]]*Table1[[#This Row],[CostPrice]]</f>
        <v>18000</v>
      </c>
      <c r="J2885">
        <v>14895</v>
      </c>
      <c r="K2885">
        <v>104.99999999999999</v>
      </c>
      <c r="L2885" t="s">
        <v>13</v>
      </c>
      <c r="M2885" t="s">
        <v>30</v>
      </c>
      <c r="N2885">
        <f>MONTH(Table1[[#This Row],[SaleDate]])</f>
        <v>11</v>
      </c>
      <c r="O2885" t="str">
        <f>TEXT(Table1[[#This Row],[SaleDate]],"MMM")</f>
        <v>Nov</v>
      </c>
    </row>
    <row r="2886" spans="1:15">
      <c r="A2886" s="1">
        <v>45248</v>
      </c>
      <c r="B2886" t="s">
        <v>25</v>
      </c>
      <c r="C2886" t="s">
        <v>21</v>
      </c>
      <c r="D2886">
        <v>1</v>
      </c>
      <c r="E2886" t="s">
        <v>9</v>
      </c>
      <c r="F2886">
        <v>60000</v>
      </c>
      <c r="G2886">
        <v>31000</v>
      </c>
      <c r="H2886">
        <f>Table1[[#This Row],[Qty]]*Table1[[#This Row],[SellingPrice]]</f>
        <v>60000</v>
      </c>
      <c r="I2886">
        <f>Table1[[#This Row],[Qty]]*Table1[[#This Row],[CostPrice]]</f>
        <v>31000</v>
      </c>
      <c r="J2886">
        <v>28797</v>
      </c>
      <c r="K2886">
        <v>202.99999999999997</v>
      </c>
      <c r="L2886" t="s">
        <v>13</v>
      </c>
      <c r="M2886" t="s">
        <v>27</v>
      </c>
      <c r="N2886">
        <f>MONTH(Table1[[#This Row],[SaleDate]])</f>
        <v>11</v>
      </c>
      <c r="O2886" t="str">
        <f>TEXT(Table1[[#This Row],[SaleDate]],"MMM")</f>
        <v>Nov</v>
      </c>
    </row>
    <row r="2887" spans="1:15">
      <c r="A2887" s="1">
        <v>45248</v>
      </c>
      <c r="B2887" t="s">
        <v>25</v>
      </c>
      <c r="C2887" t="s">
        <v>21</v>
      </c>
      <c r="D2887">
        <v>1</v>
      </c>
      <c r="E2887" t="s">
        <v>10</v>
      </c>
      <c r="F2887">
        <v>89000</v>
      </c>
      <c r="G2887">
        <v>65000</v>
      </c>
      <c r="H2887">
        <f>Table1[[#This Row],[Qty]]*Table1[[#This Row],[SellingPrice]]</f>
        <v>89000</v>
      </c>
      <c r="I2887">
        <f>Table1[[#This Row],[Qty]]*Table1[[#This Row],[CostPrice]]</f>
        <v>65000</v>
      </c>
      <c r="J2887">
        <v>23832</v>
      </c>
      <c r="K2887">
        <v>167.99999999999997</v>
      </c>
      <c r="L2887" t="s">
        <v>13</v>
      </c>
      <c r="M2887" t="s">
        <v>30</v>
      </c>
      <c r="N2887">
        <f>MONTH(Table1[[#This Row],[SaleDate]])</f>
        <v>11</v>
      </c>
      <c r="O2887" t="str">
        <f>TEXT(Table1[[#This Row],[SaleDate]],"MMM")</f>
        <v>Nov</v>
      </c>
    </row>
    <row r="2888" spans="1:15">
      <c r="A2888" s="1">
        <v>45249</v>
      </c>
      <c r="B2888" t="s">
        <v>23</v>
      </c>
      <c r="C2888" t="s">
        <v>19</v>
      </c>
      <c r="D2888">
        <v>1</v>
      </c>
      <c r="E2888" t="s">
        <v>7</v>
      </c>
      <c r="F2888">
        <v>33000</v>
      </c>
      <c r="G2888">
        <v>18000</v>
      </c>
      <c r="H2888">
        <f>Table1[[#This Row],[Qty]]*Table1[[#This Row],[SellingPrice]]</f>
        <v>33000</v>
      </c>
      <c r="I2888">
        <f>Table1[[#This Row],[Qty]]*Table1[[#This Row],[CostPrice]]</f>
        <v>18000</v>
      </c>
      <c r="J2888">
        <v>14895</v>
      </c>
      <c r="K2888">
        <v>104.99999999999999</v>
      </c>
      <c r="L2888" t="s">
        <v>8</v>
      </c>
      <c r="M2888" t="s">
        <v>29</v>
      </c>
      <c r="N2888">
        <f>MONTH(Table1[[#This Row],[SaleDate]])</f>
        <v>11</v>
      </c>
      <c r="O2888" t="str">
        <f>TEXT(Table1[[#This Row],[SaleDate]],"MMM")</f>
        <v>Nov</v>
      </c>
    </row>
    <row r="2889" spans="1:15">
      <c r="A2889" s="1">
        <v>45249</v>
      </c>
      <c r="B2889" t="s">
        <v>23</v>
      </c>
      <c r="C2889" t="s">
        <v>19</v>
      </c>
      <c r="D2889">
        <v>1</v>
      </c>
      <c r="E2889" t="s">
        <v>9</v>
      </c>
      <c r="F2889">
        <v>60000</v>
      </c>
      <c r="G2889">
        <v>31000</v>
      </c>
      <c r="H2889">
        <f>Table1[[#This Row],[Qty]]*Table1[[#This Row],[SellingPrice]]</f>
        <v>60000</v>
      </c>
      <c r="I2889">
        <f>Table1[[#This Row],[Qty]]*Table1[[#This Row],[CostPrice]]</f>
        <v>31000</v>
      </c>
      <c r="J2889">
        <v>28797</v>
      </c>
      <c r="K2889">
        <v>202.99999999999997</v>
      </c>
      <c r="L2889" t="s">
        <v>8</v>
      </c>
      <c r="M2889" t="s">
        <v>27</v>
      </c>
      <c r="N2889">
        <f>MONTH(Table1[[#This Row],[SaleDate]])</f>
        <v>11</v>
      </c>
      <c r="O2889" t="str">
        <f>TEXT(Table1[[#This Row],[SaleDate]],"MMM")</f>
        <v>Nov</v>
      </c>
    </row>
    <row r="2890" spans="1:15">
      <c r="A2890" s="1">
        <v>45249</v>
      </c>
      <c r="B2890" t="s">
        <v>23</v>
      </c>
      <c r="C2890" t="s">
        <v>19</v>
      </c>
      <c r="D2890">
        <v>1</v>
      </c>
      <c r="E2890" t="s">
        <v>10</v>
      </c>
      <c r="F2890">
        <v>89000</v>
      </c>
      <c r="G2890">
        <v>65000</v>
      </c>
      <c r="H2890">
        <f>Table1[[#This Row],[Qty]]*Table1[[#This Row],[SellingPrice]]</f>
        <v>89000</v>
      </c>
      <c r="I2890">
        <f>Table1[[#This Row],[Qty]]*Table1[[#This Row],[CostPrice]]</f>
        <v>65000</v>
      </c>
      <c r="J2890">
        <v>23832</v>
      </c>
      <c r="K2890">
        <v>167.99999999999997</v>
      </c>
      <c r="L2890" t="s">
        <v>8</v>
      </c>
      <c r="M2890" t="s">
        <v>29</v>
      </c>
      <c r="N2890">
        <f>MONTH(Table1[[#This Row],[SaleDate]])</f>
        <v>11</v>
      </c>
      <c r="O2890" t="str">
        <f>TEXT(Table1[[#This Row],[SaleDate]],"MMM")</f>
        <v>Nov</v>
      </c>
    </row>
    <row r="2891" spans="1:15">
      <c r="A2891" s="1">
        <v>45249</v>
      </c>
      <c r="B2891" t="s">
        <v>24</v>
      </c>
      <c r="C2891" t="s">
        <v>22</v>
      </c>
      <c r="D2891">
        <v>1</v>
      </c>
      <c r="E2891" t="s">
        <v>7</v>
      </c>
      <c r="F2891">
        <v>33000</v>
      </c>
      <c r="G2891">
        <v>18000</v>
      </c>
      <c r="H2891">
        <f>Table1[[#This Row],[Qty]]*Table1[[#This Row],[SellingPrice]]</f>
        <v>33000</v>
      </c>
      <c r="I2891">
        <f>Table1[[#This Row],[Qty]]*Table1[[#This Row],[CostPrice]]</f>
        <v>18000</v>
      </c>
      <c r="J2891">
        <v>14895</v>
      </c>
      <c r="K2891">
        <v>104.99999999999999</v>
      </c>
      <c r="L2891" t="s">
        <v>12</v>
      </c>
      <c r="M2891" t="s">
        <v>30</v>
      </c>
      <c r="N2891">
        <f>MONTH(Table1[[#This Row],[SaleDate]])</f>
        <v>11</v>
      </c>
      <c r="O2891" t="str">
        <f>TEXT(Table1[[#This Row],[SaleDate]],"MMM")</f>
        <v>Nov</v>
      </c>
    </row>
    <row r="2892" spans="1:15">
      <c r="A2892" s="1">
        <v>45249</v>
      </c>
      <c r="B2892" t="s">
        <v>24</v>
      </c>
      <c r="C2892" t="s">
        <v>22</v>
      </c>
      <c r="D2892">
        <v>1</v>
      </c>
      <c r="E2892" t="s">
        <v>9</v>
      </c>
      <c r="F2892">
        <v>60000</v>
      </c>
      <c r="G2892">
        <v>31000</v>
      </c>
      <c r="H2892">
        <f>Table1[[#This Row],[Qty]]*Table1[[#This Row],[SellingPrice]]</f>
        <v>60000</v>
      </c>
      <c r="I2892">
        <f>Table1[[#This Row],[Qty]]*Table1[[#This Row],[CostPrice]]</f>
        <v>31000</v>
      </c>
      <c r="J2892">
        <v>28797</v>
      </c>
      <c r="K2892">
        <v>202.99999999999997</v>
      </c>
      <c r="L2892" t="s">
        <v>12</v>
      </c>
      <c r="M2892" t="s">
        <v>30</v>
      </c>
      <c r="N2892">
        <f>MONTH(Table1[[#This Row],[SaleDate]])</f>
        <v>11</v>
      </c>
      <c r="O2892" t="str">
        <f>TEXT(Table1[[#This Row],[SaleDate]],"MMM")</f>
        <v>Nov</v>
      </c>
    </row>
    <row r="2893" spans="1:15">
      <c r="A2893" s="1">
        <v>45249</v>
      </c>
      <c r="B2893" t="s">
        <v>24</v>
      </c>
      <c r="C2893" t="s">
        <v>22</v>
      </c>
      <c r="D2893">
        <v>1</v>
      </c>
      <c r="E2893" t="s">
        <v>10</v>
      </c>
      <c r="F2893">
        <v>89000</v>
      </c>
      <c r="G2893">
        <v>65000</v>
      </c>
      <c r="H2893">
        <f>Table1[[#This Row],[Qty]]*Table1[[#This Row],[SellingPrice]]</f>
        <v>89000</v>
      </c>
      <c r="I2893">
        <f>Table1[[#This Row],[Qty]]*Table1[[#This Row],[CostPrice]]</f>
        <v>65000</v>
      </c>
      <c r="J2893">
        <v>23832</v>
      </c>
      <c r="K2893">
        <v>167.99999999999997</v>
      </c>
      <c r="L2893" t="s">
        <v>12</v>
      </c>
      <c r="M2893" t="s">
        <v>28</v>
      </c>
      <c r="N2893">
        <f>MONTH(Table1[[#This Row],[SaleDate]])</f>
        <v>11</v>
      </c>
      <c r="O2893" t="str">
        <f>TEXT(Table1[[#This Row],[SaleDate]],"MMM")</f>
        <v>Nov</v>
      </c>
    </row>
    <row r="2894" spans="1:15">
      <c r="A2894" s="1">
        <v>45249</v>
      </c>
      <c r="B2894" t="s">
        <v>25</v>
      </c>
      <c r="C2894" t="s">
        <v>21</v>
      </c>
      <c r="D2894">
        <v>1</v>
      </c>
      <c r="E2894" t="s">
        <v>7</v>
      </c>
      <c r="F2894">
        <v>33000</v>
      </c>
      <c r="G2894">
        <v>18000</v>
      </c>
      <c r="H2894">
        <f>Table1[[#This Row],[Qty]]*Table1[[#This Row],[SellingPrice]]</f>
        <v>33000</v>
      </c>
      <c r="I2894">
        <f>Table1[[#This Row],[Qty]]*Table1[[#This Row],[CostPrice]]</f>
        <v>18000</v>
      </c>
      <c r="J2894">
        <v>14895</v>
      </c>
      <c r="K2894">
        <v>104.99999999999999</v>
      </c>
      <c r="L2894" t="s">
        <v>13</v>
      </c>
      <c r="M2894" t="s">
        <v>28</v>
      </c>
      <c r="N2894">
        <f>MONTH(Table1[[#This Row],[SaleDate]])</f>
        <v>11</v>
      </c>
      <c r="O2894" t="str">
        <f>TEXT(Table1[[#This Row],[SaleDate]],"MMM")</f>
        <v>Nov</v>
      </c>
    </row>
    <row r="2895" spans="1:15">
      <c r="A2895" s="1">
        <v>45249</v>
      </c>
      <c r="B2895" t="s">
        <v>25</v>
      </c>
      <c r="C2895" t="s">
        <v>21</v>
      </c>
      <c r="D2895">
        <v>1</v>
      </c>
      <c r="E2895" t="s">
        <v>9</v>
      </c>
      <c r="F2895">
        <v>60000</v>
      </c>
      <c r="G2895">
        <v>31000</v>
      </c>
      <c r="H2895">
        <f>Table1[[#This Row],[Qty]]*Table1[[#This Row],[SellingPrice]]</f>
        <v>60000</v>
      </c>
      <c r="I2895">
        <f>Table1[[#This Row],[Qty]]*Table1[[#This Row],[CostPrice]]</f>
        <v>31000</v>
      </c>
      <c r="J2895">
        <v>28797</v>
      </c>
      <c r="K2895">
        <v>202.99999999999997</v>
      </c>
      <c r="L2895" t="s">
        <v>13</v>
      </c>
      <c r="M2895" t="s">
        <v>30</v>
      </c>
      <c r="N2895">
        <f>MONTH(Table1[[#This Row],[SaleDate]])</f>
        <v>11</v>
      </c>
      <c r="O2895" t="str">
        <f>TEXT(Table1[[#This Row],[SaleDate]],"MMM")</f>
        <v>Nov</v>
      </c>
    </row>
    <row r="2896" spans="1:15">
      <c r="A2896" s="1">
        <v>45249</v>
      </c>
      <c r="B2896" t="s">
        <v>25</v>
      </c>
      <c r="C2896" t="s">
        <v>21</v>
      </c>
      <c r="D2896">
        <v>1</v>
      </c>
      <c r="E2896" t="s">
        <v>10</v>
      </c>
      <c r="F2896">
        <v>89000</v>
      </c>
      <c r="G2896">
        <v>65000</v>
      </c>
      <c r="H2896">
        <f>Table1[[#This Row],[Qty]]*Table1[[#This Row],[SellingPrice]]</f>
        <v>89000</v>
      </c>
      <c r="I2896">
        <f>Table1[[#This Row],[Qty]]*Table1[[#This Row],[CostPrice]]</f>
        <v>65000</v>
      </c>
      <c r="J2896">
        <v>23832</v>
      </c>
      <c r="K2896">
        <v>167.99999999999997</v>
      </c>
      <c r="L2896" t="s">
        <v>13</v>
      </c>
      <c r="M2896" t="s">
        <v>27</v>
      </c>
      <c r="N2896">
        <f>MONTH(Table1[[#This Row],[SaleDate]])</f>
        <v>11</v>
      </c>
      <c r="O2896" t="str">
        <f>TEXT(Table1[[#This Row],[SaleDate]],"MMM")</f>
        <v>Nov</v>
      </c>
    </row>
    <row r="2897" spans="1:15">
      <c r="A2897" s="1">
        <v>45250</v>
      </c>
      <c r="B2897" t="s">
        <v>23</v>
      </c>
      <c r="C2897" t="s">
        <v>19</v>
      </c>
      <c r="D2897">
        <v>2</v>
      </c>
      <c r="E2897" t="s">
        <v>7</v>
      </c>
      <c r="F2897">
        <v>33000</v>
      </c>
      <c r="G2897">
        <v>18000</v>
      </c>
      <c r="H2897">
        <f>Table1[[#This Row],[Qty]]*Table1[[#This Row],[SellingPrice]]</f>
        <v>66000</v>
      </c>
      <c r="I2897">
        <f>Table1[[#This Row],[Qty]]*Table1[[#This Row],[CostPrice]]</f>
        <v>36000</v>
      </c>
      <c r="J2897">
        <v>29790</v>
      </c>
      <c r="K2897">
        <v>209.99999999999997</v>
      </c>
      <c r="L2897" t="s">
        <v>8</v>
      </c>
      <c r="M2897" t="s">
        <v>30</v>
      </c>
      <c r="N2897">
        <f>MONTH(Table1[[#This Row],[SaleDate]])</f>
        <v>11</v>
      </c>
      <c r="O2897" t="str">
        <f>TEXT(Table1[[#This Row],[SaleDate]],"MMM")</f>
        <v>Nov</v>
      </c>
    </row>
    <row r="2898" spans="1:15">
      <c r="A2898" s="1">
        <v>45250</v>
      </c>
      <c r="B2898" t="s">
        <v>23</v>
      </c>
      <c r="C2898" t="s">
        <v>19</v>
      </c>
      <c r="D2898">
        <v>2</v>
      </c>
      <c r="E2898" t="s">
        <v>9</v>
      </c>
      <c r="F2898">
        <v>60000</v>
      </c>
      <c r="G2898">
        <v>31000</v>
      </c>
      <c r="H2898">
        <f>Table1[[#This Row],[Qty]]*Table1[[#This Row],[SellingPrice]]</f>
        <v>120000</v>
      </c>
      <c r="I2898">
        <f>Table1[[#This Row],[Qty]]*Table1[[#This Row],[CostPrice]]</f>
        <v>62000</v>
      </c>
      <c r="J2898">
        <v>57594</v>
      </c>
      <c r="K2898">
        <v>405.99999999999994</v>
      </c>
      <c r="L2898" t="s">
        <v>8</v>
      </c>
      <c r="M2898" t="s">
        <v>27</v>
      </c>
      <c r="N2898">
        <f>MONTH(Table1[[#This Row],[SaleDate]])</f>
        <v>11</v>
      </c>
      <c r="O2898" t="str">
        <f>TEXT(Table1[[#This Row],[SaleDate]],"MMM")</f>
        <v>Nov</v>
      </c>
    </row>
    <row r="2899" spans="1:15">
      <c r="A2899" s="1">
        <v>45250</v>
      </c>
      <c r="B2899" t="s">
        <v>23</v>
      </c>
      <c r="C2899" t="s">
        <v>19</v>
      </c>
      <c r="D2899">
        <v>2</v>
      </c>
      <c r="E2899" t="s">
        <v>10</v>
      </c>
      <c r="F2899">
        <v>89000</v>
      </c>
      <c r="G2899">
        <v>65000</v>
      </c>
      <c r="H2899">
        <f>Table1[[#This Row],[Qty]]*Table1[[#This Row],[SellingPrice]]</f>
        <v>178000</v>
      </c>
      <c r="I2899">
        <f>Table1[[#This Row],[Qty]]*Table1[[#This Row],[CostPrice]]</f>
        <v>130000</v>
      </c>
      <c r="J2899">
        <v>47664</v>
      </c>
      <c r="K2899">
        <v>335.99999999999994</v>
      </c>
      <c r="L2899" t="s">
        <v>8</v>
      </c>
      <c r="M2899" t="s">
        <v>27</v>
      </c>
      <c r="N2899">
        <f>MONTH(Table1[[#This Row],[SaleDate]])</f>
        <v>11</v>
      </c>
      <c r="O2899" t="str">
        <f>TEXT(Table1[[#This Row],[SaleDate]],"MMM")</f>
        <v>Nov</v>
      </c>
    </row>
    <row r="2900" spans="1:15">
      <c r="A2900" s="1">
        <v>45250</v>
      </c>
      <c r="B2900" t="s">
        <v>24</v>
      </c>
      <c r="C2900" t="s">
        <v>22</v>
      </c>
      <c r="D2900">
        <v>2</v>
      </c>
      <c r="E2900" t="s">
        <v>7</v>
      </c>
      <c r="F2900">
        <v>33000</v>
      </c>
      <c r="G2900">
        <v>18000</v>
      </c>
      <c r="H2900">
        <f>Table1[[#This Row],[Qty]]*Table1[[#This Row],[SellingPrice]]</f>
        <v>66000</v>
      </c>
      <c r="I2900">
        <f>Table1[[#This Row],[Qty]]*Table1[[#This Row],[CostPrice]]</f>
        <v>36000</v>
      </c>
      <c r="J2900">
        <v>29790</v>
      </c>
      <c r="K2900">
        <v>209.99999999999997</v>
      </c>
      <c r="L2900" t="s">
        <v>12</v>
      </c>
      <c r="M2900" t="s">
        <v>30</v>
      </c>
      <c r="N2900">
        <f>MONTH(Table1[[#This Row],[SaleDate]])</f>
        <v>11</v>
      </c>
      <c r="O2900" t="str">
        <f>TEXT(Table1[[#This Row],[SaleDate]],"MMM")</f>
        <v>Nov</v>
      </c>
    </row>
    <row r="2901" spans="1:15">
      <c r="A2901" s="1">
        <v>45250</v>
      </c>
      <c r="B2901" t="s">
        <v>24</v>
      </c>
      <c r="C2901" t="s">
        <v>22</v>
      </c>
      <c r="D2901">
        <v>2</v>
      </c>
      <c r="E2901" t="s">
        <v>9</v>
      </c>
      <c r="F2901">
        <v>60000</v>
      </c>
      <c r="G2901">
        <v>31000</v>
      </c>
      <c r="H2901">
        <f>Table1[[#This Row],[Qty]]*Table1[[#This Row],[SellingPrice]]</f>
        <v>120000</v>
      </c>
      <c r="I2901">
        <f>Table1[[#This Row],[Qty]]*Table1[[#This Row],[CostPrice]]</f>
        <v>62000</v>
      </c>
      <c r="J2901">
        <v>57594</v>
      </c>
      <c r="K2901">
        <v>405.99999999999994</v>
      </c>
      <c r="L2901" t="s">
        <v>12</v>
      </c>
      <c r="M2901" t="s">
        <v>29</v>
      </c>
      <c r="N2901">
        <f>MONTH(Table1[[#This Row],[SaleDate]])</f>
        <v>11</v>
      </c>
      <c r="O2901" t="str">
        <f>TEXT(Table1[[#This Row],[SaleDate]],"MMM")</f>
        <v>Nov</v>
      </c>
    </row>
    <row r="2902" spans="1:15">
      <c r="A2902" s="1">
        <v>45250</v>
      </c>
      <c r="B2902" t="s">
        <v>24</v>
      </c>
      <c r="C2902" t="s">
        <v>22</v>
      </c>
      <c r="D2902">
        <v>2</v>
      </c>
      <c r="E2902" t="s">
        <v>10</v>
      </c>
      <c r="F2902">
        <v>89000</v>
      </c>
      <c r="G2902">
        <v>65000</v>
      </c>
      <c r="H2902">
        <f>Table1[[#This Row],[Qty]]*Table1[[#This Row],[SellingPrice]]</f>
        <v>178000</v>
      </c>
      <c r="I2902">
        <f>Table1[[#This Row],[Qty]]*Table1[[#This Row],[CostPrice]]</f>
        <v>130000</v>
      </c>
      <c r="J2902">
        <v>47664</v>
      </c>
      <c r="K2902">
        <v>335.99999999999994</v>
      </c>
      <c r="L2902" t="s">
        <v>12</v>
      </c>
      <c r="M2902" t="s">
        <v>28</v>
      </c>
      <c r="N2902">
        <f>MONTH(Table1[[#This Row],[SaleDate]])</f>
        <v>11</v>
      </c>
      <c r="O2902" t="str">
        <f>TEXT(Table1[[#This Row],[SaleDate]],"MMM")</f>
        <v>Nov</v>
      </c>
    </row>
    <row r="2903" spans="1:15">
      <c r="A2903" s="1">
        <v>45250</v>
      </c>
      <c r="B2903" t="s">
        <v>25</v>
      </c>
      <c r="C2903" t="s">
        <v>21</v>
      </c>
      <c r="D2903">
        <v>2</v>
      </c>
      <c r="E2903" t="s">
        <v>7</v>
      </c>
      <c r="F2903">
        <v>33000</v>
      </c>
      <c r="G2903">
        <v>18000</v>
      </c>
      <c r="H2903">
        <f>Table1[[#This Row],[Qty]]*Table1[[#This Row],[SellingPrice]]</f>
        <v>66000</v>
      </c>
      <c r="I2903">
        <f>Table1[[#This Row],[Qty]]*Table1[[#This Row],[CostPrice]]</f>
        <v>36000</v>
      </c>
      <c r="J2903">
        <v>29790</v>
      </c>
      <c r="K2903">
        <v>209.99999999999997</v>
      </c>
      <c r="L2903" t="s">
        <v>13</v>
      </c>
      <c r="M2903" t="s">
        <v>30</v>
      </c>
      <c r="N2903">
        <f>MONTH(Table1[[#This Row],[SaleDate]])</f>
        <v>11</v>
      </c>
      <c r="O2903" t="str">
        <f>TEXT(Table1[[#This Row],[SaleDate]],"MMM")</f>
        <v>Nov</v>
      </c>
    </row>
    <row r="2904" spans="1:15">
      <c r="A2904" s="1">
        <v>45250</v>
      </c>
      <c r="B2904" t="s">
        <v>25</v>
      </c>
      <c r="C2904" t="s">
        <v>21</v>
      </c>
      <c r="D2904">
        <v>2</v>
      </c>
      <c r="E2904" t="s">
        <v>9</v>
      </c>
      <c r="F2904">
        <v>60000</v>
      </c>
      <c r="G2904">
        <v>31000</v>
      </c>
      <c r="H2904">
        <f>Table1[[#This Row],[Qty]]*Table1[[#This Row],[SellingPrice]]</f>
        <v>120000</v>
      </c>
      <c r="I2904">
        <f>Table1[[#This Row],[Qty]]*Table1[[#This Row],[CostPrice]]</f>
        <v>62000</v>
      </c>
      <c r="J2904">
        <v>57594</v>
      </c>
      <c r="K2904">
        <v>405.99999999999994</v>
      </c>
      <c r="L2904" t="s">
        <v>13</v>
      </c>
      <c r="M2904" t="s">
        <v>27</v>
      </c>
      <c r="N2904">
        <f>MONTH(Table1[[#This Row],[SaleDate]])</f>
        <v>11</v>
      </c>
      <c r="O2904" t="str">
        <f>TEXT(Table1[[#This Row],[SaleDate]],"MMM")</f>
        <v>Nov</v>
      </c>
    </row>
    <row r="2905" spans="1:15">
      <c r="A2905" s="1">
        <v>45250</v>
      </c>
      <c r="B2905" t="s">
        <v>25</v>
      </c>
      <c r="C2905" t="s">
        <v>21</v>
      </c>
      <c r="D2905">
        <v>2</v>
      </c>
      <c r="E2905" t="s">
        <v>10</v>
      </c>
      <c r="F2905">
        <v>89000</v>
      </c>
      <c r="G2905">
        <v>65000</v>
      </c>
      <c r="H2905">
        <f>Table1[[#This Row],[Qty]]*Table1[[#This Row],[SellingPrice]]</f>
        <v>178000</v>
      </c>
      <c r="I2905">
        <f>Table1[[#This Row],[Qty]]*Table1[[#This Row],[CostPrice]]</f>
        <v>130000</v>
      </c>
      <c r="J2905">
        <v>47664</v>
      </c>
      <c r="K2905">
        <v>335.99999999999994</v>
      </c>
      <c r="L2905" t="s">
        <v>13</v>
      </c>
      <c r="M2905" t="s">
        <v>29</v>
      </c>
      <c r="N2905">
        <f>MONTH(Table1[[#This Row],[SaleDate]])</f>
        <v>11</v>
      </c>
      <c r="O2905" t="str">
        <f>TEXT(Table1[[#This Row],[SaleDate]],"MMM")</f>
        <v>Nov</v>
      </c>
    </row>
    <row r="2906" spans="1:15">
      <c r="A2906" s="1">
        <v>45251</v>
      </c>
      <c r="B2906" t="s">
        <v>23</v>
      </c>
      <c r="C2906" t="s">
        <v>19</v>
      </c>
      <c r="D2906">
        <v>1</v>
      </c>
      <c r="E2906" t="s">
        <v>7</v>
      </c>
      <c r="F2906">
        <v>33000</v>
      </c>
      <c r="G2906">
        <v>18000</v>
      </c>
      <c r="H2906">
        <f>Table1[[#This Row],[Qty]]*Table1[[#This Row],[SellingPrice]]</f>
        <v>33000</v>
      </c>
      <c r="I2906">
        <f>Table1[[#This Row],[Qty]]*Table1[[#This Row],[CostPrice]]</f>
        <v>18000</v>
      </c>
      <c r="J2906">
        <v>14895</v>
      </c>
      <c r="K2906">
        <v>104.99999999999999</v>
      </c>
      <c r="L2906" t="s">
        <v>8</v>
      </c>
      <c r="M2906" t="s">
        <v>29</v>
      </c>
      <c r="N2906">
        <f>MONTH(Table1[[#This Row],[SaleDate]])</f>
        <v>11</v>
      </c>
      <c r="O2906" t="str">
        <f>TEXT(Table1[[#This Row],[SaleDate]],"MMM")</f>
        <v>Nov</v>
      </c>
    </row>
    <row r="2907" spans="1:15">
      <c r="A2907" s="1">
        <v>45251</v>
      </c>
      <c r="B2907" t="s">
        <v>23</v>
      </c>
      <c r="C2907" t="s">
        <v>19</v>
      </c>
      <c r="D2907">
        <v>1</v>
      </c>
      <c r="E2907" t="s">
        <v>9</v>
      </c>
      <c r="F2907">
        <v>60000</v>
      </c>
      <c r="G2907">
        <v>31000</v>
      </c>
      <c r="H2907">
        <f>Table1[[#This Row],[Qty]]*Table1[[#This Row],[SellingPrice]]</f>
        <v>60000</v>
      </c>
      <c r="I2907">
        <f>Table1[[#This Row],[Qty]]*Table1[[#This Row],[CostPrice]]</f>
        <v>31000</v>
      </c>
      <c r="J2907">
        <v>28797</v>
      </c>
      <c r="K2907">
        <v>202.99999999999997</v>
      </c>
      <c r="L2907" t="s">
        <v>8</v>
      </c>
      <c r="M2907" t="s">
        <v>27</v>
      </c>
      <c r="N2907">
        <f>MONTH(Table1[[#This Row],[SaleDate]])</f>
        <v>11</v>
      </c>
      <c r="O2907" t="str">
        <f>TEXT(Table1[[#This Row],[SaleDate]],"MMM")</f>
        <v>Nov</v>
      </c>
    </row>
    <row r="2908" spans="1:15">
      <c r="A2908" s="1">
        <v>45251</v>
      </c>
      <c r="B2908" t="s">
        <v>23</v>
      </c>
      <c r="C2908" t="s">
        <v>19</v>
      </c>
      <c r="D2908">
        <v>1</v>
      </c>
      <c r="E2908" t="s">
        <v>10</v>
      </c>
      <c r="F2908">
        <v>89000</v>
      </c>
      <c r="G2908">
        <v>65000</v>
      </c>
      <c r="H2908">
        <f>Table1[[#This Row],[Qty]]*Table1[[#This Row],[SellingPrice]]</f>
        <v>89000</v>
      </c>
      <c r="I2908">
        <f>Table1[[#This Row],[Qty]]*Table1[[#This Row],[CostPrice]]</f>
        <v>65000</v>
      </c>
      <c r="J2908">
        <v>23832</v>
      </c>
      <c r="K2908">
        <v>167.99999999999997</v>
      </c>
      <c r="L2908" t="s">
        <v>8</v>
      </c>
      <c r="M2908" t="s">
        <v>30</v>
      </c>
      <c r="N2908">
        <f>MONTH(Table1[[#This Row],[SaleDate]])</f>
        <v>11</v>
      </c>
      <c r="O2908" t="str">
        <f>TEXT(Table1[[#This Row],[SaleDate]],"MMM")</f>
        <v>Nov</v>
      </c>
    </row>
    <row r="2909" spans="1:15">
      <c r="A2909" s="1">
        <v>45251</v>
      </c>
      <c r="B2909" t="s">
        <v>24</v>
      </c>
      <c r="C2909" t="s">
        <v>22</v>
      </c>
      <c r="D2909">
        <v>1</v>
      </c>
      <c r="E2909" t="s">
        <v>7</v>
      </c>
      <c r="F2909">
        <v>33000</v>
      </c>
      <c r="G2909">
        <v>18000</v>
      </c>
      <c r="H2909">
        <f>Table1[[#This Row],[Qty]]*Table1[[#This Row],[SellingPrice]]</f>
        <v>33000</v>
      </c>
      <c r="I2909">
        <f>Table1[[#This Row],[Qty]]*Table1[[#This Row],[CostPrice]]</f>
        <v>18000</v>
      </c>
      <c r="J2909">
        <v>14895</v>
      </c>
      <c r="K2909">
        <v>104.99999999999999</v>
      </c>
      <c r="L2909" t="s">
        <v>12</v>
      </c>
      <c r="M2909" t="s">
        <v>29</v>
      </c>
      <c r="N2909">
        <f>MONTH(Table1[[#This Row],[SaleDate]])</f>
        <v>11</v>
      </c>
      <c r="O2909" t="str">
        <f>TEXT(Table1[[#This Row],[SaleDate]],"MMM")</f>
        <v>Nov</v>
      </c>
    </row>
    <row r="2910" spans="1:15">
      <c r="A2910" s="1">
        <v>45251</v>
      </c>
      <c r="B2910" t="s">
        <v>24</v>
      </c>
      <c r="C2910" t="s">
        <v>22</v>
      </c>
      <c r="D2910">
        <v>1</v>
      </c>
      <c r="E2910" t="s">
        <v>9</v>
      </c>
      <c r="F2910">
        <v>60000</v>
      </c>
      <c r="G2910">
        <v>31000</v>
      </c>
      <c r="H2910">
        <f>Table1[[#This Row],[Qty]]*Table1[[#This Row],[SellingPrice]]</f>
        <v>60000</v>
      </c>
      <c r="I2910">
        <f>Table1[[#This Row],[Qty]]*Table1[[#This Row],[CostPrice]]</f>
        <v>31000</v>
      </c>
      <c r="J2910">
        <v>28797</v>
      </c>
      <c r="K2910">
        <v>202.99999999999997</v>
      </c>
      <c r="L2910" t="s">
        <v>12</v>
      </c>
      <c r="M2910" t="s">
        <v>30</v>
      </c>
      <c r="N2910">
        <f>MONTH(Table1[[#This Row],[SaleDate]])</f>
        <v>11</v>
      </c>
      <c r="O2910" t="str">
        <f>TEXT(Table1[[#This Row],[SaleDate]],"MMM")</f>
        <v>Nov</v>
      </c>
    </row>
    <row r="2911" spans="1:15">
      <c r="A2911" s="1">
        <v>45251</v>
      </c>
      <c r="B2911" t="s">
        <v>24</v>
      </c>
      <c r="C2911" t="s">
        <v>22</v>
      </c>
      <c r="D2911">
        <v>1</v>
      </c>
      <c r="E2911" t="s">
        <v>10</v>
      </c>
      <c r="F2911">
        <v>89000</v>
      </c>
      <c r="G2911">
        <v>65000</v>
      </c>
      <c r="H2911">
        <f>Table1[[#This Row],[Qty]]*Table1[[#This Row],[SellingPrice]]</f>
        <v>89000</v>
      </c>
      <c r="I2911">
        <f>Table1[[#This Row],[Qty]]*Table1[[#This Row],[CostPrice]]</f>
        <v>65000</v>
      </c>
      <c r="J2911">
        <v>23832</v>
      </c>
      <c r="K2911">
        <v>167.99999999999997</v>
      </c>
      <c r="L2911" t="s">
        <v>12</v>
      </c>
      <c r="M2911" t="s">
        <v>30</v>
      </c>
      <c r="N2911">
        <f>MONTH(Table1[[#This Row],[SaleDate]])</f>
        <v>11</v>
      </c>
      <c r="O2911" t="str">
        <f>TEXT(Table1[[#This Row],[SaleDate]],"MMM")</f>
        <v>Nov</v>
      </c>
    </row>
    <row r="2912" spans="1:15">
      <c r="A2912" s="1">
        <v>45251</v>
      </c>
      <c r="B2912" t="s">
        <v>25</v>
      </c>
      <c r="C2912" t="s">
        <v>21</v>
      </c>
      <c r="D2912">
        <v>1</v>
      </c>
      <c r="E2912" t="s">
        <v>7</v>
      </c>
      <c r="F2912">
        <v>33000</v>
      </c>
      <c r="G2912">
        <v>18000</v>
      </c>
      <c r="H2912">
        <f>Table1[[#This Row],[Qty]]*Table1[[#This Row],[SellingPrice]]</f>
        <v>33000</v>
      </c>
      <c r="I2912">
        <f>Table1[[#This Row],[Qty]]*Table1[[#This Row],[CostPrice]]</f>
        <v>18000</v>
      </c>
      <c r="J2912">
        <v>14895</v>
      </c>
      <c r="K2912">
        <v>104.99999999999999</v>
      </c>
      <c r="L2912" t="s">
        <v>13</v>
      </c>
      <c r="M2912" t="s">
        <v>30</v>
      </c>
      <c r="N2912">
        <f>MONTH(Table1[[#This Row],[SaleDate]])</f>
        <v>11</v>
      </c>
      <c r="O2912" t="str">
        <f>TEXT(Table1[[#This Row],[SaleDate]],"MMM")</f>
        <v>Nov</v>
      </c>
    </row>
    <row r="2913" spans="1:15">
      <c r="A2913" s="1">
        <v>45251</v>
      </c>
      <c r="B2913" t="s">
        <v>25</v>
      </c>
      <c r="C2913" t="s">
        <v>21</v>
      </c>
      <c r="D2913">
        <v>1</v>
      </c>
      <c r="E2913" t="s">
        <v>9</v>
      </c>
      <c r="F2913">
        <v>60000</v>
      </c>
      <c r="G2913">
        <v>31000</v>
      </c>
      <c r="H2913">
        <f>Table1[[#This Row],[Qty]]*Table1[[#This Row],[SellingPrice]]</f>
        <v>60000</v>
      </c>
      <c r="I2913">
        <f>Table1[[#This Row],[Qty]]*Table1[[#This Row],[CostPrice]]</f>
        <v>31000</v>
      </c>
      <c r="J2913">
        <v>28797</v>
      </c>
      <c r="K2913">
        <v>202.99999999999997</v>
      </c>
      <c r="L2913" t="s">
        <v>13</v>
      </c>
      <c r="M2913" t="s">
        <v>30</v>
      </c>
      <c r="N2913">
        <f>MONTH(Table1[[#This Row],[SaleDate]])</f>
        <v>11</v>
      </c>
      <c r="O2913" t="str">
        <f>TEXT(Table1[[#This Row],[SaleDate]],"MMM")</f>
        <v>Nov</v>
      </c>
    </row>
    <row r="2914" spans="1:15">
      <c r="A2914" s="1">
        <v>45251</v>
      </c>
      <c r="B2914" t="s">
        <v>25</v>
      </c>
      <c r="C2914" t="s">
        <v>21</v>
      </c>
      <c r="D2914">
        <v>1</v>
      </c>
      <c r="E2914" t="s">
        <v>10</v>
      </c>
      <c r="F2914">
        <v>89000</v>
      </c>
      <c r="G2914">
        <v>65000</v>
      </c>
      <c r="H2914">
        <f>Table1[[#This Row],[Qty]]*Table1[[#This Row],[SellingPrice]]</f>
        <v>89000</v>
      </c>
      <c r="I2914">
        <f>Table1[[#This Row],[Qty]]*Table1[[#This Row],[CostPrice]]</f>
        <v>65000</v>
      </c>
      <c r="J2914">
        <v>23832</v>
      </c>
      <c r="K2914">
        <v>167.99999999999997</v>
      </c>
      <c r="L2914" t="s">
        <v>13</v>
      </c>
      <c r="M2914" t="s">
        <v>30</v>
      </c>
      <c r="N2914">
        <f>MONTH(Table1[[#This Row],[SaleDate]])</f>
        <v>11</v>
      </c>
      <c r="O2914" t="str">
        <f>TEXT(Table1[[#This Row],[SaleDate]],"MMM")</f>
        <v>Nov</v>
      </c>
    </row>
    <row r="2915" spans="1:15">
      <c r="A2915" s="1">
        <v>45252</v>
      </c>
      <c r="B2915" t="s">
        <v>23</v>
      </c>
      <c r="C2915" t="s">
        <v>19</v>
      </c>
      <c r="D2915">
        <v>1</v>
      </c>
      <c r="E2915" t="s">
        <v>7</v>
      </c>
      <c r="F2915">
        <v>33000</v>
      </c>
      <c r="G2915">
        <v>18000</v>
      </c>
      <c r="H2915">
        <f>Table1[[#This Row],[Qty]]*Table1[[#This Row],[SellingPrice]]</f>
        <v>33000</v>
      </c>
      <c r="I2915">
        <f>Table1[[#This Row],[Qty]]*Table1[[#This Row],[CostPrice]]</f>
        <v>18000</v>
      </c>
      <c r="J2915">
        <v>14895</v>
      </c>
      <c r="K2915">
        <v>104.99999999999999</v>
      </c>
      <c r="L2915" t="s">
        <v>8</v>
      </c>
      <c r="M2915" t="s">
        <v>29</v>
      </c>
      <c r="N2915">
        <f>MONTH(Table1[[#This Row],[SaleDate]])</f>
        <v>11</v>
      </c>
      <c r="O2915" t="str">
        <f>TEXT(Table1[[#This Row],[SaleDate]],"MMM")</f>
        <v>Nov</v>
      </c>
    </row>
    <row r="2916" spans="1:15">
      <c r="A2916" s="1">
        <v>45252</v>
      </c>
      <c r="B2916" t="s">
        <v>23</v>
      </c>
      <c r="C2916" t="s">
        <v>19</v>
      </c>
      <c r="D2916">
        <v>1</v>
      </c>
      <c r="E2916" t="s">
        <v>9</v>
      </c>
      <c r="F2916">
        <v>60000</v>
      </c>
      <c r="G2916">
        <v>31000</v>
      </c>
      <c r="H2916">
        <f>Table1[[#This Row],[Qty]]*Table1[[#This Row],[SellingPrice]]</f>
        <v>60000</v>
      </c>
      <c r="I2916">
        <f>Table1[[#This Row],[Qty]]*Table1[[#This Row],[CostPrice]]</f>
        <v>31000</v>
      </c>
      <c r="J2916">
        <v>28797</v>
      </c>
      <c r="K2916">
        <v>202.99999999999997</v>
      </c>
      <c r="L2916" t="s">
        <v>8</v>
      </c>
      <c r="M2916" t="s">
        <v>29</v>
      </c>
      <c r="N2916">
        <f>MONTH(Table1[[#This Row],[SaleDate]])</f>
        <v>11</v>
      </c>
      <c r="O2916" t="str">
        <f>TEXT(Table1[[#This Row],[SaleDate]],"MMM")</f>
        <v>Nov</v>
      </c>
    </row>
    <row r="2917" spans="1:15">
      <c r="A2917" s="1">
        <v>45252</v>
      </c>
      <c r="B2917" t="s">
        <v>23</v>
      </c>
      <c r="C2917" t="s">
        <v>19</v>
      </c>
      <c r="D2917">
        <v>1</v>
      </c>
      <c r="E2917" t="s">
        <v>10</v>
      </c>
      <c r="F2917">
        <v>89000</v>
      </c>
      <c r="G2917">
        <v>65000</v>
      </c>
      <c r="H2917">
        <f>Table1[[#This Row],[Qty]]*Table1[[#This Row],[SellingPrice]]</f>
        <v>89000</v>
      </c>
      <c r="I2917">
        <f>Table1[[#This Row],[Qty]]*Table1[[#This Row],[CostPrice]]</f>
        <v>65000</v>
      </c>
      <c r="J2917">
        <v>23832</v>
      </c>
      <c r="K2917">
        <v>167.99999999999997</v>
      </c>
      <c r="L2917" t="s">
        <v>8</v>
      </c>
      <c r="M2917" t="s">
        <v>30</v>
      </c>
      <c r="N2917">
        <f>MONTH(Table1[[#This Row],[SaleDate]])</f>
        <v>11</v>
      </c>
      <c r="O2917" t="str">
        <f>TEXT(Table1[[#This Row],[SaleDate]],"MMM")</f>
        <v>Nov</v>
      </c>
    </row>
    <row r="2918" spans="1:15">
      <c r="A2918" s="1">
        <v>45252</v>
      </c>
      <c r="B2918" t="s">
        <v>24</v>
      </c>
      <c r="C2918" t="s">
        <v>22</v>
      </c>
      <c r="D2918">
        <v>1</v>
      </c>
      <c r="E2918" t="s">
        <v>7</v>
      </c>
      <c r="F2918">
        <v>33000</v>
      </c>
      <c r="G2918">
        <v>18000</v>
      </c>
      <c r="H2918">
        <f>Table1[[#This Row],[Qty]]*Table1[[#This Row],[SellingPrice]]</f>
        <v>33000</v>
      </c>
      <c r="I2918">
        <f>Table1[[#This Row],[Qty]]*Table1[[#This Row],[CostPrice]]</f>
        <v>18000</v>
      </c>
      <c r="J2918">
        <v>14895</v>
      </c>
      <c r="K2918">
        <v>104.99999999999999</v>
      </c>
      <c r="L2918" t="s">
        <v>12</v>
      </c>
      <c r="M2918" t="s">
        <v>27</v>
      </c>
      <c r="N2918">
        <f>MONTH(Table1[[#This Row],[SaleDate]])</f>
        <v>11</v>
      </c>
      <c r="O2918" t="str">
        <f>TEXT(Table1[[#This Row],[SaleDate]],"MMM")</f>
        <v>Nov</v>
      </c>
    </row>
    <row r="2919" spans="1:15">
      <c r="A2919" s="1">
        <v>45252</v>
      </c>
      <c r="B2919" t="s">
        <v>24</v>
      </c>
      <c r="C2919" t="s">
        <v>22</v>
      </c>
      <c r="D2919">
        <v>1</v>
      </c>
      <c r="E2919" t="s">
        <v>9</v>
      </c>
      <c r="F2919">
        <v>60000</v>
      </c>
      <c r="G2919">
        <v>31000</v>
      </c>
      <c r="H2919">
        <f>Table1[[#This Row],[Qty]]*Table1[[#This Row],[SellingPrice]]</f>
        <v>60000</v>
      </c>
      <c r="I2919">
        <f>Table1[[#This Row],[Qty]]*Table1[[#This Row],[CostPrice]]</f>
        <v>31000</v>
      </c>
      <c r="J2919">
        <v>28797</v>
      </c>
      <c r="K2919">
        <v>202.99999999999997</v>
      </c>
      <c r="L2919" t="s">
        <v>12</v>
      </c>
      <c r="M2919" t="s">
        <v>30</v>
      </c>
      <c r="N2919">
        <f>MONTH(Table1[[#This Row],[SaleDate]])</f>
        <v>11</v>
      </c>
      <c r="O2919" t="str">
        <f>TEXT(Table1[[#This Row],[SaleDate]],"MMM")</f>
        <v>Nov</v>
      </c>
    </row>
    <row r="2920" spans="1:15">
      <c r="A2920" s="1">
        <v>45252</v>
      </c>
      <c r="B2920" t="s">
        <v>24</v>
      </c>
      <c r="C2920" t="s">
        <v>22</v>
      </c>
      <c r="D2920">
        <v>1</v>
      </c>
      <c r="E2920" t="s">
        <v>10</v>
      </c>
      <c r="F2920">
        <v>89000</v>
      </c>
      <c r="G2920">
        <v>65000</v>
      </c>
      <c r="H2920">
        <f>Table1[[#This Row],[Qty]]*Table1[[#This Row],[SellingPrice]]</f>
        <v>89000</v>
      </c>
      <c r="I2920">
        <f>Table1[[#This Row],[Qty]]*Table1[[#This Row],[CostPrice]]</f>
        <v>65000</v>
      </c>
      <c r="J2920">
        <v>23832</v>
      </c>
      <c r="K2920">
        <v>167.99999999999997</v>
      </c>
      <c r="L2920" t="s">
        <v>12</v>
      </c>
      <c r="M2920" t="s">
        <v>30</v>
      </c>
      <c r="N2920">
        <f>MONTH(Table1[[#This Row],[SaleDate]])</f>
        <v>11</v>
      </c>
      <c r="O2920" t="str">
        <f>TEXT(Table1[[#This Row],[SaleDate]],"MMM")</f>
        <v>Nov</v>
      </c>
    </row>
    <row r="2921" spans="1:15">
      <c r="A2921" s="1">
        <v>45252</v>
      </c>
      <c r="B2921" t="s">
        <v>25</v>
      </c>
      <c r="C2921" t="s">
        <v>21</v>
      </c>
      <c r="D2921">
        <v>1</v>
      </c>
      <c r="E2921" t="s">
        <v>7</v>
      </c>
      <c r="F2921">
        <v>33000</v>
      </c>
      <c r="G2921">
        <v>18000</v>
      </c>
      <c r="H2921">
        <f>Table1[[#This Row],[Qty]]*Table1[[#This Row],[SellingPrice]]</f>
        <v>33000</v>
      </c>
      <c r="I2921">
        <f>Table1[[#This Row],[Qty]]*Table1[[#This Row],[CostPrice]]</f>
        <v>18000</v>
      </c>
      <c r="J2921">
        <v>14895</v>
      </c>
      <c r="K2921">
        <v>104.99999999999999</v>
      </c>
      <c r="L2921" t="s">
        <v>13</v>
      </c>
      <c r="M2921" t="s">
        <v>27</v>
      </c>
      <c r="N2921">
        <f>MONTH(Table1[[#This Row],[SaleDate]])</f>
        <v>11</v>
      </c>
      <c r="O2921" t="str">
        <f>TEXT(Table1[[#This Row],[SaleDate]],"MMM")</f>
        <v>Nov</v>
      </c>
    </row>
    <row r="2922" spans="1:15">
      <c r="A2922" s="1">
        <v>45252</v>
      </c>
      <c r="B2922" t="s">
        <v>25</v>
      </c>
      <c r="C2922" t="s">
        <v>21</v>
      </c>
      <c r="D2922">
        <v>1</v>
      </c>
      <c r="E2922" t="s">
        <v>9</v>
      </c>
      <c r="F2922">
        <v>60000</v>
      </c>
      <c r="G2922">
        <v>31000</v>
      </c>
      <c r="H2922">
        <f>Table1[[#This Row],[Qty]]*Table1[[#This Row],[SellingPrice]]</f>
        <v>60000</v>
      </c>
      <c r="I2922">
        <f>Table1[[#This Row],[Qty]]*Table1[[#This Row],[CostPrice]]</f>
        <v>31000</v>
      </c>
      <c r="J2922">
        <v>28797</v>
      </c>
      <c r="K2922">
        <v>202.99999999999997</v>
      </c>
      <c r="L2922" t="s">
        <v>13</v>
      </c>
      <c r="M2922" t="s">
        <v>30</v>
      </c>
      <c r="N2922">
        <f>MONTH(Table1[[#This Row],[SaleDate]])</f>
        <v>11</v>
      </c>
      <c r="O2922" t="str">
        <f>TEXT(Table1[[#This Row],[SaleDate]],"MMM")</f>
        <v>Nov</v>
      </c>
    </row>
    <row r="2923" spans="1:15">
      <c r="A2923" s="1">
        <v>45252</v>
      </c>
      <c r="B2923" t="s">
        <v>25</v>
      </c>
      <c r="C2923" t="s">
        <v>21</v>
      </c>
      <c r="D2923">
        <v>1</v>
      </c>
      <c r="E2923" t="s">
        <v>10</v>
      </c>
      <c r="F2923">
        <v>89000</v>
      </c>
      <c r="G2923">
        <v>65000</v>
      </c>
      <c r="H2923">
        <f>Table1[[#This Row],[Qty]]*Table1[[#This Row],[SellingPrice]]</f>
        <v>89000</v>
      </c>
      <c r="I2923">
        <f>Table1[[#This Row],[Qty]]*Table1[[#This Row],[CostPrice]]</f>
        <v>65000</v>
      </c>
      <c r="J2923">
        <v>23832</v>
      </c>
      <c r="K2923">
        <v>167.99999999999997</v>
      </c>
      <c r="L2923" t="s">
        <v>13</v>
      </c>
      <c r="M2923" t="s">
        <v>30</v>
      </c>
      <c r="N2923">
        <f>MONTH(Table1[[#This Row],[SaleDate]])</f>
        <v>11</v>
      </c>
      <c r="O2923" t="str">
        <f>TEXT(Table1[[#This Row],[SaleDate]],"MMM")</f>
        <v>Nov</v>
      </c>
    </row>
    <row r="2924" spans="1:15">
      <c r="A2924" s="1">
        <v>45253</v>
      </c>
      <c r="B2924" t="s">
        <v>23</v>
      </c>
      <c r="C2924" t="s">
        <v>19</v>
      </c>
      <c r="D2924">
        <v>1</v>
      </c>
      <c r="E2924" t="s">
        <v>7</v>
      </c>
      <c r="F2924">
        <v>33000</v>
      </c>
      <c r="G2924">
        <v>18000</v>
      </c>
      <c r="H2924">
        <f>Table1[[#This Row],[Qty]]*Table1[[#This Row],[SellingPrice]]</f>
        <v>33000</v>
      </c>
      <c r="I2924">
        <f>Table1[[#This Row],[Qty]]*Table1[[#This Row],[CostPrice]]</f>
        <v>18000</v>
      </c>
      <c r="J2924">
        <v>14895</v>
      </c>
      <c r="K2924">
        <v>104.99999999999999</v>
      </c>
      <c r="L2924" t="s">
        <v>8</v>
      </c>
      <c r="M2924" t="s">
        <v>30</v>
      </c>
      <c r="N2924">
        <f>MONTH(Table1[[#This Row],[SaleDate]])</f>
        <v>11</v>
      </c>
      <c r="O2924" t="str">
        <f>TEXT(Table1[[#This Row],[SaleDate]],"MMM")</f>
        <v>Nov</v>
      </c>
    </row>
    <row r="2925" spans="1:15">
      <c r="A2925" s="1">
        <v>45253</v>
      </c>
      <c r="B2925" t="s">
        <v>23</v>
      </c>
      <c r="C2925" t="s">
        <v>19</v>
      </c>
      <c r="D2925">
        <v>1</v>
      </c>
      <c r="E2925" t="s">
        <v>9</v>
      </c>
      <c r="F2925">
        <v>60000</v>
      </c>
      <c r="G2925">
        <v>31000</v>
      </c>
      <c r="H2925">
        <f>Table1[[#This Row],[Qty]]*Table1[[#This Row],[SellingPrice]]</f>
        <v>60000</v>
      </c>
      <c r="I2925">
        <f>Table1[[#This Row],[Qty]]*Table1[[#This Row],[CostPrice]]</f>
        <v>31000</v>
      </c>
      <c r="J2925">
        <v>28797</v>
      </c>
      <c r="K2925">
        <v>202.99999999999997</v>
      </c>
      <c r="L2925" t="s">
        <v>8</v>
      </c>
      <c r="M2925" t="s">
        <v>29</v>
      </c>
      <c r="N2925">
        <f>MONTH(Table1[[#This Row],[SaleDate]])</f>
        <v>11</v>
      </c>
      <c r="O2925" t="str">
        <f>TEXT(Table1[[#This Row],[SaleDate]],"MMM")</f>
        <v>Nov</v>
      </c>
    </row>
    <row r="2926" spans="1:15">
      <c r="A2926" s="1">
        <v>45253</v>
      </c>
      <c r="B2926" t="s">
        <v>23</v>
      </c>
      <c r="C2926" t="s">
        <v>19</v>
      </c>
      <c r="D2926">
        <v>1</v>
      </c>
      <c r="E2926" t="s">
        <v>10</v>
      </c>
      <c r="F2926">
        <v>89000</v>
      </c>
      <c r="G2926">
        <v>65000</v>
      </c>
      <c r="H2926">
        <f>Table1[[#This Row],[Qty]]*Table1[[#This Row],[SellingPrice]]</f>
        <v>89000</v>
      </c>
      <c r="I2926">
        <f>Table1[[#This Row],[Qty]]*Table1[[#This Row],[CostPrice]]</f>
        <v>65000</v>
      </c>
      <c r="J2926">
        <v>23832</v>
      </c>
      <c r="K2926">
        <v>167.99999999999997</v>
      </c>
      <c r="L2926" t="s">
        <v>8</v>
      </c>
      <c r="M2926" t="s">
        <v>27</v>
      </c>
      <c r="N2926">
        <f>MONTH(Table1[[#This Row],[SaleDate]])</f>
        <v>11</v>
      </c>
      <c r="O2926" t="str">
        <f>TEXT(Table1[[#This Row],[SaleDate]],"MMM")</f>
        <v>Nov</v>
      </c>
    </row>
    <row r="2927" spans="1:15">
      <c r="A2927" s="1">
        <v>45253</v>
      </c>
      <c r="B2927" t="s">
        <v>24</v>
      </c>
      <c r="C2927" t="s">
        <v>22</v>
      </c>
      <c r="D2927">
        <v>1</v>
      </c>
      <c r="E2927" t="s">
        <v>9</v>
      </c>
      <c r="F2927">
        <v>60000</v>
      </c>
      <c r="G2927">
        <v>31000</v>
      </c>
      <c r="H2927">
        <f>Table1[[#This Row],[Qty]]*Table1[[#This Row],[SellingPrice]]</f>
        <v>60000</v>
      </c>
      <c r="I2927">
        <f>Table1[[#This Row],[Qty]]*Table1[[#This Row],[CostPrice]]</f>
        <v>31000</v>
      </c>
      <c r="J2927">
        <v>28797</v>
      </c>
      <c r="K2927">
        <v>202.99999999999997</v>
      </c>
      <c r="L2927" t="s">
        <v>12</v>
      </c>
      <c r="M2927" t="s">
        <v>29</v>
      </c>
      <c r="N2927">
        <f>MONTH(Table1[[#This Row],[SaleDate]])</f>
        <v>11</v>
      </c>
      <c r="O2927" t="str">
        <f>TEXT(Table1[[#This Row],[SaleDate]],"MMM")</f>
        <v>Nov</v>
      </c>
    </row>
    <row r="2928" spans="1:15">
      <c r="A2928" s="1">
        <v>45253</v>
      </c>
      <c r="B2928" t="s">
        <v>24</v>
      </c>
      <c r="C2928" t="s">
        <v>22</v>
      </c>
      <c r="D2928">
        <v>1</v>
      </c>
      <c r="E2928" t="s">
        <v>10</v>
      </c>
      <c r="F2928">
        <v>89000</v>
      </c>
      <c r="G2928">
        <v>65000</v>
      </c>
      <c r="H2928">
        <f>Table1[[#This Row],[Qty]]*Table1[[#This Row],[SellingPrice]]</f>
        <v>89000</v>
      </c>
      <c r="I2928">
        <f>Table1[[#This Row],[Qty]]*Table1[[#This Row],[CostPrice]]</f>
        <v>65000</v>
      </c>
      <c r="J2928">
        <v>23832</v>
      </c>
      <c r="K2928">
        <v>167.99999999999997</v>
      </c>
      <c r="L2928" t="s">
        <v>12</v>
      </c>
      <c r="M2928" t="s">
        <v>30</v>
      </c>
      <c r="N2928">
        <f>MONTH(Table1[[#This Row],[SaleDate]])</f>
        <v>11</v>
      </c>
      <c r="O2928" t="str">
        <f>TEXT(Table1[[#This Row],[SaleDate]],"MMM")</f>
        <v>Nov</v>
      </c>
    </row>
    <row r="2929" spans="1:15">
      <c r="A2929" s="1">
        <v>45253</v>
      </c>
      <c r="B2929" t="s">
        <v>25</v>
      </c>
      <c r="C2929" t="s">
        <v>21</v>
      </c>
      <c r="D2929">
        <v>1</v>
      </c>
      <c r="E2929" t="s">
        <v>7</v>
      </c>
      <c r="F2929">
        <v>33000</v>
      </c>
      <c r="G2929">
        <v>18000</v>
      </c>
      <c r="H2929">
        <f>Table1[[#This Row],[Qty]]*Table1[[#This Row],[SellingPrice]]</f>
        <v>33000</v>
      </c>
      <c r="I2929">
        <f>Table1[[#This Row],[Qty]]*Table1[[#This Row],[CostPrice]]</f>
        <v>18000</v>
      </c>
      <c r="J2929">
        <v>14895</v>
      </c>
      <c r="K2929">
        <v>104.99999999999999</v>
      </c>
      <c r="L2929" t="s">
        <v>13</v>
      </c>
      <c r="M2929" t="s">
        <v>29</v>
      </c>
      <c r="N2929">
        <f>MONTH(Table1[[#This Row],[SaleDate]])</f>
        <v>11</v>
      </c>
      <c r="O2929" t="str">
        <f>TEXT(Table1[[#This Row],[SaleDate]],"MMM")</f>
        <v>Nov</v>
      </c>
    </row>
    <row r="2930" spans="1:15">
      <c r="A2930" s="1">
        <v>45253</v>
      </c>
      <c r="B2930" t="s">
        <v>25</v>
      </c>
      <c r="C2930" t="s">
        <v>21</v>
      </c>
      <c r="D2930">
        <v>1</v>
      </c>
      <c r="E2930" t="s">
        <v>9</v>
      </c>
      <c r="F2930">
        <v>60000</v>
      </c>
      <c r="G2930">
        <v>31000</v>
      </c>
      <c r="H2930">
        <f>Table1[[#This Row],[Qty]]*Table1[[#This Row],[SellingPrice]]</f>
        <v>60000</v>
      </c>
      <c r="I2930">
        <f>Table1[[#This Row],[Qty]]*Table1[[#This Row],[CostPrice]]</f>
        <v>31000</v>
      </c>
      <c r="J2930">
        <v>28797</v>
      </c>
      <c r="K2930">
        <v>202.99999999999997</v>
      </c>
      <c r="L2930" t="s">
        <v>13</v>
      </c>
      <c r="M2930" t="s">
        <v>27</v>
      </c>
      <c r="N2930">
        <f>MONTH(Table1[[#This Row],[SaleDate]])</f>
        <v>11</v>
      </c>
      <c r="O2930" t="str">
        <f>TEXT(Table1[[#This Row],[SaleDate]],"MMM")</f>
        <v>Nov</v>
      </c>
    </row>
    <row r="2931" spans="1:15">
      <c r="A2931" s="1">
        <v>45253</v>
      </c>
      <c r="B2931" t="s">
        <v>25</v>
      </c>
      <c r="C2931" t="s">
        <v>21</v>
      </c>
      <c r="D2931">
        <v>1</v>
      </c>
      <c r="E2931" t="s">
        <v>10</v>
      </c>
      <c r="F2931">
        <v>89000</v>
      </c>
      <c r="G2931">
        <v>65000</v>
      </c>
      <c r="H2931">
        <f>Table1[[#This Row],[Qty]]*Table1[[#This Row],[SellingPrice]]</f>
        <v>89000</v>
      </c>
      <c r="I2931">
        <f>Table1[[#This Row],[Qty]]*Table1[[#This Row],[CostPrice]]</f>
        <v>65000</v>
      </c>
      <c r="J2931">
        <v>23832</v>
      </c>
      <c r="K2931">
        <v>167.99999999999997</v>
      </c>
      <c r="L2931" t="s">
        <v>13</v>
      </c>
      <c r="M2931" t="s">
        <v>30</v>
      </c>
      <c r="N2931">
        <f>MONTH(Table1[[#This Row],[SaleDate]])</f>
        <v>11</v>
      </c>
      <c r="O2931" t="str">
        <f>TEXT(Table1[[#This Row],[SaleDate]],"MMM")</f>
        <v>Nov</v>
      </c>
    </row>
    <row r="2932" spans="1:15">
      <c r="A2932" s="1">
        <v>45254</v>
      </c>
      <c r="B2932" t="s">
        <v>23</v>
      </c>
      <c r="C2932" t="s">
        <v>19</v>
      </c>
      <c r="D2932">
        <v>1</v>
      </c>
      <c r="E2932" t="s">
        <v>7</v>
      </c>
      <c r="F2932">
        <v>33000</v>
      </c>
      <c r="G2932">
        <v>18000</v>
      </c>
      <c r="H2932">
        <f>Table1[[#This Row],[Qty]]*Table1[[#This Row],[SellingPrice]]</f>
        <v>33000</v>
      </c>
      <c r="I2932">
        <f>Table1[[#This Row],[Qty]]*Table1[[#This Row],[CostPrice]]</f>
        <v>18000</v>
      </c>
      <c r="J2932">
        <v>14895</v>
      </c>
      <c r="K2932">
        <v>104.99999999999999</v>
      </c>
      <c r="L2932" t="s">
        <v>8</v>
      </c>
      <c r="M2932" t="s">
        <v>27</v>
      </c>
      <c r="N2932">
        <f>MONTH(Table1[[#This Row],[SaleDate]])</f>
        <v>11</v>
      </c>
      <c r="O2932" t="str">
        <f>TEXT(Table1[[#This Row],[SaleDate]],"MMM")</f>
        <v>Nov</v>
      </c>
    </row>
    <row r="2933" spans="1:15">
      <c r="A2933" s="1">
        <v>45254</v>
      </c>
      <c r="B2933" t="s">
        <v>23</v>
      </c>
      <c r="C2933" t="s">
        <v>19</v>
      </c>
      <c r="D2933">
        <v>1</v>
      </c>
      <c r="E2933" t="s">
        <v>9</v>
      </c>
      <c r="F2933">
        <v>60000</v>
      </c>
      <c r="G2933">
        <v>31000</v>
      </c>
      <c r="H2933">
        <f>Table1[[#This Row],[Qty]]*Table1[[#This Row],[SellingPrice]]</f>
        <v>60000</v>
      </c>
      <c r="I2933">
        <f>Table1[[#This Row],[Qty]]*Table1[[#This Row],[CostPrice]]</f>
        <v>31000</v>
      </c>
      <c r="J2933">
        <v>28797</v>
      </c>
      <c r="K2933">
        <v>202.99999999999997</v>
      </c>
      <c r="L2933" t="s">
        <v>8</v>
      </c>
      <c r="M2933" t="s">
        <v>30</v>
      </c>
      <c r="N2933">
        <f>MONTH(Table1[[#This Row],[SaleDate]])</f>
        <v>11</v>
      </c>
      <c r="O2933" t="str">
        <f>TEXT(Table1[[#This Row],[SaleDate]],"MMM")</f>
        <v>Nov</v>
      </c>
    </row>
    <row r="2934" spans="1:15">
      <c r="A2934" s="1">
        <v>45254</v>
      </c>
      <c r="B2934" t="s">
        <v>23</v>
      </c>
      <c r="C2934" t="s">
        <v>19</v>
      </c>
      <c r="D2934">
        <v>1</v>
      </c>
      <c r="E2934" t="s">
        <v>10</v>
      </c>
      <c r="F2934">
        <v>89000</v>
      </c>
      <c r="G2934">
        <v>65000</v>
      </c>
      <c r="H2934">
        <f>Table1[[#This Row],[Qty]]*Table1[[#This Row],[SellingPrice]]</f>
        <v>89000</v>
      </c>
      <c r="I2934">
        <f>Table1[[#This Row],[Qty]]*Table1[[#This Row],[CostPrice]]</f>
        <v>65000</v>
      </c>
      <c r="J2934">
        <v>23832</v>
      </c>
      <c r="K2934">
        <v>167.99999999999997</v>
      </c>
      <c r="L2934" t="s">
        <v>8</v>
      </c>
      <c r="M2934" t="s">
        <v>27</v>
      </c>
      <c r="N2934">
        <f>MONTH(Table1[[#This Row],[SaleDate]])</f>
        <v>11</v>
      </c>
      <c r="O2934" t="str">
        <f>TEXT(Table1[[#This Row],[SaleDate]],"MMM")</f>
        <v>Nov</v>
      </c>
    </row>
    <row r="2935" spans="1:15">
      <c r="A2935" s="1">
        <v>45254</v>
      </c>
      <c r="B2935" t="s">
        <v>26</v>
      </c>
      <c r="C2935" t="s">
        <v>20</v>
      </c>
      <c r="D2935">
        <v>1</v>
      </c>
      <c r="E2935" t="s">
        <v>10</v>
      </c>
      <c r="F2935">
        <v>89000</v>
      </c>
      <c r="G2935">
        <v>65000</v>
      </c>
      <c r="H2935">
        <f>Table1[[#This Row],[Qty]]*Table1[[#This Row],[SellingPrice]]</f>
        <v>89000</v>
      </c>
      <c r="I2935">
        <f>Table1[[#This Row],[Qty]]*Table1[[#This Row],[CostPrice]]</f>
        <v>65000</v>
      </c>
      <c r="J2935">
        <v>23832</v>
      </c>
      <c r="K2935">
        <v>167.99999999999997</v>
      </c>
      <c r="L2935" t="s">
        <v>11</v>
      </c>
      <c r="M2935" t="s">
        <v>29</v>
      </c>
      <c r="N2935">
        <f>MONTH(Table1[[#This Row],[SaleDate]])</f>
        <v>11</v>
      </c>
      <c r="O2935" t="str">
        <f>TEXT(Table1[[#This Row],[SaleDate]],"MMM")</f>
        <v>Nov</v>
      </c>
    </row>
    <row r="2936" spans="1:15">
      <c r="A2936" s="1">
        <v>45254</v>
      </c>
      <c r="B2936" t="s">
        <v>24</v>
      </c>
      <c r="C2936" t="s">
        <v>22</v>
      </c>
      <c r="D2936">
        <v>1</v>
      </c>
      <c r="E2936" t="s">
        <v>7</v>
      </c>
      <c r="F2936">
        <v>33000</v>
      </c>
      <c r="G2936">
        <v>18000</v>
      </c>
      <c r="H2936">
        <f>Table1[[#This Row],[Qty]]*Table1[[#This Row],[SellingPrice]]</f>
        <v>33000</v>
      </c>
      <c r="I2936">
        <f>Table1[[#This Row],[Qty]]*Table1[[#This Row],[CostPrice]]</f>
        <v>18000</v>
      </c>
      <c r="J2936">
        <v>14895</v>
      </c>
      <c r="K2936">
        <v>104.99999999999999</v>
      </c>
      <c r="L2936" t="s">
        <v>12</v>
      </c>
      <c r="M2936" t="s">
        <v>27</v>
      </c>
      <c r="N2936">
        <f>MONTH(Table1[[#This Row],[SaleDate]])</f>
        <v>11</v>
      </c>
      <c r="O2936" t="str">
        <f>TEXT(Table1[[#This Row],[SaleDate]],"MMM")</f>
        <v>Nov</v>
      </c>
    </row>
    <row r="2937" spans="1:15">
      <c r="A2937" s="1">
        <v>45254</v>
      </c>
      <c r="B2937" t="s">
        <v>24</v>
      </c>
      <c r="C2937" t="s">
        <v>22</v>
      </c>
      <c r="D2937">
        <v>1</v>
      </c>
      <c r="E2937" t="s">
        <v>9</v>
      </c>
      <c r="F2937">
        <v>60000</v>
      </c>
      <c r="G2937">
        <v>31000</v>
      </c>
      <c r="H2937">
        <f>Table1[[#This Row],[Qty]]*Table1[[#This Row],[SellingPrice]]</f>
        <v>60000</v>
      </c>
      <c r="I2937">
        <f>Table1[[#This Row],[Qty]]*Table1[[#This Row],[CostPrice]]</f>
        <v>31000</v>
      </c>
      <c r="J2937">
        <v>28797</v>
      </c>
      <c r="K2937">
        <v>202.99999999999997</v>
      </c>
      <c r="L2937" t="s">
        <v>12</v>
      </c>
      <c r="M2937" t="s">
        <v>27</v>
      </c>
      <c r="N2937">
        <f>MONTH(Table1[[#This Row],[SaleDate]])</f>
        <v>11</v>
      </c>
      <c r="O2937" t="str">
        <f>TEXT(Table1[[#This Row],[SaleDate]],"MMM")</f>
        <v>Nov</v>
      </c>
    </row>
    <row r="2938" spans="1:15">
      <c r="A2938" s="1">
        <v>45254</v>
      </c>
      <c r="B2938" t="s">
        <v>24</v>
      </c>
      <c r="C2938" t="s">
        <v>22</v>
      </c>
      <c r="D2938">
        <v>1</v>
      </c>
      <c r="E2938" t="s">
        <v>10</v>
      </c>
      <c r="F2938">
        <v>89000</v>
      </c>
      <c r="G2938">
        <v>65000</v>
      </c>
      <c r="H2938">
        <f>Table1[[#This Row],[Qty]]*Table1[[#This Row],[SellingPrice]]</f>
        <v>89000</v>
      </c>
      <c r="I2938">
        <f>Table1[[#This Row],[Qty]]*Table1[[#This Row],[CostPrice]]</f>
        <v>65000</v>
      </c>
      <c r="J2938">
        <v>23832</v>
      </c>
      <c r="K2938">
        <v>167.99999999999997</v>
      </c>
      <c r="L2938" t="s">
        <v>12</v>
      </c>
      <c r="M2938" t="s">
        <v>27</v>
      </c>
      <c r="N2938">
        <f>MONTH(Table1[[#This Row],[SaleDate]])</f>
        <v>11</v>
      </c>
      <c r="O2938" t="str">
        <f>TEXT(Table1[[#This Row],[SaleDate]],"MMM")</f>
        <v>Nov</v>
      </c>
    </row>
    <row r="2939" spans="1:15">
      <c r="A2939" s="1">
        <v>45254</v>
      </c>
      <c r="B2939" t="s">
        <v>25</v>
      </c>
      <c r="C2939" t="s">
        <v>21</v>
      </c>
      <c r="D2939">
        <v>1</v>
      </c>
      <c r="E2939" t="s">
        <v>7</v>
      </c>
      <c r="F2939">
        <v>33000</v>
      </c>
      <c r="G2939">
        <v>18000</v>
      </c>
      <c r="H2939">
        <f>Table1[[#This Row],[Qty]]*Table1[[#This Row],[SellingPrice]]</f>
        <v>33000</v>
      </c>
      <c r="I2939">
        <f>Table1[[#This Row],[Qty]]*Table1[[#This Row],[CostPrice]]</f>
        <v>18000</v>
      </c>
      <c r="J2939">
        <v>14895</v>
      </c>
      <c r="K2939">
        <v>104.99999999999999</v>
      </c>
      <c r="L2939" t="s">
        <v>13</v>
      </c>
      <c r="M2939" t="s">
        <v>28</v>
      </c>
      <c r="N2939">
        <f>MONTH(Table1[[#This Row],[SaleDate]])</f>
        <v>11</v>
      </c>
      <c r="O2939" t="str">
        <f>TEXT(Table1[[#This Row],[SaleDate]],"MMM")</f>
        <v>Nov</v>
      </c>
    </row>
    <row r="2940" spans="1:15">
      <c r="A2940" s="1">
        <v>45254</v>
      </c>
      <c r="B2940" t="s">
        <v>25</v>
      </c>
      <c r="C2940" t="s">
        <v>21</v>
      </c>
      <c r="D2940">
        <v>1</v>
      </c>
      <c r="E2940" t="s">
        <v>9</v>
      </c>
      <c r="F2940">
        <v>60000</v>
      </c>
      <c r="G2940">
        <v>31000</v>
      </c>
      <c r="H2940">
        <f>Table1[[#This Row],[Qty]]*Table1[[#This Row],[SellingPrice]]</f>
        <v>60000</v>
      </c>
      <c r="I2940">
        <f>Table1[[#This Row],[Qty]]*Table1[[#This Row],[CostPrice]]</f>
        <v>31000</v>
      </c>
      <c r="J2940">
        <v>28797</v>
      </c>
      <c r="K2940">
        <v>202.99999999999997</v>
      </c>
      <c r="L2940" t="s">
        <v>13</v>
      </c>
      <c r="M2940" t="s">
        <v>27</v>
      </c>
      <c r="N2940">
        <f>MONTH(Table1[[#This Row],[SaleDate]])</f>
        <v>11</v>
      </c>
      <c r="O2940" t="str">
        <f>TEXT(Table1[[#This Row],[SaleDate]],"MMM")</f>
        <v>Nov</v>
      </c>
    </row>
    <row r="2941" spans="1:15">
      <c r="A2941" s="1">
        <v>45254</v>
      </c>
      <c r="B2941" t="s">
        <v>25</v>
      </c>
      <c r="C2941" t="s">
        <v>21</v>
      </c>
      <c r="D2941">
        <v>1</v>
      </c>
      <c r="E2941" t="s">
        <v>10</v>
      </c>
      <c r="F2941">
        <v>89000</v>
      </c>
      <c r="G2941">
        <v>65000</v>
      </c>
      <c r="H2941">
        <f>Table1[[#This Row],[Qty]]*Table1[[#This Row],[SellingPrice]]</f>
        <v>89000</v>
      </c>
      <c r="I2941">
        <f>Table1[[#This Row],[Qty]]*Table1[[#This Row],[CostPrice]]</f>
        <v>65000</v>
      </c>
      <c r="J2941">
        <v>23832</v>
      </c>
      <c r="K2941">
        <v>167.99999999999997</v>
      </c>
      <c r="L2941" t="s">
        <v>13</v>
      </c>
      <c r="M2941" t="s">
        <v>30</v>
      </c>
      <c r="N2941">
        <f>MONTH(Table1[[#This Row],[SaleDate]])</f>
        <v>11</v>
      </c>
      <c r="O2941" t="str">
        <f>TEXT(Table1[[#This Row],[SaleDate]],"MMM")</f>
        <v>Nov</v>
      </c>
    </row>
    <row r="2942" spans="1:15">
      <c r="A2942" s="1">
        <v>45255</v>
      </c>
      <c r="B2942" t="s">
        <v>23</v>
      </c>
      <c r="C2942" t="s">
        <v>19</v>
      </c>
      <c r="D2942">
        <v>2</v>
      </c>
      <c r="E2942" t="s">
        <v>7</v>
      </c>
      <c r="F2942">
        <v>33000</v>
      </c>
      <c r="G2942">
        <v>18000</v>
      </c>
      <c r="H2942">
        <f>Table1[[#This Row],[Qty]]*Table1[[#This Row],[SellingPrice]]</f>
        <v>66000</v>
      </c>
      <c r="I2942">
        <f>Table1[[#This Row],[Qty]]*Table1[[#This Row],[CostPrice]]</f>
        <v>36000</v>
      </c>
      <c r="J2942">
        <v>29790</v>
      </c>
      <c r="K2942">
        <v>209.99999999999997</v>
      </c>
      <c r="L2942" t="s">
        <v>8</v>
      </c>
      <c r="M2942" t="s">
        <v>30</v>
      </c>
      <c r="N2942">
        <f>MONTH(Table1[[#This Row],[SaleDate]])</f>
        <v>11</v>
      </c>
      <c r="O2942" t="str">
        <f>TEXT(Table1[[#This Row],[SaleDate]],"MMM")</f>
        <v>Nov</v>
      </c>
    </row>
    <row r="2943" spans="1:15">
      <c r="A2943" s="1">
        <v>45255</v>
      </c>
      <c r="B2943" t="s">
        <v>23</v>
      </c>
      <c r="C2943" t="s">
        <v>19</v>
      </c>
      <c r="D2943">
        <v>2</v>
      </c>
      <c r="E2943" t="s">
        <v>9</v>
      </c>
      <c r="F2943">
        <v>60000</v>
      </c>
      <c r="G2943">
        <v>31000</v>
      </c>
      <c r="H2943">
        <f>Table1[[#This Row],[Qty]]*Table1[[#This Row],[SellingPrice]]</f>
        <v>120000</v>
      </c>
      <c r="I2943">
        <f>Table1[[#This Row],[Qty]]*Table1[[#This Row],[CostPrice]]</f>
        <v>62000</v>
      </c>
      <c r="J2943">
        <v>57594</v>
      </c>
      <c r="K2943">
        <v>405.99999999999994</v>
      </c>
      <c r="L2943" t="s">
        <v>8</v>
      </c>
      <c r="M2943" t="s">
        <v>27</v>
      </c>
      <c r="N2943">
        <f>MONTH(Table1[[#This Row],[SaleDate]])</f>
        <v>11</v>
      </c>
      <c r="O2943" t="str">
        <f>TEXT(Table1[[#This Row],[SaleDate]],"MMM")</f>
        <v>Nov</v>
      </c>
    </row>
    <row r="2944" spans="1:15">
      <c r="A2944" s="1">
        <v>45255</v>
      </c>
      <c r="B2944" t="s">
        <v>23</v>
      </c>
      <c r="C2944" t="s">
        <v>19</v>
      </c>
      <c r="D2944">
        <v>2</v>
      </c>
      <c r="E2944" t="s">
        <v>10</v>
      </c>
      <c r="F2944">
        <v>89000</v>
      </c>
      <c r="G2944">
        <v>65000</v>
      </c>
      <c r="H2944">
        <f>Table1[[#This Row],[Qty]]*Table1[[#This Row],[SellingPrice]]</f>
        <v>178000</v>
      </c>
      <c r="I2944">
        <f>Table1[[#This Row],[Qty]]*Table1[[#This Row],[CostPrice]]</f>
        <v>130000</v>
      </c>
      <c r="J2944">
        <v>47664</v>
      </c>
      <c r="K2944">
        <v>335.99999999999994</v>
      </c>
      <c r="L2944" t="s">
        <v>8</v>
      </c>
      <c r="M2944" t="s">
        <v>29</v>
      </c>
      <c r="N2944">
        <f>MONTH(Table1[[#This Row],[SaleDate]])</f>
        <v>11</v>
      </c>
      <c r="O2944" t="str">
        <f>TEXT(Table1[[#This Row],[SaleDate]],"MMM")</f>
        <v>Nov</v>
      </c>
    </row>
    <row r="2945" spans="1:15">
      <c r="A2945" s="1">
        <v>45255</v>
      </c>
      <c r="B2945" t="s">
        <v>26</v>
      </c>
      <c r="C2945" t="s">
        <v>20</v>
      </c>
      <c r="D2945">
        <v>2</v>
      </c>
      <c r="E2945" t="s">
        <v>10</v>
      </c>
      <c r="F2945">
        <v>89000</v>
      </c>
      <c r="G2945">
        <v>65000</v>
      </c>
      <c r="H2945">
        <f>Table1[[#This Row],[Qty]]*Table1[[#This Row],[SellingPrice]]</f>
        <v>178000</v>
      </c>
      <c r="I2945">
        <f>Table1[[#This Row],[Qty]]*Table1[[#This Row],[CostPrice]]</f>
        <v>130000</v>
      </c>
      <c r="J2945">
        <v>47664</v>
      </c>
      <c r="K2945">
        <v>335.99999999999994</v>
      </c>
      <c r="L2945" t="s">
        <v>11</v>
      </c>
      <c r="M2945" t="s">
        <v>30</v>
      </c>
      <c r="N2945">
        <f>MONTH(Table1[[#This Row],[SaleDate]])</f>
        <v>11</v>
      </c>
      <c r="O2945" t="str">
        <f>TEXT(Table1[[#This Row],[SaleDate]],"MMM")</f>
        <v>Nov</v>
      </c>
    </row>
    <row r="2946" spans="1:15">
      <c r="A2946" s="1">
        <v>45255</v>
      </c>
      <c r="B2946" t="s">
        <v>24</v>
      </c>
      <c r="C2946" t="s">
        <v>22</v>
      </c>
      <c r="D2946">
        <v>2</v>
      </c>
      <c r="E2946" t="s">
        <v>7</v>
      </c>
      <c r="F2946">
        <v>33000</v>
      </c>
      <c r="G2946">
        <v>18000</v>
      </c>
      <c r="H2946">
        <f>Table1[[#This Row],[Qty]]*Table1[[#This Row],[SellingPrice]]</f>
        <v>66000</v>
      </c>
      <c r="I2946">
        <f>Table1[[#This Row],[Qty]]*Table1[[#This Row],[CostPrice]]</f>
        <v>36000</v>
      </c>
      <c r="J2946">
        <v>29790</v>
      </c>
      <c r="K2946">
        <v>209.99999999999997</v>
      </c>
      <c r="L2946" t="s">
        <v>12</v>
      </c>
      <c r="M2946" t="s">
        <v>29</v>
      </c>
      <c r="N2946">
        <f>MONTH(Table1[[#This Row],[SaleDate]])</f>
        <v>11</v>
      </c>
      <c r="O2946" t="str">
        <f>TEXT(Table1[[#This Row],[SaleDate]],"MMM")</f>
        <v>Nov</v>
      </c>
    </row>
    <row r="2947" spans="1:15">
      <c r="A2947" s="1">
        <v>45255</v>
      </c>
      <c r="B2947" t="s">
        <v>24</v>
      </c>
      <c r="C2947" t="s">
        <v>22</v>
      </c>
      <c r="D2947">
        <v>2</v>
      </c>
      <c r="E2947" t="s">
        <v>9</v>
      </c>
      <c r="F2947">
        <v>60000</v>
      </c>
      <c r="G2947">
        <v>31000</v>
      </c>
      <c r="H2947">
        <f>Table1[[#This Row],[Qty]]*Table1[[#This Row],[SellingPrice]]</f>
        <v>120000</v>
      </c>
      <c r="I2947">
        <f>Table1[[#This Row],[Qty]]*Table1[[#This Row],[CostPrice]]</f>
        <v>62000</v>
      </c>
      <c r="J2947">
        <v>57594</v>
      </c>
      <c r="K2947">
        <v>405.99999999999994</v>
      </c>
      <c r="L2947" t="s">
        <v>12</v>
      </c>
      <c r="M2947" t="s">
        <v>27</v>
      </c>
      <c r="N2947">
        <f>MONTH(Table1[[#This Row],[SaleDate]])</f>
        <v>11</v>
      </c>
      <c r="O2947" t="str">
        <f>TEXT(Table1[[#This Row],[SaleDate]],"MMM")</f>
        <v>Nov</v>
      </c>
    </row>
    <row r="2948" spans="1:15">
      <c r="A2948" s="1">
        <v>45255</v>
      </c>
      <c r="B2948" t="s">
        <v>24</v>
      </c>
      <c r="C2948" t="s">
        <v>22</v>
      </c>
      <c r="D2948">
        <v>2</v>
      </c>
      <c r="E2948" t="s">
        <v>10</v>
      </c>
      <c r="F2948">
        <v>89000</v>
      </c>
      <c r="G2948">
        <v>65000</v>
      </c>
      <c r="H2948">
        <f>Table1[[#This Row],[Qty]]*Table1[[#This Row],[SellingPrice]]</f>
        <v>178000</v>
      </c>
      <c r="I2948">
        <f>Table1[[#This Row],[Qty]]*Table1[[#This Row],[CostPrice]]</f>
        <v>130000</v>
      </c>
      <c r="J2948">
        <v>47664</v>
      </c>
      <c r="K2948">
        <v>335.99999999999994</v>
      </c>
      <c r="L2948" t="s">
        <v>12</v>
      </c>
      <c r="M2948" t="s">
        <v>27</v>
      </c>
      <c r="N2948">
        <f>MONTH(Table1[[#This Row],[SaleDate]])</f>
        <v>11</v>
      </c>
      <c r="O2948" t="str">
        <f>TEXT(Table1[[#This Row],[SaleDate]],"MMM")</f>
        <v>Nov</v>
      </c>
    </row>
    <row r="2949" spans="1:15">
      <c r="A2949" s="1">
        <v>45255</v>
      </c>
      <c r="B2949" t="s">
        <v>25</v>
      </c>
      <c r="C2949" t="s">
        <v>21</v>
      </c>
      <c r="D2949">
        <v>2</v>
      </c>
      <c r="E2949" t="s">
        <v>7</v>
      </c>
      <c r="F2949">
        <v>33000</v>
      </c>
      <c r="G2949">
        <v>18000</v>
      </c>
      <c r="H2949">
        <f>Table1[[#This Row],[Qty]]*Table1[[#This Row],[SellingPrice]]</f>
        <v>66000</v>
      </c>
      <c r="I2949">
        <f>Table1[[#This Row],[Qty]]*Table1[[#This Row],[CostPrice]]</f>
        <v>36000</v>
      </c>
      <c r="J2949">
        <v>29790</v>
      </c>
      <c r="K2949">
        <v>209.99999999999997</v>
      </c>
      <c r="L2949" t="s">
        <v>13</v>
      </c>
      <c r="M2949" t="s">
        <v>29</v>
      </c>
      <c r="N2949">
        <f>MONTH(Table1[[#This Row],[SaleDate]])</f>
        <v>11</v>
      </c>
      <c r="O2949" t="str">
        <f>TEXT(Table1[[#This Row],[SaleDate]],"MMM")</f>
        <v>Nov</v>
      </c>
    </row>
    <row r="2950" spans="1:15">
      <c r="A2950" s="1">
        <v>45255</v>
      </c>
      <c r="B2950" t="s">
        <v>25</v>
      </c>
      <c r="C2950" t="s">
        <v>21</v>
      </c>
      <c r="D2950">
        <v>2</v>
      </c>
      <c r="E2950" t="s">
        <v>9</v>
      </c>
      <c r="F2950">
        <v>60000</v>
      </c>
      <c r="G2950">
        <v>31000</v>
      </c>
      <c r="H2950">
        <f>Table1[[#This Row],[Qty]]*Table1[[#This Row],[SellingPrice]]</f>
        <v>120000</v>
      </c>
      <c r="I2950">
        <f>Table1[[#This Row],[Qty]]*Table1[[#This Row],[CostPrice]]</f>
        <v>62000</v>
      </c>
      <c r="J2950">
        <v>57594</v>
      </c>
      <c r="K2950">
        <v>405.99999999999994</v>
      </c>
      <c r="L2950" t="s">
        <v>13</v>
      </c>
      <c r="M2950" t="s">
        <v>30</v>
      </c>
      <c r="N2950">
        <f>MONTH(Table1[[#This Row],[SaleDate]])</f>
        <v>11</v>
      </c>
      <c r="O2950" t="str">
        <f>TEXT(Table1[[#This Row],[SaleDate]],"MMM")</f>
        <v>Nov</v>
      </c>
    </row>
    <row r="2951" spans="1:15">
      <c r="A2951" s="1">
        <v>45255</v>
      </c>
      <c r="B2951" t="s">
        <v>25</v>
      </c>
      <c r="C2951" t="s">
        <v>21</v>
      </c>
      <c r="D2951">
        <v>2</v>
      </c>
      <c r="E2951" t="s">
        <v>10</v>
      </c>
      <c r="F2951">
        <v>89000</v>
      </c>
      <c r="G2951">
        <v>65000</v>
      </c>
      <c r="H2951">
        <f>Table1[[#This Row],[Qty]]*Table1[[#This Row],[SellingPrice]]</f>
        <v>178000</v>
      </c>
      <c r="I2951">
        <f>Table1[[#This Row],[Qty]]*Table1[[#This Row],[CostPrice]]</f>
        <v>130000</v>
      </c>
      <c r="J2951">
        <v>47664</v>
      </c>
      <c r="K2951">
        <v>335.99999999999994</v>
      </c>
      <c r="L2951" t="s">
        <v>13</v>
      </c>
      <c r="M2951" t="s">
        <v>27</v>
      </c>
      <c r="N2951">
        <f>MONTH(Table1[[#This Row],[SaleDate]])</f>
        <v>11</v>
      </c>
      <c r="O2951" t="str">
        <f>TEXT(Table1[[#This Row],[SaleDate]],"MMM")</f>
        <v>Nov</v>
      </c>
    </row>
    <row r="2952" spans="1:15">
      <c r="A2952" s="1">
        <v>45256</v>
      </c>
      <c r="B2952" t="s">
        <v>23</v>
      </c>
      <c r="C2952" t="s">
        <v>19</v>
      </c>
      <c r="D2952">
        <v>1</v>
      </c>
      <c r="E2952" t="s">
        <v>7</v>
      </c>
      <c r="F2952">
        <v>33000</v>
      </c>
      <c r="G2952">
        <v>18000</v>
      </c>
      <c r="H2952">
        <f>Table1[[#This Row],[Qty]]*Table1[[#This Row],[SellingPrice]]</f>
        <v>33000</v>
      </c>
      <c r="I2952">
        <f>Table1[[#This Row],[Qty]]*Table1[[#This Row],[CostPrice]]</f>
        <v>18000</v>
      </c>
      <c r="J2952">
        <v>14895</v>
      </c>
      <c r="K2952">
        <v>104.99999999999999</v>
      </c>
      <c r="L2952" t="s">
        <v>8</v>
      </c>
      <c r="M2952" t="s">
        <v>29</v>
      </c>
      <c r="N2952">
        <f>MONTH(Table1[[#This Row],[SaleDate]])</f>
        <v>11</v>
      </c>
      <c r="O2952" t="str">
        <f>TEXT(Table1[[#This Row],[SaleDate]],"MMM")</f>
        <v>Nov</v>
      </c>
    </row>
    <row r="2953" spans="1:15">
      <c r="A2953" s="1">
        <v>45256</v>
      </c>
      <c r="B2953" t="s">
        <v>23</v>
      </c>
      <c r="C2953" t="s">
        <v>19</v>
      </c>
      <c r="D2953">
        <v>1</v>
      </c>
      <c r="E2953" t="s">
        <v>9</v>
      </c>
      <c r="F2953">
        <v>60000</v>
      </c>
      <c r="G2953">
        <v>31000</v>
      </c>
      <c r="H2953">
        <f>Table1[[#This Row],[Qty]]*Table1[[#This Row],[SellingPrice]]</f>
        <v>60000</v>
      </c>
      <c r="I2953">
        <f>Table1[[#This Row],[Qty]]*Table1[[#This Row],[CostPrice]]</f>
        <v>31000</v>
      </c>
      <c r="J2953">
        <v>28797</v>
      </c>
      <c r="K2953">
        <v>202.99999999999997</v>
      </c>
      <c r="L2953" t="s">
        <v>8</v>
      </c>
      <c r="M2953" t="s">
        <v>27</v>
      </c>
      <c r="N2953">
        <f>MONTH(Table1[[#This Row],[SaleDate]])</f>
        <v>11</v>
      </c>
      <c r="O2953" t="str">
        <f>TEXT(Table1[[#This Row],[SaleDate]],"MMM")</f>
        <v>Nov</v>
      </c>
    </row>
    <row r="2954" spans="1:15">
      <c r="A2954" s="1">
        <v>45256</v>
      </c>
      <c r="B2954" t="s">
        <v>23</v>
      </c>
      <c r="C2954" t="s">
        <v>19</v>
      </c>
      <c r="D2954">
        <v>1</v>
      </c>
      <c r="E2954" t="s">
        <v>10</v>
      </c>
      <c r="F2954">
        <v>89000</v>
      </c>
      <c r="G2954">
        <v>65000</v>
      </c>
      <c r="H2954">
        <f>Table1[[#This Row],[Qty]]*Table1[[#This Row],[SellingPrice]]</f>
        <v>89000</v>
      </c>
      <c r="I2954">
        <f>Table1[[#This Row],[Qty]]*Table1[[#This Row],[CostPrice]]</f>
        <v>65000</v>
      </c>
      <c r="J2954">
        <v>23832</v>
      </c>
      <c r="K2954">
        <v>167.99999999999997</v>
      </c>
      <c r="L2954" t="s">
        <v>8</v>
      </c>
      <c r="M2954" t="s">
        <v>27</v>
      </c>
      <c r="N2954">
        <f>MONTH(Table1[[#This Row],[SaleDate]])</f>
        <v>11</v>
      </c>
      <c r="O2954" t="str">
        <f>TEXT(Table1[[#This Row],[SaleDate]],"MMM")</f>
        <v>Nov</v>
      </c>
    </row>
    <row r="2955" spans="1:15">
      <c r="A2955" s="1">
        <v>45256</v>
      </c>
      <c r="B2955" t="s">
        <v>26</v>
      </c>
      <c r="C2955" t="s">
        <v>20</v>
      </c>
      <c r="D2955">
        <v>1</v>
      </c>
      <c r="E2955" t="s">
        <v>10</v>
      </c>
      <c r="F2955">
        <v>89000</v>
      </c>
      <c r="G2955">
        <v>65000</v>
      </c>
      <c r="H2955">
        <f>Table1[[#This Row],[Qty]]*Table1[[#This Row],[SellingPrice]]</f>
        <v>89000</v>
      </c>
      <c r="I2955">
        <f>Table1[[#This Row],[Qty]]*Table1[[#This Row],[CostPrice]]</f>
        <v>65000</v>
      </c>
      <c r="J2955">
        <v>23832</v>
      </c>
      <c r="K2955">
        <v>167.99999999999997</v>
      </c>
      <c r="L2955" t="s">
        <v>11</v>
      </c>
      <c r="M2955" t="s">
        <v>27</v>
      </c>
      <c r="N2955">
        <f>MONTH(Table1[[#This Row],[SaleDate]])</f>
        <v>11</v>
      </c>
      <c r="O2955" t="str">
        <f>TEXT(Table1[[#This Row],[SaleDate]],"MMM")</f>
        <v>Nov</v>
      </c>
    </row>
    <row r="2956" spans="1:15">
      <c r="A2956" s="1">
        <v>45256</v>
      </c>
      <c r="B2956" t="s">
        <v>24</v>
      </c>
      <c r="C2956" t="s">
        <v>22</v>
      </c>
      <c r="D2956">
        <v>1</v>
      </c>
      <c r="E2956" t="s">
        <v>7</v>
      </c>
      <c r="F2956">
        <v>33000</v>
      </c>
      <c r="G2956">
        <v>18000</v>
      </c>
      <c r="H2956">
        <f>Table1[[#This Row],[Qty]]*Table1[[#This Row],[SellingPrice]]</f>
        <v>33000</v>
      </c>
      <c r="I2956">
        <f>Table1[[#This Row],[Qty]]*Table1[[#This Row],[CostPrice]]</f>
        <v>18000</v>
      </c>
      <c r="J2956">
        <v>14895</v>
      </c>
      <c r="K2956">
        <v>104.99999999999999</v>
      </c>
      <c r="L2956" t="s">
        <v>12</v>
      </c>
      <c r="M2956" t="s">
        <v>27</v>
      </c>
      <c r="N2956">
        <f>MONTH(Table1[[#This Row],[SaleDate]])</f>
        <v>11</v>
      </c>
      <c r="O2956" t="str">
        <f>TEXT(Table1[[#This Row],[SaleDate]],"MMM")</f>
        <v>Nov</v>
      </c>
    </row>
    <row r="2957" spans="1:15">
      <c r="A2957" s="1">
        <v>45256</v>
      </c>
      <c r="B2957" t="s">
        <v>24</v>
      </c>
      <c r="C2957" t="s">
        <v>22</v>
      </c>
      <c r="D2957">
        <v>1</v>
      </c>
      <c r="E2957" t="s">
        <v>9</v>
      </c>
      <c r="F2957">
        <v>60000</v>
      </c>
      <c r="G2957">
        <v>31000</v>
      </c>
      <c r="H2957">
        <f>Table1[[#This Row],[Qty]]*Table1[[#This Row],[SellingPrice]]</f>
        <v>60000</v>
      </c>
      <c r="I2957">
        <f>Table1[[#This Row],[Qty]]*Table1[[#This Row],[CostPrice]]</f>
        <v>31000</v>
      </c>
      <c r="J2957">
        <v>28797</v>
      </c>
      <c r="K2957">
        <v>202.99999999999997</v>
      </c>
      <c r="L2957" t="s">
        <v>12</v>
      </c>
      <c r="M2957" t="s">
        <v>30</v>
      </c>
      <c r="N2957">
        <f>MONTH(Table1[[#This Row],[SaleDate]])</f>
        <v>11</v>
      </c>
      <c r="O2957" t="str">
        <f>TEXT(Table1[[#This Row],[SaleDate]],"MMM")</f>
        <v>Nov</v>
      </c>
    </row>
    <row r="2958" spans="1:15">
      <c r="A2958" s="1">
        <v>45256</v>
      </c>
      <c r="B2958" t="s">
        <v>24</v>
      </c>
      <c r="C2958" t="s">
        <v>22</v>
      </c>
      <c r="D2958">
        <v>1</v>
      </c>
      <c r="E2958" t="s">
        <v>10</v>
      </c>
      <c r="F2958">
        <v>89000</v>
      </c>
      <c r="G2958">
        <v>65000</v>
      </c>
      <c r="H2958">
        <f>Table1[[#This Row],[Qty]]*Table1[[#This Row],[SellingPrice]]</f>
        <v>89000</v>
      </c>
      <c r="I2958">
        <f>Table1[[#This Row],[Qty]]*Table1[[#This Row],[CostPrice]]</f>
        <v>65000</v>
      </c>
      <c r="J2958">
        <v>23832</v>
      </c>
      <c r="K2958">
        <v>167.99999999999997</v>
      </c>
      <c r="L2958" t="s">
        <v>12</v>
      </c>
      <c r="M2958" t="s">
        <v>27</v>
      </c>
      <c r="N2958">
        <f>MONTH(Table1[[#This Row],[SaleDate]])</f>
        <v>11</v>
      </c>
      <c r="O2958" t="str">
        <f>TEXT(Table1[[#This Row],[SaleDate]],"MMM")</f>
        <v>Nov</v>
      </c>
    </row>
    <row r="2959" spans="1:15">
      <c r="A2959" s="1">
        <v>45256</v>
      </c>
      <c r="B2959" t="s">
        <v>25</v>
      </c>
      <c r="C2959" t="s">
        <v>21</v>
      </c>
      <c r="D2959">
        <v>1</v>
      </c>
      <c r="E2959" t="s">
        <v>7</v>
      </c>
      <c r="F2959">
        <v>33000</v>
      </c>
      <c r="G2959">
        <v>18000</v>
      </c>
      <c r="H2959">
        <f>Table1[[#This Row],[Qty]]*Table1[[#This Row],[SellingPrice]]</f>
        <v>33000</v>
      </c>
      <c r="I2959">
        <f>Table1[[#This Row],[Qty]]*Table1[[#This Row],[CostPrice]]</f>
        <v>18000</v>
      </c>
      <c r="J2959">
        <v>14895</v>
      </c>
      <c r="K2959">
        <v>104.99999999999999</v>
      </c>
      <c r="L2959" t="s">
        <v>13</v>
      </c>
      <c r="M2959" t="s">
        <v>29</v>
      </c>
      <c r="N2959">
        <f>MONTH(Table1[[#This Row],[SaleDate]])</f>
        <v>11</v>
      </c>
      <c r="O2959" t="str">
        <f>TEXT(Table1[[#This Row],[SaleDate]],"MMM")</f>
        <v>Nov</v>
      </c>
    </row>
    <row r="2960" spans="1:15">
      <c r="A2960" s="1">
        <v>45256</v>
      </c>
      <c r="B2960" t="s">
        <v>25</v>
      </c>
      <c r="C2960" t="s">
        <v>21</v>
      </c>
      <c r="D2960">
        <v>1</v>
      </c>
      <c r="E2960" t="s">
        <v>9</v>
      </c>
      <c r="F2960">
        <v>60000</v>
      </c>
      <c r="G2960">
        <v>31000</v>
      </c>
      <c r="H2960">
        <f>Table1[[#This Row],[Qty]]*Table1[[#This Row],[SellingPrice]]</f>
        <v>60000</v>
      </c>
      <c r="I2960">
        <f>Table1[[#This Row],[Qty]]*Table1[[#This Row],[CostPrice]]</f>
        <v>31000</v>
      </c>
      <c r="J2960">
        <v>28797</v>
      </c>
      <c r="K2960">
        <v>202.99999999999997</v>
      </c>
      <c r="L2960" t="s">
        <v>13</v>
      </c>
      <c r="M2960" t="s">
        <v>29</v>
      </c>
      <c r="N2960">
        <f>MONTH(Table1[[#This Row],[SaleDate]])</f>
        <v>11</v>
      </c>
      <c r="O2960" t="str">
        <f>TEXT(Table1[[#This Row],[SaleDate]],"MMM")</f>
        <v>Nov</v>
      </c>
    </row>
    <row r="2961" spans="1:15">
      <c r="A2961" s="1">
        <v>45256</v>
      </c>
      <c r="B2961" t="s">
        <v>25</v>
      </c>
      <c r="C2961" t="s">
        <v>21</v>
      </c>
      <c r="D2961">
        <v>1</v>
      </c>
      <c r="E2961" t="s">
        <v>10</v>
      </c>
      <c r="F2961">
        <v>89000</v>
      </c>
      <c r="G2961">
        <v>65000</v>
      </c>
      <c r="H2961">
        <f>Table1[[#This Row],[Qty]]*Table1[[#This Row],[SellingPrice]]</f>
        <v>89000</v>
      </c>
      <c r="I2961">
        <f>Table1[[#This Row],[Qty]]*Table1[[#This Row],[CostPrice]]</f>
        <v>65000</v>
      </c>
      <c r="J2961">
        <v>23832</v>
      </c>
      <c r="K2961">
        <v>167.99999999999997</v>
      </c>
      <c r="L2961" t="s">
        <v>13</v>
      </c>
      <c r="M2961" t="s">
        <v>29</v>
      </c>
      <c r="N2961">
        <f>MONTH(Table1[[#This Row],[SaleDate]])</f>
        <v>11</v>
      </c>
      <c r="O2961" t="str">
        <f>TEXT(Table1[[#This Row],[SaleDate]],"MMM")</f>
        <v>Nov</v>
      </c>
    </row>
    <row r="2962" spans="1:15">
      <c r="A2962" s="1">
        <v>45257</v>
      </c>
      <c r="B2962" t="s">
        <v>23</v>
      </c>
      <c r="C2962" t="s">
        <v>19</v>
      </c>
      <c r="D2962">
        <v>1</v>
      </c>
      <c r="E2962" t="s">
        <v>7</v>
      </c>
      <c r="F2962">
        <v>33000</v>
      </c>
      <c r="G2962">
        <v>18000</v>
      </c>
      <c r="H2962">
        <f>Table1[[#This Row],[Qty]]*Table1[[#This Row],[SellingPrice]]</f>
        <v>33000</v>
      </c>
      <c r="I2962">
        <f>Table1[[#This Row],[Qty]]*Table1[[#This Row],[CostPrice]]</f>
        <v>18000</v>
      </c>
      <c r="J2962">
        <v>14895</v>
      </c>
      <c r="K2962">
        <v>104.99999999999999</v>
      </c>
      <c r="L2962" t="s">
        <v>8</v>
      </c>
      <c r="M2962" t="s">
        <v>30</v>
      </c>
      <c r="N2962">
        <f>MONTH(Table1[[#This Row],[SaleDate]])</f>
        <v>11</v>
      </c>
      <c r="O2962" t="str">
        <f>TEXT(Table1[[#This Row],[SaleDate]],"MMM")</f>
        <v>Nov</v>
      </c>
    </row>
    <row r="2963" spans="1:15">
      <c r="A2963" s="1">
        <v>45257</v>
      </c>
      <c r="B2963" t="s">
        <v>23</v>
      </c>
      <c r="C2963" t="s">
        <v>19</v>
      </c>
      <c r="D2963">
        <v>1</v>
      </c>
      <c r="E2963" t="s">
        <v>9</v>
      </c>
      <c r="F2963">
        <v>60000</v>
      </c>
      <c r="G2963">
        <v>31000</v>
      </c>
      <c r="H2963">
        <f>Table1[[#This Row],[Qty]]*Table1[[#This Row],[SellingPrice]]</f>
        <v>60000</v>
      </c>
      <c r="I2963">
        <f>Table1[[#This Row],[Qty]]*Table1[[#This Row],[CostPrice]]</f>
        <v>31000</v>
      </c>
      <c r="J2963">
        <v>28797</v>
      </c>
      <c r="K2963">
        <v>202.99999999999997</v>
      </c>
      <c r="L2963" t="s">
        <v>8</v>
      </c>
      <c r="M2963" t="s">
        <v>29</v>
      </c>
      <c r="N2963">
        <f>MONTH(Table1[[#This Row],[SaleDate]])</f>
        <v>11</v>
      </c>
      <c r="O2963" t="str">
        <f>TEXT(Table1[[#This Row],[SaleDate]],"MMM")</f>
        <v>Nov</v>
      </c>
    </row>
    <row r="2964" spans="1:15">
      <c r="A2964" s="1">
        <v>45257</v>
      </c>
      <c r="B2964" t="s">
        <v>23</v>
      </c>
      <c r="C2964" t="s">
        <v>19</v>
      </c>
      <c r="D2964">
        <v>1</v>
      </c>
      <c r="E2964" t="s">
        <v>10</v>
      </c>
      <c r="F2964">
        <v>89000</v>
      </c>
      <c r="G2964">
        <v>65000</v>
      </c>
      <c r="H2964">
        <f>Table1[[#This Row],[Qty]]*Table1[[#This Row],[SellingPrice]]</f>
        <v>89000</v>
      </c>
      <c r="I2964">
        <f>Table1[[#This Row],[Qty]]*Table1[[#This Row],[CostPrice]]</f>
        <v>65000</v>
      </c>
      <c r="J2964">
        <v>23832</v>
      </c>
      <c r="K2964">
        <v>167.99999999999997</v>
      </c>
      <c r="L2964" t="s">
        <v>8</v>
      </c>
      <c r="M2964" t="s">
        <v>30</v>
      </c>
      <c r="N2964">
        <f>MONTH(Table1[[#This Row],[SaleDate]])</f>
        <v>11</v>
      </c>
      <c r="O2964" t="str">
        <f>TEXT(Table1[[#This Row],[SaleDate]],"MMM")</f>
        <v>Nov</v>
      </c>
    </row>
    <row r="2965" spans="1:15">
      <c r="A2965" s="1">
        <v>45257</v>
      </c>
      <c r="B2965" t="s">
        <v>26</v>
      </c>
      <c r="C2965" t="s">
        <v>20</v>
      </c>
      <c r="D2965">
        <v>1</v>
      </c>
      <c r="E2965" t="s">
        <v>10</v>
      </c>
      <c r="F2965">
        <v>89000</v>
      </c>
      <c r="G2965">
        <v>65000</v>
      </c>
      <c r="H2965">
        <f>Table1[[#This Row],[Qty]]*Table1[[#This Row],[SellingPrice]]</f>
        <v>89000</v>
      </c>
      <c r="I2965">
        <f>Table1[[#This Row],[Qty]]*Table1[[#This Row],[CostPrice]]</f>
        <v>65000</v>
      </c>
      <c r="J2965">
        <v>23832</v>
      </c>
      <c r="K2965">
        <v>167.99999999999997</v>
      </c>
      <c r="L2965" t="s">
        <v>11</v>
      </c>
      <c r="M2965" t="s">
        <v>27</v>
      </c>
      <c r="N2965">
        <f>MONTH(Table1[[#This Row],[SaleDate]])</f>
        <v>11</v>
      </c>
      <c r="O2965" t="str">
        <f>TEXT(Table1[[#This Row],[SaleDate]],"MMM")</f>
        <v>Nov</v>
      </c>
    </row>
    <row r="2966" spans="1:15">
      <c r="A2966" s="1">
        <v>45257</v>
      </c>
      <c r="B2966" t="s">
        <v>24</v>
      </c>
      <c r="C2966" t="s">
        <v>22</v>
      </c>
      <c r="D2966">
        <v>1</v>
      </c>
      <c r="E2966" t="s">
        <v>7</v>
      </c>
      <c r="F2966">
        <v>33000</v>
      </c>
      <c r="G2966">
        <v>18000</v>
      </c>
      <c r="H2966">
        <f>Table1[[#This Row],[Qty]]*Table1[[#This Row],[SellingPrice]]</f>
        <v>33000</v>
      </c>
      <c r="I2966">
        <f>Table1[[#This Row],[Qty]]*Table1[[#This Row],[CostPrice]]</f>
        <v>18000</v>
      </c>
      <c r="J2966">
        <v>14895</v>
      </c>
      <c r="K2966">
        <v>104.99999999999999</v>
      </c>
      <c r="L2966" t="s">
        <v>12</v>
      </c>
      <c r="M2966" t="s">
        <v>28</v>
      </c>
      <c r="N2966">
        <f>MONTH(Table1[[#This Row],[SaleDate]])</f>
        <v>11</v>
      </c>
      <c r="O2966" t="str">
        <f>TEXT(Table1[[#This Row],[SaleDate]],"MMM")</f>
        <v>Nov</v>
      </c>
    </row>
    <row r="2967" spans="1:15">
      <c r="A2967" s="1">
        <v>45257</v>
      </c>
      <c r="B2967" t="s">
        <v>24</v>
      </c>
      <c r="C2967" t="s">
        <v>22</v>
      </c>
      <c r="D2967">
        <v>1</v>
      </c>
      <c r="E2967" t="s">
        <v>9</v>
      </c>
      <c r="F2967">
        <v>60000</v>
      </c>
      <c r="G2967">
        <v>31000</v>
      </c>
      <c r="H2967">
        <f>Table1[[#This Row],[Qty]]*Table1[[#This Row],[SellingPrice]]</f>
        <v>60000</v>
      </c>
      <c r="I2967">
        <f>Table1[[#This Row],[Qty]]*Table1[[#This Row],[CostPrice]]</f>
        <v>31000</v>
      </c>
      <c r="J2967">
        <v>28797</v>
      </c>
      <c r="K2967">
        <v>202.99999999999997</v>
      </c>
      <c r="L2967" t="s">
        <v>12</v>
      </c>
      <c r="M2967" t="s">
        <v>28</v>
      </c>
      <c r="N2967">
        <f>MONTH(Table1[[#This Row],[SaleDate]])</f>
        <v>11</v>
      </c>
      <c r="O2967" t="str">
        <f>TEXT(Table1[[#This Row],[SaleDate]],"MMM")</f>
        <v>Nov</v>
      </c>
    </row>
    <row r="2968" spans="1:15">
      <c r="A2968" s="1">
        <v>45257</v>
      </c>
      <c r="B2968" t="s">
        <v>24</v>
      </c>
      <c r="C2968" t="s">
        <v>22</v>
      </c>
      <c r="D2968">
        <v>1</v>
      </c>
      <c r="E2968" t="s">
        <v>10</v>
      </c>
      <c r="F2968">
        <v>89000</v>
      </c>
      <c r="G2968">
        <v>65000</v>
      </c>
      <c r="H2968">
        <f>Table1[[#This Row],[Qty]]*Table1[[#This Row],[SellingPrice]]</f>
        <v>89000</v>
      </c>
      <c r="I2968">
        <f>Table1[[#This Row],[Qty]]*Table1[[#This Row],[CostPrice]]</f>
        <v>65000</v>
      </c>
      <c r="J2968">
        <v>23832</v>
      </c>
      <c r="K2968">
        <v>167.99999999999997</v>
      </c>
      <c r="L2968" t="s">
        <v>12</v>
      </c>
      <c r="M2968" t="s">
        <v>27</v>
      </c>
      <c r="N2968">
        <f>MONTH(Table1[[#This Row],[SaleDate]])</f>
        <v>11</v>
      </c>
      <c r="O2968" t="str">
        <f>TEXT(Table1[[#This Row],[SaleDate]],"MMM")</f>
        <v>Nov</v>
      </c>
    </row>
    <row r="2969" spans="1:15">
      <c r="A2969" s="1">
        <v>45257</v>
      </c>
      <c r="B2969" t="s">
        <v>25</v>
      </c>
      <c r="C2969" t="s">
        <v>21</v>
      </c>
      <c r="D2969">
        <v>1</v>
      </c>
      <c r="E2969" t="s">
        <v>7</v>
      </c>
      <c r="F2969">
        <v>33000</v>
      </c>
      <c r="G2969">
        <v>18000</v>
      </c>
      <c r="H2969">
        <f>Table1[[#This Row],[Qty]]*Table1[[#This Row],[SellingPrice]]</f>
        <v>33000</v>
      </c>
      <c r="I2969">
        <f>Table1[[#This Row],[Qty]]*Table1[[#This Row],[CostPrice]]</f>
        <v>18000</v>
      </c>
      <c r="J2969">
        <v>14895</v>
      </c>
      <c r="K2969">
        <v>104.99999999999999</v>
      </c>
      <c r="L2969" t="s">
        <v>13</v>
      </c>
      <c r="M2969" t="s">
        <v>30</v>
      </c>
      <c r="N2969">
        <f>MONTH(Table1[[#This Row],[SaleDate]])</f>
        <v>11</v>
      </c>
      <c r="O2969" t="str">
        <f>TEXT(Table1[[#This Row],[SaleDate]],"MMM")</f>
        <v>Nov</v>
      </c>
    </row>
    <row r="2970" spans="1:15">
      <c r="A2970" s="1">
        <v>45257</v>
      </c>
      <c r="B2970" t="s">
        <v>25</v>
      </c>
      <c r="C2970" t="s">
        <v>21</v>
      </c>
      <c r="D2970">
        <v>1</v>
      </c>
      <c r="E2970" t="s">
        <v>9</v>
      </c>
      <c r="F2970">
        <v>60000</v>
      </c>
      <c r="G2970">
        <v>31000</v>
      </c>
      <c r="H2970">
        <f>Table1[[#This Row],[Qty]]*Table1[[#This Row],[SellingPrice]]</f>
        <v>60000</v>
      </c>
      <c r="I2970">
        <f>Table1[[#This Row],[Qty]]*Table1[[#This Row],[CostPrice]]</f>
        <v>31000</v>
      </c>
      <c r="J2970">
        <v>28797</v>
      </c>
      <c r="K2970">
        <v>202.99999999999997</v>
      </c>
      <c r="L2970" t="s">
        <v>13</v>
      </c>
      <c r="M2970" t="s">
        <v>30</v>
      </c>
      <c r="N2970">
        <f>MONTH(Table1[[#This Row],[SaleDate]])</f>
        <v>11</v>
      </c>
      <c r="O2970" t="str">
        <f>TEXT(Table1[[#This Row],[SaleDate]],"MMM")</f>
        <v>Nov</v>
      </c>
    </row>
    <row r="2971" spans="1:15">
      <c r="A2971" s="1">
        <v>45257</v>
      </c>
      <c r="B2971" t="s">
        <v>25</v>
      </c>
      <c r="C2971" t="s">
        <v>21</v>
      </c>
      <c r="D2971">
        <v>1</v>
      </c>
      <c r="E2971" t="s">
        <v>10</v>
      </c>
      <c r="F2971">
        <v>89000</v>
      </c>
      <c r="G2971">
        <v>65000</v>
      </c>
      <c r="H2971">
        <f>Table1[[#This Row],[Qty]]*Table1[[#This Row],[SellingPrice]]</f>
        <v>89000</v>
      </c>
      <c r="I2971">
        <f>Table1[[#This Row],[Qty]]*Table1[[#This Row],[CostPrice]]</f>
        <v>65000</v>
      </c>
      <c r="J2971">
        <v>23832</v>
      </c>
      <c r="K2971">
        <v>167.99999999999997</v>
      </c>
      <c r="L2971" t="s">
        <v>13</v>
      </c>
      <c r="M2971" t="s">
        <v>29</v>
      </c>
      <c r="N2971">
        <f>MONTH(Table1[[#This Row],[SaleDate]])</f>
        <v>11</v>
      </c>
      <c r="O2971" t="str">
        <f>TEXT(Table1[[#This Row],[SaleDate]],"MMM")</f>
        <v>Nov</v>
      </c>
    </row>
    <row r="2972" spans="1:15">
      <c r="A2972" s="1">
        <v>45258</v>
      </c>
      <c r="B2972" t="s">
        <v>23</v>
      </c>
      <c r="C2972" t="s">
        <v>19</v>
      </c>
      <c r="D2972">
        <v>2</v>
      </c>
      <c r="E2972" t="s">
        <v>7</v>
      </c>
      <c r="F2972">
        <v>33000</v>
      </c>
      <c r="G2972">
        <v>18000</v>
      </c>
      <c r="H2972">
        <f>Table1[[#This Row],[Qty]]*Table1[[#This Row],[SellingPrice]]</f>
        <v>66000</v>
      </c>
      <c r="I2972">
        <f>Table1[[#This Row],[Qty]]*Table1[[#This Row],[CostPrice]]</f>
        <v>36000</v>
      </c>
      <c r="J2972">
        <v>29790</v>
      </c>
      <c r="K2972">
        <v>209.99999999999997</v>
      </c>
      <c r="L2972" t="s">
        <v>8</v>
      </c>
      <c r="M2972" t="s">
        <v>30</v>
      </c>
      <c r="N2972">
        <f>MONTH(Table1[[#This Row],[SaleDate]])</f>
        <v>11</v>
      </c>
      <c r="O2972" t="str">
        <f>TEXT(Table1[[#This Row],[SaleDate]],"MMM")</f>
        <v>Nov</v>
      </c>
    </row>
    <row r="2973" spans="1:15">
      <c r="A2973" s="1">
        <v>45258</v>
      </c>
      <c r="B2973" t="s">
        <v>23</v>
      </c>
      <c r="C2973" t="s">
        <v>19</v>
      </c>
      <c r="D2973">
        <v>2</v>
      </c>
      <c r="E2973" t="s">
        <v>9</v>
      </c>
      <c r="F2973">
        <v>60000</v>
      </c>
      <c r="G2973">
        <v>31000</v>
      </c>
      <c r="H2973">
        <f>Table1[[#This Row],[Qty]]*Table1[[#This Row],[SellingPrice]]</f>
        <v>120000</v>
      </c>
      <c r="I2973">
        <f>Table1[[#This Row],[Qty]]*Table1[[#This Row],[CostPrice]]</f>
        <v>62000</v>
      </c>
      <c r="J2973">
        <v>57594</v>
      </c>
      <c r="K2973">
        <v>405.99999999999994</v>
      </c>
      <c r="L2973" t="s">
        <v>8</v>
      </c>
      <c r="M2973" t="s">
        <v>30</v>
      </c>
      <c r="N2973">
        <f>MONTH(Table1[[#This Row],[SaleDate]])</f>
        <v>11</v>
      </c>
      <c r="O2973" t="str">
        <f>TEXT(Table1[[#This Row],[SaleDate]],"MMM")</f>
        <v>Nov</v>
      </c>
    </row>
    <row r="2974" spans="1:15">
      <c r="A2974" s="1">
        <v>45258</v>
      </c>
      <c r="B2974" t="s">
        <v>23</v>
      </c>
      <c r="C2974" t="s">
        <v>19</v>
      </c>
      <c r="D2974">
        <v>2</v>
      </c>
      <c r="E2974" t="s">
        <v>10</v>
      </c>
      <c r="F2974">
        <v>89000</v>
      </c>
      <c r="G2974">
        <v>65000</v>
      </c>
      <c r="H2974">
        <f>Table1[[#This Row],[Qty]]*Table1[[#This Row],[SellingPrice]]</f>
        <v>178000</v>
      </c>
      <c r="I2974">
        <f>Table1[[#This Row],[Qty]]*Table1[[#This Row],[CostPrice]]</f>
        <v>130000</v>
      </c>
      <c r="J2974">
        <v>47664</v>
      </c>
      <c r="K2974">
        <v>335.99999999999994</v>
      </c>
      <c r="L2974" t="s">
        <v>8</v>
      </c>
      <c r="M2974" t="s">
        <v>30</v>
      </c>
      <c r="N2974">
        <f>MONTH(Table1[[#This Row],[SaleDate]])</f>
        <v>11</v>
      </c>
      <c r="O2974" t="str">
        <f>TEXT(Table1[[#This Row],[SaleDate]],"MMM")</f>
        <v>Nov</v>
      </c>
    </row>
    <row r="2975" spans="1:15">
      <c r="A2975" s="1">
        <v>45258</v>
      </c>
      <c r="B2975" t="s">
        <v>26</v>
      </c>
      <c r="C2975" t="s">
        <v>20</v>
      </c>
      <c r="D2975">
        <v>2</v>
      </c>
      <c r="E2975" t="s">
        <v>10</v>
      </c>
      <c r="F2975">
        <v>89000</v>
      </c>
      <c r="G2975">
        <v>65000</v>
      </c>
      <c r="H2975">
        <f>Table1[[#This Row],[Qty]]*Table1[[#This Row],[SellingPrice]]</f>
        <v>178000</v>
      </c>
      <c r="I2975">
        <f>Table1[[#This Row],[Qty]]*Table1[[#This Row],[CostPrice]]</f>
        <v>130000</v>
      </c>
      <c r="J2975">
        <v>47664</v>
      </c>
      <c r="K2975">
        <v>335.99999999999994</v>
      </c>
      <c r="L2975" t="s">
        <v>11</v>
      </c>
      <c r="M2975" t="s">
        <v>27</v>
      </c>
      <c r="N2975">
        <f>MONTH(Table1[[#This Row],[SaleDate]])</f>
        <v>11</v>
      </c>
      <c r="O2975" t="str">
        <f>TEXT(Table1[[#This Row],[SaleDate]],"MMM")</f>
        <v>Nov</v>
      </c>
    </row>
    <row r="2976" spans="1:15">
      <c r="A2976" s="1">
        <v>45258</v>
      </c>
      <c r="B2976" t="s">
        <v>24</v>
      </c>
      <c r="C2976" t="s">
        <v>22</v>
      </c>
      <c r="D2976">
        <v>2</v>
      </c>
      <c r="E2976" t="s">
        <v>7</v>
      </c>
      <c r="F2976">
        <v>33000</v>
      </c>
      <c r="G2976">
        <v>18000</v>
      </c>
      <c r="H2976">
        <f>Table1[[#This Row],[Qty]]*Table1[[#This Row],[SellingPrice]]</f>
        <v>66000</v>
      </c>
      <c r="I2976">
        <f>Table1[[#This Row],[Qty]]*Table1[[#This Row],[CostPrice]]</f>
        <v>36000</v>
      </c>
      <c r="J2976">
        <v>29790</v>
      </c>
      <c r="K2976">
        <v>209.99999999999997</v>
      </c>
      <c r="L2976" t="s">
        <v>12</v>
      </c>
      <c r="M2976" t="s">
        <v>30</v>
      </c>
      <c r="N2976">
        <f>MONTH(Table1[[#This Row],[SaleDate]])</f>
        <v>11</v>
      </c>
      <c r="O2976" t="str">
        <f>TEXT(Table1[[#This Row],[SaleDate]],"MMM")</f>
        <v>Nov</v>
      </c>
    </row>
    <row r="2977" spans="1:15">
      <c r="A2977" s="1">
        <v>45258</v>
      </c>
      <c r="B2977" t="s">
        <v>24</v>
      </c>
      <c r="C2977" t="s">
        <v>22</v>
      </c>
      <c r="D2977">
        <v>2</v>
      </c>
      <c r="E2977" t="s">
        <v>9</v>
      </c>
      <c r="F2977">
        <v>60000</v>
      </c>
      <c r="G2977">
        <v>31000</v>
      </c>
      <c r="H2977">
        <f>Table1[[#This Row],[Qty]]*Table1[[#This Row],[SellingPrice]]</f>
        <v>120000</v>
      </c>
      <c r="I2977">
        <f>Table1[[#This Row],[Qty]]*Table1[[#This Row],[CostPrice]]</f>
        <v>62000</v>
      </c>
      <c r="J2977">
        <v>57594</v>
      </c>
      <c r="K2977">
        <v>405.99999999999994</v>
      </c>
      <c r="L2977" t="s">
        <v>12</v>
      </c>
      <c r="M2977" t="s">
        <v>27</v>
      </c>
      <c r="N2977">
        <f>MONTH(Table1[[#This Row],[SaleDate]])</f>
        <v>11</v>
      </c>
      <c r="O2977" t="str">
        <f>TEXT(Table1[[#This Row],[SaleDate]],"MMM")</f>
        <v>Nov</v>
      </c>
    </row>
    <row r="2978" spans="1:15">
      <c r="A2978" s="1">
        <v>45258</v>
      </c>
      <c r="B2978" t="s">
        <v>24</v>
      </c>
      <c r="C2978" t="s">
        <v>22</v>
      </c>
      <c r="D2978">
        <v>2</v>
      </c>
      <c r="E2978" t="s">
        <v>10</v>
      </c>
      <c r="F2978">
        <v>89000</v>
      </c>
      <c r="G2978">
        <v>65000</v>
      </c>
      <c r="H2978">
        <f>Table1[[#This Row],[Qty]]*Table1[[#This Row],[SellingPrice]]</f>
        <v>178000</v>
      </c>
      <c r="I2978">
        <f>Table1[[#This Row],[Qty]]*Table1[[#This Row],[CostPrice]]</f>
        <v>130000</v>
      </c>
      <c r="J2978">
        <v>47664</v>
      </c>
      <c r="K2978">
        <v>335.99999999999994</v>
      </c>
      <c r="L2978" t="s">
        <v>12</v>
      </c>
      <c r="M2978" t="s">
        <v>30</v>
      </c>
      <c r="N2978">
        <f>MONTH(Table1[[#This Row],[SaleDate]])</f>
        <v>11</v>
      </c>
      <c r="O2978" t="str">
        <f>TEXT(Table1[[#This Row],[SaleDate]],"MMM")</f>
        <v>Nov</v>
      </c>
    </row>
    <row r="2979" spans="1:15">
      <c r="A2979" s="1">
        <v>45258</v>
      </c>
      <c r="B2979" t="s">
        <v>25</v>
      </c>
      <c r="C2979" t="s">
        <v>21</v>
      </c>
      <c r="D2979">
        <v>2</v>
      </c>
      <c r="E2979" t="s">
        <v>7</v>
      </c>
      <c r="F2979">
        <v>33000</v>
      </c>
      <c r="G2979">
        <v>18000</v>
      </c>
      <c r="H2979">
        <f>Table1[[#This Row],[Qty]]*Table1[[#This Row],[SellingPrice]]</f>
        <v>66000</v>
      </c>
      <c r="I2979">
        <f>Table1[[#This Row],[Qty]]*Table1[[#This Row],[CostPrice]]</f>
        <v>36000</v>
      </c>
      <c r="J2979">
        <v>29790</v>
      </c>
      <c r="K2979">
        <v>209.99999999999997</v>
      </c>
      <c r="L2979" t="s">
        <v>13</v>
      </c>
      <c r="M2979" t="s">
        <v>29</v>
      </c>
      <c r="N2979">
        <f>MONTH(Table1[[#This Row],[SaleDate]])</f>
        <v>11</v>
      </c>
      <c r="O2979" t="str">
        <f>TEXT(Table1[[#This Row],[SaleDate]],"MMM")</f>
        <v>Nov</v>
      </c>
    </row>
    <row r="2980" spans="1:15">
      <c r="A2980" s="1">
        <v>45258</v>
      </c>
      <c r="B2980" t="s">
        <v>25</v>
      </c>
      <c r="C2980" t="s">
        <v>21</v>
      </c>
      <c r="D2980">
        <v>2</v>
      </c>
      <c r="E2980" t="s">
        <v>9</v>
      </c>
      <c r="F2980">
        <v>60000</v>
      </c>
      <c r="G2980">
        <v>31000</v>
      </c>
      <c r="H2980">
        <f>Table1[[#This Row],[Qty]]*Table1[[#This Row],[SellingPrice]]</f>
        <v>120000</v>
      </c>
      <c r="I2980">
        <f>Table1[[#This Row],[Qty]]*Table1[[#This Row],[CostPrice]]</f>
        <v>62000</v>
      </c>
      <c r="J2980">
        <v>57594</v>
      </c>
      <c r="K2980">
        <v>405.99999999999994</v>
      </c>
      <c r="L2980" t="s">
        <v>13</v>
      </c>
      <c r="M2980" t="s">
        <v>30</v>
      </c>
      <c r="N2980">
        <f>MONTH(Table1[[#This Row],[SaleDate]])</f>
        <v>11</v>
      </c>
      <c r="O2980" t="str">
        <f>TEXT(Table1[[#This Row],[SaleDate]],"MMM")</f>
        <v>Nov</v>
      </c>
    </row>
    <row r="2981" spans="1:15">
      <c r="A2981" s="1">
        <v>45258</v>
      </c>
      <c r="B2981" t="s">
        <v>25</v>
      </c>
      <c r="C2981" t="s">
        <v>21</v>
      </c>
      <c r="D2981">
        <v>2</v>
      </c>
      <c r="E2981" t="s">
        <v>10</v>
      </c>
      <c r="F2981">
        <v>89000</v>
      </c>
      <c r="G2981">
        <v>65000</v>
      </c>
      <c r="H2981">
        <f>Table1[[#This Row],[Qty]]*Table1[[#This Row],[SellingPrice]]</f>
        <v>178000</v>
      </c>
      <c r="I2981">
        <f>Table1[[#This Row],[Qty]]*Table1[[#This Row],[CostPrice]]</f>
        <v>130000</v>
      </c>
      <c r="J2981">
        <v>47664</v>
      </c>
      <c r="K2981">
        <v>335.99999999999994</v>
      </c>
      <c r="L2981" t="s">
        <v>13</v>
      </c>
      <c r="M2981" t="s">
        <v>29</v>
      </c>
      <c r="N2981">
        <f>MONTH(Table1[[#This Row],[SaleDate]])</f>
        <v>11</v>
      </c>
      <c r="O2981" t="str">
        <f>TEXT(Table1[[#This Row],[SaleDate]],"MMM")</f>
        <v>Nov</v>
      </c>
    </row>
    <row r="2982" spans="1:15">
      <c r="A2982" s="1">
        <v>45259</v>
      </c>
      <c r="B2982" t="s">
        <v>23</v>
      </c>
      <c r="C2982" t="s">
        <v>19</v>
      </c>
      <c r="D2982">
        <v>2</v>
      </c>
      <c r="E2982" t="s">
        <v>7</v>
      </c>
      <c r="F2982">
        <v>33000</v>
      </c>
      <c r="G2982">
        <v>18000</v>
      </c>
      <c r="H2982">
        <f>Table1[[#This Row],[Qty]]*Table1[[#This Row],[SellingPrice]]</f>
        <v>66000</v>
      </c>
      <c r="I2982">
        <f>Table1[[#This Row],[Qty]]*Table1[[#This Row],[CostPrice]]</f>
        <v>36000</v>
      </c>
      <c r="J2982">
        <v>29790</v>
      </c>
      <c r="K2982">
        <v>209.99999999999997</v>
      </c>
      <c r="L2982" t="s">
        <v>8</v>
      </c>
      <c r="M2982" t="s">
        <v>30</v>
      </c>
      <c r="N2982">
        <f>MONTH(Table1[[#This Row],[SaleDate]])</f>
        <v>11</v>
      </c>
      <c r="O2982" t="str">
        <f>TEXT(Table1[[#This Row],[SaleDate]],"MMM")</f>
        <v>Nov</v>
      </c>
    </row>
    <row r="2983" spans="1:15">
      <c r="A2983" s="1">
        <v>45259</v>
      </c>
      <c r="B2983" t="s">
        <v>23</v>
      </c>
      <c r="C2983" t="s">
        <v>19</v>
      </c>
      <c r="D2983">
        <v>2</v>
      </c>
      <c r="E2983" t="s">
        <v>9</v>
      </c>
      <c r="F2983">
        <v>60000</v>
      </c>
      <c r="G2983">
        <v>31000</v>
      </c>
      <c r="H2983">
        <f>Table1[[#This Row],[Qty]]*Table1[[#This Row],[SellingPrice]]</f>
        <v>120000</v>
      </c>
      <c r="I2983">
        <f>Table1[[#This Row],[Qty]]*Table1[[#This Row],[CostPrice]]</f>
        <v>62000</v>
      </c>
      <c r="J2983">
        <v>57594</v>
      </c>
      <c r="K2983">
        <v>405.99999999999994</v>
      </c>
      <c r="L2983" t="s">
        <v>8</v>
      </c>
      <c r="M2983" t="s">
        <v>30</v>
      </c>
      <c r="N2983">
        <f>MONTH(Table1[[#This Row],[SaleDate]])</f>
        <v>11</v>
      </c>
      <c r="O2983" t="str">
        <f>TEXT(Table1[[#This Row],[SaleDate]],"MMM")</f>
        <v>Nov</v>
      </c>
    </row>
    <row r="2984" spans="1:15">
      <c r="A2984" s="1">
        <v>45259</v>
      </c>
      <c r="B2984" t="s">
        <v>23</v>
      </c>
      <c r="C2984" t="s">
        <v>19</v>
      </c>
      <c r="D2984">
        <v>2</v>
      </c>
      <c r="E2984" t="s">
        <v>10</v>
      </c>
      <c r="F2984">
        <v>89000</v>
      </c>
      <c r="G2984">
        <v>65000</v>
      </c>
      <c r="H2984">
        <f>Table1[[#This Row],[Qty]]*Table1[[#This Row],[SellingPrice]]</f>
        <v>178000</v>
      </c>
      <c r="I2984">
        <f>Table1[[#This Row],[Qty]]*Table1[[#This Row],[CostPrice]]</f>
        <v>130000</v>
      </c>
      <c r="J2984">
        <v>47664</v>
      </c>
      <c r="K2984">
        <v>335.99999999999994</v>
      </c>
      <c r="L2984" t="s">
        <v>8</v>
      </c>
      <c r="M2984" t="s">
        <v>27</v>
      </c>
      <c r="N2984">
        <f>MONTH(Table1[[#This Row],[SaleDate]])</f>
        <v>11</v>
      </c>
      <c r="O2984" t="str">
        <f>TEXT(Table1[[#This Row],[SaleDate]],"MMM")</f>
        <v>Nov</v>
      </c>
    </row>
    <row r="2985" spans="1:15">
      <c r="A2985" s="1">
        <v>45259</v>
      </c>
      <c r="B2985" t="s">
        <v>26</v>
      </c>
      <c r="C2985" t="s">
        <v>20</v>
      </c>
      <c r="D2985">
        <v>2</v>
      </c>
      <c r="E2985" t="s">
        <v>10</v>
      </c>
      <c r="F2985">
        <v>89000</v>
      </c>
      <c r="G2985">
        <v>65000</v>
      </c>
      <c r="H2985">
        <f>Table1[[#This Row],[Qty]]*Table1[[#This Row],[SellingPrice]]</f>
        <v>178000</v>
      </c>
      <c r="I2985">
        <f>Table1[[#This Row],[Qty]]*Table1[[#This Row],[CostPrice]]</f>
        <v>130000</v>
      </c>
      <c r="J2985">
        <v>47664</v>
      </c>
      <c r="K2985">
        <v>335.99999999999994</v>
      </c>
      <c r="L2985" t="s">
        <v>11</v>
      </c>
      <c r="M2985" t="s">
        <v>27</v>
      </c>
      <c r="N2985">
        <f>MONTH(Table1[[#This Row],[SaleDate]])</f>
        <v>11</v>
      </c>
      <c r="O2985" t="str">
        <f>TEXT(Table1[[#This Row],[SaleDate]],"MMM")</f>
        <v>Nov</v>
      </c>
    </row>
    <row r="2986" spans="1:15">
      <c r="A2986" s="1">
        <v>45259</v>
      </c>
      <c r="B2986" t="s">
        <v>24</v>
      </c>
      <c r="C2986" t="s">
        <v>22</v>
      </c>
      <c r="D2986">
        <v>2</v>
      </c>
      <c r="E2986" t="s">
        <v>7</v>
      </c>
      <c r="F2986">
        <v>33000</v>
      </c>
      <c r="G2986">
        <v>18000</v>
      </c>
      <c r="H2986">
        <f>Table1[[#This Row],[Qty]]*Table1[[#This Row],[SellingPrice]]</f>
        <v>66000</v>
      </c>
      <c r="I2986">
        <f>Table1[[#This Row],[Qty]]*Table1[[#This Row],[CostPrice]]</f>
        <v>36000</v>
      </c>
      <c r="J2986">
        <v>29790</v>
      </c>
      <c r="K2986">
        <v>209.99999999999997</v>
      </c>
      <c r="L2986" t="s">
        <v>12</v>
      </c>
      <c r="M2986" t="s">
        <v>30</v>
      </c>
      <c r="N2986">
        <f>MONTH(Table1[[#This Row],[SaleDate]])</f>
        <v>11</v>
      </c>
      <c r="O2986" t="str">
        <f>TEXT(Table1[[#This Row],[SaleDate]],"MMM")</f>
        <v>Nov</v>
      </c>
    </row>
    <row r="2987" spans="1:15">
      <c r="A2987" s="1">
        <v>45259</v>
      </c>
      <c r="B2987" t="s">
        <v>24</v>
      </c>
      <c r="C2987" t="s">
        <v>22</v>
      </c>
      <c r="D2987">
        <v>2</v>
      </c>
      <c r="E2987" t="s">
        <v>9</v>
      </c>
      <c r="F2987">
        <v>60000</v>
      </c>
      <c r="G2987">
        <v>31000</v>
      </c>
      <c r="H2987">
        <f>Table1[[#This Row],[Qty]]*Table1[[#This Row],[SellingPrice]]</f>
        <v>120000</v>
      </c>
      <c r="I2987">
        <f>Table1[[#This Row],[Qty]]*Table1[[#This Row],[CostPrice]]</f>
        <v>62000</v>
      </c>
      <c r="J2987">
        <v>57594</v>
      </c>
      <c r="K2987">
        <v>405.99999999999994</v>
      </c>
      <c r="L2987" t="s">
        <v>12</v>
      </c>
      <c r="M2987" t="s">
        <v>29</v>
      </c>
      <c r="N2987">
        <f>MONTH(Table1[[#This Row],[SaleDate]])</f>
        <v>11</v>
      </c>
      <c r="O2987" t="str">
        <f>TEXT(Table1[[#This Row],[SaleDate]],"MMM")</f>
        <v>Nov</v>
      </c>
    </row>
    <row r="2988" spans="1:15">
      <c r="A2988" s="1">
        <v>45259</v>
      </c>
      <c r="B2988" t="s">
        <v>24</v>
      </c>
      <c r="C2988" t="s">
        <v>22</v>
      </c>
      <c r="D2988">
        <v>2</v>
      </c>
      <c r="E2988" t="s">
        <v>10</v>
      </c>
      <c r="F2988">
        <v>89000</v>
      </c>
      <c r="G2988">
        <v>65000</v>
      </c>
      <c r="H2988">
        <f>Table1[[#This Row],[Qty]]*Table1[[#This Row],[SellingPrice]]</f>
        <v>178000</v>
      </c>
      <c r="I2988">
        <f>Table1[[#This Row],[Qty]]*Table1[[#This Row],[CostPrice]]</f>
        <v>130000</v>
      </c>
      <c r="J2988">
        <v>47664</v>
      </c>
      <c r="K2988">
        <v>335.99999999999994</v>
      </c>
      <c r="L2988" t="s">
        <v>12</v>
      </c>
      <c r="M2988" t="s">
        <v>30</v>
      </c>
      <c r="N2988">
        <f>MONTH(Table1[[#This Row],[SaleDate]])</f>
        <v>11</v>
      </c>
      <c r="O2988" t="str">
        <f>TEXT(Table1[[#This Row],[SaleDate]],"MMM")</f>
        <v>Nov</v>
      </c>
    </row>
    <row r="2989" spans="1:15">
      <c r="A2989" s="1">
        <v>45259</v>
      </c>
      <c r="B2989" t="s">
        <v>25</v>
      </c>
      <c r="C2989" t="s">
        <v>21</v>
      </c>
      <c r="D2989">
        <v>2</v>
      </c>
      <c r="E2989" t="s">
        <v>7</v>
      </c>
      <c r="F2989">
        <v>33000</v>
      </c>
      <c r="G2989">
        <v>18000</v>
      </c>
      <c r="H2989">
        <f>Table1[[#This Row],[Qty]]*Table1[[#This Row],[SellingPrice]]</f>
        <v>66000</v>
      </c>
      <c r="I2989">
        <f>Table1[[#This Row],[Qty]]*Table1[[#This Row],[CostPrice]]</f>
        <v>36000</v>
      </c>
      <c r="J2989">
        <v>29790</v>
      </c>
      <c r="K2989">
        <v>209.99999999999997</v>
      </c>
      <c r="L2989" t="s">
        <v>13</v>
      </c>
      <c r="M2989" t="s">
        <v>30</v>
      </c>
      <c r="N2989">
        <f>MONTH(Table1[[#This Row],[SaleDate]])</f>
        <v>11</v>
      </c>
      <c r="O2989" t="str">
        <f>TEXT(Table1[[#This Row],[SaleDate]],"MMM")</f>
        <v>Nov</v>
      </c>
    </row>
    <row r="2990" spans="1:15">
      <c r="A2990" s="1">
        <v>45259</v>
      </c>
      <c r="B2990" t="s">
        <v>25</v>
      </c>
      <c r="C2990" t="s">
        <v>21</v>
      </c>
      <c r="D2990">
        <v>2</v>
      </c>
      <c r="E2990" t="s">
        <v>9</v>
      </c>
      <c r="F2990">
        <v>60000</v>
      </c>
      <c r="G2990">
        <v>31000</v>
      </c>
      <c r="H2990">
        <f>Table1[[#This Row],[Qty]]*Table1[[#This Row],[SellingPrice]]</f>
        <v>120000</v>
      </c>
      <c r="I2990">
        <f>Table1[[#This Row],[Qty]]*Table1[[#This Row],[CostPrice]]</f>
        <v>62000</v>
      </c>
      <c r="J2990">
        <v>57594</v>
      </c>
      <c r="K2990">
        <v>405.99999999999994</v>
      </c>
      <c r="L2990" t="s">
        <v>13</v>
      </c>
      <c r="M2990" t="s">
        <v>30</v>
      </c>
      <c r="N2990">
        <f>MONTH(Table1[[#This Row],[SaleDate]])</f>
        <v>11</v>
      </c>
      <c r="O2990" t="str">
        <f>TEXT(Table1[[#This Row],[SaleDate]],"MMM")</f>
        <v>Nov</v>
      </c>
    </row>
    <row r="2991" spans="1:15">
      <c r="A2991" s="1">
        <v>45259</v>
      </c>
      <c r="B2991" t="s">
        <v>25</v>
      </c>
      <c r="C2991" t="s">
        <v>21</v>
      </c>
      <c r="D2991">
        <v>2</v>
      </c>
      <c r="E2991" t="s">
        <v>10</v>
      </c>
      <c r="F2991">
        <v>89000</v>
      </c>
      <c r="G2991">
        <v>65000</v>
      </c>
      <c r="H2991">
        <f>Table1[[#This Row],[Qty]]*Table1[[#This Row],[SellingPrice]]</f>
        <v>178000</v>
      </c>
      <c r="I2991">
        <f>Table1[[#This Row],[Qty]]*Table1[[#This Row],[CostPrice]]</f>
        <v>130000</v>
      </c>
      <c r="J2991">
        <v>47664</v>
      </c>
      <c r="K2991">
        <v>335.99999999999994</v>
      </c>
      <c r="L2991" t="s">
        <v>13</v>
      </c>
      <c r="M2991" t="s">
        <v>27</v>
      </c>
      <c r="N2991">
        <f>MONTH(Table1[[#This Row],[SaleDate]])</f>
        <v>11</v>
      </c>
      <c r="O2991" t="str">
        <f>TEXT(Table1[[#This Row],[SaleDate]],"MMM")</f>
        <v>Nov</v>
      </c>
    </row>
    <row r="2992" spans="1:15">
      <c r="A2992" s="1">
        <v>45260</v>
      </c>
      <c r="B2992" t="s">
        <v>23</v>
      </c>
      <c r="C2992" t="s">
        <v>19</v>
      </c>
      <c r="D2992">
        <v>1</v>
      </c>
      <c r="E2992" t="s">
        <v>7</v>
      </c>
      <c r="F2992">
        <v>33000</v>
      </c>
      <c r="G2992">
        <v>18000</v>
      </c>
      <c r="H2992">
        <f>Table1[[#This Row],[Qty]]*Table1[[#This Row],[SellingPrice]]</f>
        <v>33000</v>
      </c>
      <c r="I2992">
        <f>Table1[[#This Row],[Qty]]*Table1[[#This Row],[CostPrice]]</f>
        <v>18000</v>
      </c>
      <c r="J2992">
        <v>14895</v>
      </c>
      <c r="K2992">
        <v>104.99999999999999</v>
      </c>
      <c r="L2992" t="s">
        <v>8</v>
      </c>
      <c r="M2992" t="s">
        <v>30</v>
      </c>
      <c r="N2992">
        <f>MONTH(Table1[[#This Row],[SaleDate]])</f>
        <v>11</v>
      </c>
      <c r="O2992" t="str">
        <f>TEXT(Table1[[#This Row],[SaleDate]],"MMM")</f>
        <v>Nov</v>
      </c>
    </row>
    <row r="2993" spans="1:15">
      <c r="A2993" s="1">
        <v>45260</v>
      </c>
      <c r="B2993" t="s">
        <v>23</v>
      </c>
      <c r="C2993" t="s">
        <v>19</v>
      </c>
      <c r="D2993">
        <v>1</v>
      </c>
      <c r="E2993" t="s">
        <v>9</v>
      </c>
      <c r="F2993">
        <v>60000</v>
      </c>
      <c r="G2993">
        <v>31000</v>
      </c>
      <c r="H2993">
        <f>Table1[[#This Row],[Qty]]*Table1[[#This Row],[SellingPrice]]</f>
        <v>60000</v>
      </c>
      <c r="I2993">
        <f>Table1[[#This Row],[Qty]]*Table1[[#This Row],[CostPrice]]</f>
        <v>31000</v>
      </c>
      <c r="J2993">
        <v>28797</v>
      </c>
      <c r="K2993">
        <v>202.99999999999997</v>
      </c>
      <c r="L2993" t="s">
        <v>8</v>
      </c>
      <c r="M2993" t="s">
        <v>28</v>
      </c>
      <c r="N2993">
        <f>MONTH(Table1[[#This Row],[SaleDate]])</f>
        <v>11</v>
      </c>
      <c r="O2993" t="str">
        <f>TEXT(Table1[[#This Row],[SaleDate]],"MMM")</f>
        <v>Nov</v>
      </c>
    </row>
    <row r="2994" spans="1:15">
      <c r="A2994" s="1">
        <v>45260</v>
      </c>
      <c r="B2994" t="s">
        <v>23</v>
      </c>
      <c r="C2994" t="s">
        <v>19</v>
      </c>
      <c r="D2994">
        <v>1</v>
      </c>
      <c r="E2994" t="s">
        <v>10</v>
      </c>
      <c r="F2994">
        <v>89000</v>
      </c>
      <c r="G2994">
        <v>65000</v>
      </c>
      <c r="H2994">
        <f>Table1[[#This Row],[Qty]]*Table1[[#This Row],[SellingPrice]]</f>
        <v>89000</v>
      </c>
      <c r="I2994">
        <f>Table1[[#This Row],[Qty]]*Table1[[#This Row],[CostPrice]]</f>
        <v>65000</v>
      </c>
      <c r="J2994">
        <v>23832</v>
      </c>
      <c r="K2994">
        <v>167.99999999999997</v>
      </c>
      <c r="L2994" t="s">
        <v>8</v>
      </c>
      <c r="M2994" t="s">
        <v>29</v>
      </c>
      <c r="N2994">
        <f>MONTH(Table1[[#This Row],[SaleDate]])</f>
        <v>11</v>
      </c>
      <c r="O2994" t="str">
        <f>TEXT(Table1[[#This Row],[SaleDate]],"MMM")</f>
        <v>Nov</v>
      </c>
    </row>
    <row r="2995" spans="1:15">
      <c r="A2995" s="1">
        <v>45260</v>
      </c>
      <c r="B2995" t="s">
        <v>26</v>
      </c>
      <c r="C2995" t="s">
        <v>20</v>
      </c>
      <c r="D2995">
        <v>1</v>
      </c>
      <c r="E2995" t="s">
        <v>10</v>
      </c>
      <c r="F2995">
        <v>89000</v>
      </c>
      <c r="G2995">
        <v>65000</v>
      </c>
      <c r="H2995">
        <f>Table1[[#This Row],[Qty]]*Table1[[#This Row],[SellingPrice]]</f>
        <v>89000</v>
      </c>
      <c r="I2995">
        <f>Table1[[#This Row],[Qty]]*Table1[[#This Row],[CostPrice]]</f>
        <v>65000</v>
      </c>
      <c r="J2995">
        <v>23832</v>
      </c>
      <c r="K2995">
        <v>167.99999999999997</v>
      </c>
      <c r="L2995" t="s">
        <v>11</v>
      </c>
      <c r="M2995" t="s">
        <v>28</v>
      </c>
      <c r="N2995">
        <f>MONTH(Table1[[#This Row],[SaleDate]])</f>
        <v>11</v>
      </c>
      <c r="O2995" t="str">
        <f>TEXT(Table1[[#This Row],[SaleDate]],"MMM")</f>
        <v>Nov</v>
      </c>
    </row>
    <row r="2996" spans="1:15">
      <c r="A2996" s="1">
        <v>45260</v>
      </c>
      <c r="B2996" t="s">
        <v>24</v>
      </c>
      <c r="C2996" t="s">
        <v>22</v>
      </c>
      <c r="D2996">
        <v>1</v>
      </c>
      <c r="E2996" t="s">
        <v>7</v>
      </c>
      <c r="F2996">
        <v>33000</v>
      </c>
      <c r="G2996">
        <v>18000</v>
      </c>
      <c r="H2996">
        <f>Table1[[#This Row],[Qty]]*Table1[[#This Row],[SellingPrice]]</f>
        <v>33000</v>
      </c>
      <c r="I2996">
        <f>Table1[[#This Row],[Qty]]*Table1[[#This Row],[CostPrice]]</f>
        <v>18000</v>
      </c>
      <c r="J2996">
        <v>14895</v>
      </c>
      <c r="K2996">
        <v>104.99999999999999</v>
      </c>
      <c r="L2996" t="s">
        <v>12</v>
      </c>
      <c r="M2996" t="s">
        <v>29</v>
      </c>
      <c r="N2996">
        <f>MONTH(Table1[[#This Row],[SaleDate]])</f>
        <v>11</v>
      </c>
      <c r="O2996" t="str">
        <f>TEXT(Table1[[#This Row],[SaleDate]],"MMM")</f>
        <v>Nov</v>
      </c>
    </row>
    <row r="2997" spans="1:15">
      <c r="A2997" s="1">
        <v>45260</v>
      </c>
      <c r="B2997" t="s">
        <v>24</v>
      </c>
      <c r="C2997" t="s">
        <v>22</v>
      </c>
      <c r="D2997">
        <v>1</v>
      </c>
      <c r="E2997" t="s">
        <v>9</v>
      </c>
      <c r="F2997">
        <v>60000</v>
      </c>
      <c r="G2997">
        <v>31000</v>
      </c>
      <c r="H2997">
        <f>Table1[[#This Row],[Qty]]*Table1[[#This Row],[SellingPrice]]</f>
        <v>60000</v>
      </c>
      <c r="I2997">
        <f>Table1[[#This Row],[Qty]]*Table1[[#This Row],[CostPrice]]</f>
        <v>31000</v>
      </c>
      <c r="J2997">
        <v>28797</v>
      </c>
      <c r="K2997">
        <v>202.99999999999997</v>
      </c>
      <c r="L2997" t="s">
        <v>12</v>
      </c>
      <c r="M2997" t="s">
        <v>30</v>
      </c>
      <c r="N2997">
        <f>MONTH(Table1[[#This Row],[SaleDate]])</f>
        <v>11</v>
      </c>
      <c r="O2997" t="str">
        <f>TEXT(Table1[[#This Row],[SaleDate]],"MMM")</f>
        <v>Nov</v>
      </c>
    </row>
    <row r="2998" spans="1:15">
      <c r="A2998" s="1">
        <v>45260</v>
      </c>
      <c r="B2998" t="s">
        <v>24</v>
      </c>
      <c r="C2998" t="s">
        <v>22</v>
      </c>
      <c r="D2998">
        <v>1</v>
      </c>
      <c r="E2998" t="s">
        <v>10</v>
      </c>
      <c r="F2998">
        <v>89000</v>
      </c>
      <c r="G2998">
        <v>65000</v>
      </c>
      <c r="H2998">
        <f>Table1[[#This Row],[Qty]]*Table1[[#This Row],[SellingPrice]]</f>
        <v>89000</v>
      </c>
      <c r="I2998">
        <f>Table1[[#This Row],[Qty]]*Table1[[#This Row],[CostPrice]]</f>
        <v>65000</v>
      </c>
      <c r="J2998">
        <v>23832</v>
      </c>
      <c r="K2998">
        <v>167.99999999999997</v>
      </c>
      <c r="L2998" t="s">
        <v>12</v>
      </c>
      <c r="M2998" t="s">
        <v>29</v>
      </c>
      <c r="N2998">
        <f>MONTH(Table1[[#This Row],[SaleDate]])</f>
        <v>11</v>
      </c>
      <c r="O2998" t="str">
        <f>TEXT(Table1[[#This Row],[SaleDate]],"MMM")</f>
        <v>Nov</v>
      </c>
    </row>
    <row r="2999" spans="1:15">
      <c r="A2999" s="1">
        <v>45260</v>
      </c>
      <c r="B2999" t="s">
        <v>25</v>
      </c>
      <c r="C2999" t="s">
        <v>21</v>
      </c>
      <c r="D2999">
        <v>1</v>
      </c>
      <c r="E2999" t="s">
        <v>7</v>
      </c>
      <c r="F2999">
        <v>33000</v>
      </c>
      <c r="G2999">
        <v>18000</v>
      </c>
      <c r="H2999">
        <f>Table1[[#This Row],[Qty]]*Table1[[#This Row],[SellingPrice]]</f>
        <v>33000</v>
      </c>
      <c r="I2999">
        <f>Table1[[#This Row],[Qty]]*Table1[[#This Row],[CostPrice]]</f>
        <v>18000</v>
      </c>
      <c r="J2999">
        <v>14895</v>
      </c>
      <c r="K2999">
        <v>104.99999999999999</v>
      </c>
      <c r="L2999" t="s">
        <v>13</v>
      </c>
      <c r="M2999" t="s">
        <v>30</v>
      </c>
      <c r="N2999">
        <f>MONTH(Table1[[#This Row],[SaleDate]])</f>
        <v>11</v>
      </c>
      <c r="O2999" t="str">
        <f>TEXT(Table1[[#This Row],[SaleDate]],"MMM")</f>
        <v>Nov</v>
      </c>
    </row>
    <row r="3000" spans="1:15">
      <c r="A3000" s="1">
        <v>45260</v>
      </c>
      <c r="B3000" t="s">
        <v>25</v>
      </c>
      <c r="C3000" t="s">
        <v>21</v>
      </c>
      <c r="D3000">
        <v>1</v>
      </c>
      <c r="E3000" t="s">
        <v>9</v>
      </c>
      <c r="F3000">
        <v>60000</v>
      </c>
      <c r="G3000">
        <v>31000</v>
      </c>
      <c r="H3000">
        <f>Table1[[#This Row],[Qty]]*Table1[[#This Row],[SellingPrice]]</f>
        <v>60000</v>
      </c>
      <c r="I3000">
        <f>Table1[[#This Row],[Qty]]*Table1[[#This Row],[CostPrice]]</f>
        <v>31000</v>
      </c>
      <c r="J3000">
        <v>28797</v>
      </c>
      <c r="K3000">
        <v>202.99999999999997</v>
      </c>
      <c r="L3000" t="s">
        <v>13</v>
      </c>
      <c r="M3000" t="s">
        <v>29</v>
      </c>
      <c r="N3000">
        <f>MONTH(Table1[[#This Row],[SaleDate]])</f>
        <v>11</v>
      </c>
      <c r="O3000" t="str">
        <f>TEXT(Table1[[#This Row],[SaleDate]],"MMM")</f>
        <v>Nov</v>
      </c>
    </row>
    <row r="3001" spans="1:15">
      <c r="A3001" s="1">
        <v>45260</v>
      </c>
      <c r="B3001" t="s">
        <v>25</v>
      </c>
      <c r="C3001" t="s">
        <v>21</v>
      </c>
      <c r="D3001">
        <v>1</v>
      </c>
      <c r="E3001" t="s">
        <v>10</v>
      </c>
      <c r="F3001">
        <v>89000</v>
      </c>
      <c r="G3001">
        <v>65000</v>
      </c>
      <c r="H3001">
        <f>Table1[[#This Row],[Qty]]*Table1[[#This Row],[SellingPrice]]</f>
        <v>89000</v>
      </c>
      <c r="I3001">
        <f>Table1[[#This Row],[Qty]]*Table1[[#This Row],[CostPrice]]</f>
        <v>65000</v>
      </c>
      <c r="J3001">
        <v>23832</v>
      </c>
      <c r="K3001">
        <v>167.99999999999997</v>
      </c>
      <c r="L3001" t="s">
        <v>13</v>
      </c>
      <c r="M3001" t="s">
        <v>27</v>
      </c>
      <c r="N3001">
        <f>MONTH(Table1[[#This Row],[SaleDate]])</f>
        <v>11</v>
      </c>
      <c r="O3001" t="str">
        <f>TEXT(Table1[[#This Row],[SaleDate]],"MMM")</f>
        <v>Nov</v>
      </c>
    </row>
    <row r="3002" spans="1:15">
      <c r="A3002" s="1">
        <v>45261</v>
      </c>
      <c r="B3002" t="s">
        <v>23</v>
      </c>
      <c r="C3002" t="s">
        <v>19</v>
      </c>
      <c r="D3002">
        <v>1</v>
      </c>
      <c r="E3002" t="s">
        <v>7</v>
      </c>
      <c r="F3002">
        <v>33000</v>
      </c>
      <c r="G3002">
        <v>18000</v>
      </c>
      <c r="H3002">
        <f>Table1[[#This Row],[Qty]]*Table1[[#This Row],[SellingPrice]]</f>
        <v>33000</v>
      </c>
      <c r="I3002">
        <f>Table1[[#This Row],[Qty]]*Table1[[#This Row],[CostPrice]]</f>
        <v>18000</v>
      </c>
      <c r="J3002">
        <v>14895</v>
      </c>
      <c r="K3002">
        <v>104.99999999999999</v>
      </c>
      <c r="L3002" t="s">
        <v>8</v>
      </c>
      <c r="M3002" t="s">
        <v>27</v>
      </c>
      <c r="N3002">
        <f>MONTH(Table1[[#This Row],[SaleDate]])</f>
        <v>12</v>
      </c>
      <c r="O3002" t="str">
        <f>TEXT(Table1[[#This Row],[SaleDate]],"MMM")</f>
        <v>Dec</v>
      </c>
    </row>
    <row r="3003" spans="1:15">
      <c r="A3003" s="1">
        <v>45261</v>
      </c>
      <c r="B3003" t="s">
        <v>23</v>
      </c>
      <c r="C3003" t="s">
        <v>19</v>
      </c>
      <c r="D3003">
        <v>1</v>
      </c>
      <c r="E3003" t="s">
        <v>9</v>
      </c>
      <c r="F3003">
        <v>60000</v>
      </c>
      <c r="G3003">
        <v>31000</v>
      </c>
      <c r="H3003">
        <f>Table1[[#This Row],[Qty]]*Table1[[#This Row],[SellingPrice]]</f>
        <v>60000</v>
      </c>
      <c r="I3003">
        <f>Table1[[#This Row],[Qty]]*Table1[[#This Row],[CostPrice]]</f>
        <v>31000</v>
      </c>
      <c r="J3003">
        <v>28797</v>
      </c>
      <c r="K3003">
        <v>202.99999999999997</v>
      </c>
      <c r="L3003" t="s">
        <v>8</v>
      </c>
      <c r="M3003" t="s">
        <v>30</v>
      </c>
      <c r="N3003">
        <f>MONTH(Table1[[#This Row],[SaleDate]])</f>
        <v>12</v>
      </c>
      <c r="O3003" t="str">
        <f>TEXT(Table1[[#This Row],[SaleDate]],"MMM")</f>
        <v>Dec</v>
      </c>
    </row>
    <row r="3004" spans="1:15">
      <c r="A3004" s="1">
        <v>45261</v>
      </c>
      <c r="B3004" t="s">
        <v>23</v>
      </c>
      <c r="C3004" t="s">
        <v>19</v>
      </c>
      <c r="D3004">
        <v>1</v>
      </c>
      <c r="E3004" t="s">
        <v>10</v>
      </c>
      <c r="F3004">
        <v>89000</v>
      </c>
      <c r="G3004">
        <v>65000</v>
      </c>
      <c r="H3004">
        <f>Table1[[#This Row],[Qty]]*Table1[[#This Row],[SellingPrice]]</f>
        <v>89000</v>
      </c>
      <c r="I3004">
        <f>Table1[[#This Row],[Qty]]*Table1[[#This Row],[CostPrice]]</f>
        <v>65000</v>
      </c>
      <c r="J3004">
        <v>23832</v>
      </c>
      <c r="K3004">
        <v>167.99999999999997</v>
      </c>
      <c r="L3004" t="s">
        <v>8</v>
      </c>
      <c r="M3004" t="s">
        <v>27</v>
      </c>
      <c r="N3004">
        <f>MONTH(Table1[[#This Row],[SaleDate]])</f>
        <v>12</v>
      </c>
      <c r="O3004" t="str">
        <f>TEXT(Table1[[#This Row],[SaleDate]],"MMM")</f>
        <v>Dec</v>
      </c>
    </row>
    <row r="3005" spans="1:15">
      <c r="A3005" s="1">
        <v>45261</v>
      </c>
      <c r="B3005" t="s">
        <v>26</v>
      </c>
      <c r="C3005" t="s">
        <v>20</v>
      </c>
      <c r="D3005">
        <v>1</v>
      </c>
      <c r="E3005" t="s">
        <v>7</v>
      </c>
      <c r="F3005">
        <v>33000</v>
      </c>
      <c r="G3005">
        <v>18000</v>
      </c>
      <c r="H3005">
        <f>Table1[[#This Row],[Qty]]*Table1[[#This Row],[SellingPrice]]</f>
        <v>33000</v>
      </c>
      <c r="I3005">
        <f>Table1[[#This Row],[Qty]]*Table1[[#This Row],[CostPrice]]</f>
        <v>18000</v>
      </c>
      <c r="J3005">
        <v>14895</v>
      </c>
      <c r="K3005">
        <v>104.99999999999999</v>
      </c>
      <c r="L3005" t="s">
        <v>11</v>
      </c>
      <c r="M3005" t="s">
        <v>29</v>
      </c>
      <c r="N3005">
        <f>MONTH(Table1[[#This Row],[SaleDate]])</f>
        <v>12</v>
      </c>
      <c r="O3005" t="str">
        <f>TEXT(Table1[[#This Row],[SaleDate]],"MMM")</f>
        <v>Dec</v>
      </c>
    </row>
    <row r="3006" spans="1:15">
      <c r="A3006" s="1">
        <v>45261</v>
      </c>
      <c r="B3006" t="s">
        <v>26</v>
      </c>
      <c r="C3006" t="s">
        <v>20</v>
      </c>
      <c r="D3006">
        <v>1</v>
      </c>
      <c r="E3006" t="s">
        <v>10</v>
      </c>
      <c r="F3006">
        <v>89000</v>
      </c>
      <c r="G3006">
        <v>65000</v>
      </c>
      <c r="H3006">
        <f>Table1[[#This Row],[Qty]]*Table1[[#This Row],[SellingPrice]]</f>
        <v>89000</v>
      </c>
      <c r="I3006">
        <f>Table1[[#This Row],[Qty]]*Table1[[#This Row],[CostPrice]]</f>
        <v>65000</v>
      </c>
      <c r="J3006">
        <v>23832</v>
      </c>
      <c r="K3006">
        <v>167.99999999999997</v>
      </c>
      <c r="L3006" t="s">
        <v>11</v>
      </c>
      <c r="M3006" t="s">
        <v>29</v>
      </c>
      <c r="N3006">
        <f>MONTH(Table1[[#This Row],[SaleDate]])</f>
        <v>12</v>
      </c>
      <c r="O3006" t="str">
        <f>TEXT(Table1[[#This Row],[SaleDate]],"MMM")</f>
        <v>Dec</v>
      </c>
    </row>
    <row r="3007" spans="1:15">
      <c r="A3007" s="1">
        <v>45261</v>
      </c>
      <c r="B3007" t="s">
        <v>24</v>
      </c>
      <c r="C3007" t="s">
        <v>22</v>
      </c>
      <c r="D3007">
        <v>1</v>
      </c>
      <c r="E3007" t="s">
        <v>7</v>
      </c>
      <c r="F3007">
        <v>33000</v>
      </c>
      <c r="G3007">
        <v>18000</v>
      </c>
      <c r="H3007">
        <f>Table1[[#This Row],[Qty]]*Table1[[#This Row],[SellingPrice]]</f>
        <v>33000</v>
      </c>
      <c r="I3007">
        <f>Table1[[#This Row],[Qty]]*Table1[[#This Row],[CostPrice]]</f>
        <v>18000</v>
      </c>
      <c r="J3007">
        <v>14895</v>
      </c>
      <c r="K3007">
        <v>104.99999999999999</v>
      </c>
      <c r="L3007" t="s">
        <v>12</v>
      </c>
      <c r="M3007" t="s">
        <v>30</v>
      </c>
      <c r="N3007">
        <f>MONTH(Table1[[#This Row],[SaleDate]])</f>
        <v>12</v>
      </c>
      <c r="O3007" t="str">
        <f>TEXT(Table1[[#This Row],[SaleDate]],"MMM")</f>
        <v>Dec</v>
      </c>
    </row>
    <row r="3008" spans="1:15">
      <c r="A3008" s="1">
        <v>45261</v>
      </c>
      <c r="B3008" t="s">
        <v>24</v>
      </c>
      <c r="C3008" t="s">
        <v>22</v>
      </c>
      <c r="D3008">
        <v>1</v>
      </c>
      <c r="E3008" t="s">
        <v>9</v>
      </c>
      <c r="F3008">
        <v>60000</v>
      </c>
      <c r="G3008">
        <v>31000</v>
      </c>
      <c r="H3008">
        <f>Table1[[#This Row],[Qty]]*Table1[[#This Row],[SellingPrice]]</f>
        <v>60000</v>
      </c>
      <c r="I3008">
        <f>Table1[[#This Row],[Qty]]*Table1[[#This Row],[CostPrice]]</f>
        <v>31000</v>
      </c>
      <c r="J3008">
        <v>28797</v>
      </c>
      <c r="K3008">
        <v>202.99999999999997</v>
      </c>
      <c r="L3008" t="s">
        <v>12</v>
      </c>
      <c r="M3008" t="s">
        <v>30</v>
      </c>
      <c r="N3008">
        <f>MONTH(Table1[[#This Row],[SaleDate]])</f>
        <v>12</v>
      </c>
      <c r="O3008" t="str">
        <f>TEXT(Table1[[#This Row],[SaleDate]],"MMM")</f>
        <v>Dec</v>
      </c>
    </row>
    <row r="3009" spans="1:15">
      <c r="A3009" s="1">
        <v>45261</v>
      </c>
      <c r="B3009" t="s">
        <v>24</v>
      </c>
      <c r="C3009" t="s">
        <v>22</v>
      </c>
      <c r="D3009">
        <v>1</v>
      </c>
      <c r="E3009" t="s">
        <v>10</v>
      </c>
      <c r="F3009">
        <v>89000</v>
      </c>
      <c r="G3009">
        <v>65000</v>
      </c>
      <c r="H3009">
        <f>Table1[[#This Row],[Qty]]*Table1[[#This Row],[SellingPrice]]</f>
        <v>89000</v>
      </c>
      <c r="I3009">
        <f>Table1[[#This Row],[Qty]]*Table1[[#This Row],[CostPrice]]</f>
        <v>65000</v>
      </c>
      <c r="J3009">
        <v>23832</v>
      </c>
      <c r="K3009">
        <v>167.99999999999997</v>
      </c>
      <c r="L3009" t="s">
        <v>12</v>
      </c>
      <c r="M3009" t="s">
        <v>30</v>
      </c>
      <c r="N3009">
        <f>MONTH(Table1[[#This Row],[SaleDate]])</f>
        <v>12</v>
      </c>
      <c r="O3009" t="str">
        <f>TEXT(Table1[[#This Row],[SaleDate]],"MMM")</f>
        <v>Dec</v>
      </c>
    </row>
    <row r="3010" spans="1:15">
      <c r="A3010" s="1">
        <v>45261</v>
      </c>
      <c r="B3010" t="s">
        <v>25</v>
      </c>
      <c r="C3010" t="s">
        <v>21</v>
      </c>
      <c r="D3010">
        <v>1</v>
      </c>
      <c r="E3010" t="s">
        <v>7</v>
      </c>
      <c r="F3010">
        <v>33000</v>
      </c>
      <c r="G3010">
        <v>18000</v>
      </c>
      <c r="H3010">
        <f>Table1[[#This Row],[Qty]]*Table1[[#This Row],[SellingPrice]]</f>
        <v>33000</v>
      </c>
      <c r="I3010">
        <f>Table1[[#This Row],[Qty]]*Table1[[#This Row],[CostPrice]]</f>
        <v>18000</v>
      </c>
      <c r="J3010">
        <v>14895</v>
      </c>
      <c r="K3010">
        <v>104.99999999999999</v>
      </c>
      <c r="L3010" t="s">
        <v>13</v>
      </c>
      <c r="M3010" t="s">
        <v>29</v>
      </c>
      <c r="N3010">
        <f>MONTH(Table1[[#This Row],[SaleDate]])</f>
        <v>12</v>
      </c>
      <c r="O3010" t="str">
        <f>TEXT(Table1[[#This Row],[SaleDate]],"MMM")</f>
        <v>Dec</v>
      </c>
    </row>
    <row r="3011" spans="1:15">
      <c r="A3011" s="1">
        <v>45261</v>
      </c>
      <c r="B3011" t="s">
        <v>25</v>
      </c>
      <c r="C3011" t="s">
        <v>21</v>
      </c>
      <c r="D3011">
        <v>1</v>
      </c>
      <c r="E3011" t="s">
        <v>9</v>
      </c>
      <c r="F3011">
        <v>60000</v>
      </c>
      <c r="G3011">
        <v>31000</v>
      </c>
      <c r="H3011">
        <f>Table1[[#This Row],[Qty]]*Table1[[#This Row],[SellingPrice]]</f>
        <v>60000</v>
      </c>
      <c r="I3011">
        <f>Table1[[#This Row],[Qty]]*Table1[[#This Row],[CostPrice]]</f>
        <v>31000</v>
      </c>
      <c r="J3011">
        <v>28797</v>
      </c>
      <c r="K3011">
        <v>202.99999999999997</v>
      </c>
      <c r="L3011" t="s">
        <v>13</v>
      </c>
      <c r="M3011" t="s">
        <v>30</v>
      </c>
      <c r="N3011">
        <f>MONTH(Table1[[#This Row],[SaleDate]])</f>
        <v>12</v>
      </c>
      <c r="O3011" t="str">
        <f>TEXT(Table1[[#This Row],[SaleDate]],"MMM")</f>
        <v>Dec</v>
      </c>
    </row>
    <row r="3012" spans="1:15">
      <c r="A3012" s="1">
        <v>45261</v>
      </c>
      <c r="B3012" t="s">
        <v>25</v>
      </c>
      <c r="C3012" t="s">
        <v>21</v>
      </c>
      <c r="D3012">
        <v>1</v>
      </c>
      <c r="E3012" t="s">
        <v>10</v>
      </c>
      <c r="F3012">
        <v>89000</v>
      </c>
      <c r="G3012">
        <v>65000</v>
      </c>
      <c r="H3012">
        <f>Table1[[#This Row],[Qty]]*Table1[[#This Row],[SellingPrice]]</f>
        <v>89000</v>
      </c>
      <c r="I3012">
        <f>Table1[[#This Row],[Qty]]*Table1[[#This Row],[CostPrice]]</f>
        <v>65000</v>
      </c>
      <c r="J3012">
        <v>23832</v>
      </c>
      <c r="K3012">
        <v>167.99999999999997</v>
      </c>
      <c r="L3012" t="s">
        <v>13</v>
      </c>
      <c r="M3012" t="s">
        <v>29</v>
      </c>
      <c r="N3012">
        <f>MONTH(Table1[[#This Row],[SaleDate]])</f>
        <v>12</v>
      </c>
      <c r="O3012" t="str">
        <f>TEXT(Table1[[#This Row],[SaleDate]],"MMM")</f>
        <v>Dec</v>
      </c>
    </row>
    <row r="3013" spans="1:15">
      <c r="A3013" s="1">
        <v>45262</v>
      </c>
      <c r="B3013" t="s">
        <v>23</v>
      </c>
      <c r="C3013" t="s">
        <v>19</v>
      </c>
      <c r="D3013">
        <v>2</v>
      </c>
      <c r="E3013" t="s">
        <v>7</v>
      </c>
      <c r="F3013">
        <v>33000</v>
      </c>
      <c r="G3013">
        <v>18000</v>
      </c>
      <c r="H3013">
        <f>Table1[[#This Row],[Qty]]*Table1[[#This Row],[SellingPrice]]</f>
        <v>66000</v>
      </c>
      <c r="I3013">
        <f>Table1[[#This Row],[Qty]]*Table1[[#This Row],[CostPrice]]</f>
        <v>36000</v>
      </c>
      <c r="J3013">
        <v>29790</v>
      </c>
      <c r="K3013">
        <v>209.99999999999997</v>
      </c>
      <c r="L3013" t="s">
        <v>8</v>
      </c>
      <c r="M3013" t="s">
        <v>29</v>
      </c>
      <c r="N3013">
        <f>MONTH(Table1[[#This Row],[SaleDate]])</f>
        <v>12</v>
      </c>
      <c r="O3013" t="str">
        <f>TEXT(Table1[[#This Row],[SaleDate]],"MMM")</f>
        <v>Dec</v>
      </c>
    </row>
    <row r="3014" spans="1:15">
      <c r="A3014" s="1">
        <v>45262</v>
      </c>
      <c r="B3014" t="s">
        <v>23</v>
      </c>
      <c r="C3014" t="s">
        <v>19</v>
      </c>
      <c r="D3014">
        <v>2</v>
      </c>
      <c r="E3014" t="s">
        <v>9</v>
      </c>
      <c r="F3014">
        <v>60000</v>
      </c>
      <c r="G3014">
        <v>31000</v>
      </c>
      <c r="H3014">
        <f>Table1[[#This Row],[Qty]]*Table1[[#This Row],[SellingPrice]]</f>
        <v>120000</v>
      </c>
      <c r="I3014">
        <f>Table1[[#This Row],[Qty]]*Table1[[#This Row],[CostPrice]]</f>
        <v>62000</v>
      </c>
      <c r="J3014">
        <v>57594</v>
      </c>
      <c r="K3014">
        <v>405.99999999999994</v>
      </c>
      <c r="L3014" t="s">
        <v>8</v>
      </c>
      <c r="M3014" t="s">
        <v>29</v>
      </c>
      <c r="N3014">
        <f>MONTH(Table1[[#This Row],[SaleDate]])</f>
        <v>12</v>
      </c>
      <c r="O3014" t="str">
        <f>TEXT(Table1[[#This Row],[SaleDate]],"MMM")</f>
        <v>Dec</v>
      </c>
    </row>
    <row r="3015" spans="1:15">
      <c r="A3015" s="1">
        <v>45262</v>
      </c>
      <c r="B3015" t="s">
        <v>23</v>
      </c>
      <c r="C3015" t="s">
        <v>19</v>
      </c>
      <c r="D3015">
        <v>2</v>
      </c>
      <c r="E3015" t="s">
        <v>10</v>
      </c>
      <c r="F3015">
        <v>89000</v>
      </c>
      <c r="G3015">
        <v>65000</v>
      </c>
      <c r="H3015">
        <f>Table1[[#This Row],[Qty]]*Table1[[#This Row],[SellingPrice]]</f>
        <v>178000</v>
      </c>
      <c r="I3015">
        <f>Table1[[#This Row],[Qty]]*Table1[[#This Row],[CostPrice]]</f>
        <v>130000</v>
      </c>
      <c r="J3015">
        <v>47664</v>
      </c>
      <c r="K3015">
        <v>335.99999999999994</v>
      </c>
      <c r="L3015" t="s">
        <v>8</v>
      </c>
      <c r="M3015" t="s">
        <v>27</v>
      </c>
      <c r="N3015">
        <f>MONTH(Table1[[#This Row],[SaleDate]])</f>
        <v>12</v>
      </c>
      <c r="O3015" t="str">
        <f>TEXT(Table1[[#This Row],[SaleDate]],"MMM")</f>
        <v>Dec</v>
      </c>
    </row>
    <row r="3016" spans="1:15">
      <c r="A3016" s="1">
        <v>45262</v>
      </c>
      <c r="B3016" t="s">
        <v>26</v>
      </c>
      <c r="C3016" t="s">
        <v>20</v>
      </c>
      <c r="D3016">
        <v>2</v>
      </c>
      <c r="E3016" t="s">
        <v>7</v>
      </c>
      <c r="F3016">
        <v>33000</v>
      </c>
      <c r="G3016">
        <v>18000</v>
      </c>
      <c r="H3016">
        <f>Table1[[#This Row],[Qty]]*Table1[[#This Row],[SellingPrice]]</f>
        <v>66000</v>
      </c>
      <c r="I3016">
        <f>Table1[[#This Row],[Qty]]*Table1[[#This Row],[CostPrice]]</f>
        <v>36000</v>
      </c>
      <c r="J3016">
        <v>29790</v>
      </c>
      <c r="K3016">
        <v>209.99999999999997</v>
      </c>
      <c r="L3016" t="s">
        <v>11</v>
      </c>
      <c r="M3016" t="s">
        <v>29</v>
      </c>
      <c r="N3016">
        <f>MONTH(Table1[[#This Row],[SaleDate]])</f>
        <v>12</v>
      </c>
      <c r="O3016" t="str">
        <f>TEXT(Table1[[#This Row],[SaleDate]],"MMM")</f>
        <v>Dec</v>
      </c>
    </row>
    <row r="3017" spans="1:15">
      <c r="A3017" s="1">
        <v>45262</v>
      </c>
      <c r="B3017" t="s">
        <v>26</v>
      </c>
      <c r="C3017" t="s">
        <v>20</v>
      </c>
      <c r="D3017">
        <v>2</v>
      </c>
      <c r="E3017" t="s">
        <v>10</v>
      </c>
      <c r="F3017">
        <v>89000</v>
      </c>
      <c r="G3017">
        <v>65000</v>
      </c>
      <c r="H3017">
        <f>Table1[[#This Row],[Qty]]*Table1[[#This Row],[SellingPrice]]</f>
        <v>178000</v>
      </c>
      <c r="I3017">
        <f>Table1[[#This Row],[Qty]]*Table1[[#This Row],[CostPrice]]</f>
        <v>130000</v>
      </c>
      <c r="J3017">
        <v>47664</v>
      </c>
      <c r="K3017">
        <v>335.99999999999994</v>
      </c>
      <c r="L3017" t="s">
        <v>11</v>
      </c>
      <c r="M3017" t="s">
        <v>30</v>
      </c>
      <c r="N3017">
        <f>MONTH(Table1[[#This Row],[SaleDate]])</f>
        <v>12</v>
      </c>
      <c r="O3017" t="str">
        <f>TEXT(Table1[[#This Row],[SaleDate]],"MMM")</f>
        <v>Dec</v>
      </c>
    </row>
    <row r="3018" spans="1:15">
      <c r="A3018" s="1">
        <v>45262</v>
      </c>
      <c r="B3018" t="s">
        <v>24</v>
      </c>
      <c r="C3018" t="s">
        <v>22</v>
      </c>
      <c r="D3018">
        <v>2</v>
      </c>
      <c r="E3018" t="s">
        <v>7</v>
      </c>
      <c r="F3018">
        <v>33000</v>
      </c>
      <c r="G3018">
        <v>18000</v>
      </c>
      <c r="H3018">
        <f>Table1[[#This Row],[Qty]]*Table1[[#This Row],[SellingPrice]]</f>
        <v>66000</v>
      </c>
      <c r="I3018">
        <f>Table1[[#This Row],[Qty]]*Table1[[#This Row],[CostPrice]]</f>
        <v>36000</v>
      </c>
      <c r="J3018">
        <v>29790</v>
      </c>
      <c r="K3018">
        <v>209.99999999999997</v>
      </c>
      <c r="L3018" t="s">
        <v>12</v>
      </c>
      <c r="M3018" t="s">
        <v>30</v>
      </c>
      <c r="N3018">
        <f>MONTH(Table1[[#This Row],[SaleDate]])</f>
        <v>12</v>
      </c>
      <c r="O3018" t="str">
        <f>TEXT(Table1[[#This Row],[SaleDate]],"MMM")</f>
        <v>Dec</v>
      </c>
    </row>
    <row r="3019" spans="1:15">
      <c r="A3019" s="1">
        <v>45262</v>
      </c>
      <c r="B3019" t="s">
        <v>24</v>
      </c>
      <c r="C3019" t="s">
        <v>22</v>
      </c>
      <c r="D3019">
        <v>2</v>
      </c>
      <c r="E3019" t="s">
        <v>9</v>
      </c>
      <c r="F3019">
        <v>60000</v>
      </c>
      <c r="G3019">
        <v>31000</v>
      </c>
      <c r="H3019">
        <f>Table1[[#This Row],[Qty]]*Table1[[#This Row],[SellingPrice]]</f>
        <v>120000</v>
      </c>
      <c r="I3019">
        <f>Table1[[#This Row],[Qty]]*Table1[[#This Row],[CostPrice]]</f>
        <v>62000</v>
      </c>
      <c r="J3019">
        <v>57594</v>
      </c>
      <c r="K3019">
        <v>405.99999999999994</v>
      </c>
      <c r="L3019" t="s">
        <v>12</v>
      </c>
      <c r="M3019" t="s">
        <v>30</v>
      </c>
      <c r="N3019">
        <f>MONTH(Table1[[#This Row],[SaleDate]])</f>
        <v>12</v>
      </c>
      <c r="O3019" t="str">
        <f>TEXT(Table1[[#This Row],[SaleDate]],"MMM")</f>
        <v>Dec</v>
      </c>
    </row>
    <row r="3020" spans="1:15">
      <c r="A3020" s="1">
        <v>45262</v>
      </c>
      <c r="B3020" t="s">
        <v>24</v>
      </c>
      <c r="C3020" t="s">
        <v>22</v>
      </c>
      <c r="D3020">
        <v>2</v>
      </c>
      <c r="E3020" t="s">
        <v>10</v>
      </c>
      <c r="F3020">
        <v>89000</v>
      </c>
      <c r="G3020">
        <v>65000</v>
      </c>
      <c r="H3020">
        <f>Table1[[#This Row],[Qty]]*Table1[[#This Row],[SellingPrice]]</f>
        <v>178000</v>
      </c>
      <c r="I3020">
        <f>Table1[[#This Row],[Qty]]*Table1[[#This Row],[CostPrice]]</f>
        <v>130000</v>
      </c>
      <c r="J3020">
        <v>47664</v>
      </c>
      <c r="K3020">
        <v>335.99999999999994</v>
      </c>
      <c r="L3020" t="s">
        <v>12</v>
      </c>
      <c r="M3020" t="s">
        <v>27</v>
      </c>
      <c r="N3020">
        <f>MONTH(Table1[[#This Row],[SaleDate]])</f>
        <v>12</v>
      </c>
      <c r="O3020" t="str">
        <f>TEXT(Table1[[#This Row],[SaleDate]],"MMM")</f>
        <v>Dec</v>
      </c>
    </row>
    <row r="3021" spans="1:15">
      <c r="A3021" s="1">
        <v>45262</v>
      </c>
      <c r="B3021" t="s">
        <v>25</v>
      </c>
      <c r="C3021" t="s">
        <v>21</v>
      </c>
      <c r="D3021">
        <v>2</v>
      </c>
      <c r="E3021" t="s">
        <v>7</v>
      </c>
      <c r="F3021">
        <v>33000</v>
      </c>
      <c r="G3021">
        <v>18000</v>
      </c>
      <c r="H3021">
        <f>Table1[[#This Row],[Qty]]*Table1[[#This Row],[SellingPrice]]</f>
        <v>66000</v>
      </c>
      <c r="I3021">
        <f>Table1[[#This Row],[Qty]]*Table1[[#This Row],[CostPrice]]</f>
        <v>36000</v>
      </c>
      <c r="J3021">
        <v>29790</v>
      </c>
      <c r="K3021">
        <v>209.99999999999997</v>
      </c>
      <c r="L3021" t="s">
        <v>13</v>
      </c>
      <c r="M3021" t="s">
        <v>30</v>
      </c>
      <c r="N3021">
        <f>MONTH(Table1[[#This Row],[SaleDate]])</f>
        <v>12</v>
      </c>
      <c r="O3021" t="str">
        <f>TEXT(Table1[[#This Row],[SaleDate]],"MMM")</f>
        <v>Dec</v>
      </c>
    </row>
    <row r="3022" spans="1:15">
      <c r="A3022" s="1">
        <v>45262</v>
      </c>
      <c r="B3022" t="s">
        <v>25</v>
      </c>
      <c r="C3022" t="s">
        <v>21</v>
      </c>
      <c r="D3022">
        <v>2</v>
      </c>
      <c r="E3022" t="s">
        <v>9</v>
      </c>
      <c r="F3022">
        <v>60000</v>
      </c>
      <c r="G3022">
        <v>31000</v>
      </c>
      <c r="H3022">
        <f>Table1[[#This Row],[Qty]]*Table1[[#This Row],[SellingPrice]]</f>
        <v>120000</v>
      </c>
      <c r="I3022">
        <f>Table1[[#This Row],[Qty]]*Table1[[#This Row],[CostPrice]]</f>
        <v>62000</v>
      </c>
      <c r="J3022">
        <v>57594</v>
      </c>
      <c r="K3022">
        <v>405.99999999999994</v>
      </c>
      <c r="L3022" t="s">
        <v>13</v>
      </c>
      <c r="M3022" t="s">
        <v>29</v>
      </c>
      <c r="N3022">
        <f>MONTH(Table1[[#This Row],[SaleDate]])</f>
        <v>12</v>
      </c>
      <c r="O3022" t="str">
        <f>TEXT(Table1[[#This Row],[SaleDate]],"MMM")</f>
        <v>Dec</v>
      </c>
    </row>
    <row r="3023" spans="1:15">
      <c r="A3023" s="1">
        <v>45262</v>
      </c>
      <c r="B3023" t="s">
        <v>25</v>
      </c>
      <c r="C3023" t="s">
        <v>21</v>
      </c>
      <c r="D3023">
        <v>2</v>
      </c>
      <c r="E3023" t="s">
        <v>10</v>
      </c>
      <c r="F3023">
        <v>89000</v>
      </c>
      <c r="G3023">
        <v>65000</v>
      </c>
      <c r="H3023">
        <f>Table1[[#This Row],[Qty]]*Table1[[#This Row],[SellingPrice]]</f>
        <v>178000</v>
      </c>
      <c r="I3023">
        <f>Table1[[#This Row],[Qty]]*Table1[[#This Row],[CostPrice]]</f>
        <v>130000</v>
      </c>
      <c r="J3023">
        <v>47664</v>
      </c>
      <c r="K3023">
        <v>335.99999999999994</v>
      </c>
      <c r="L3023" t="s">
        <v>13</v>
      </c>
      <c r="M3023" t="s">
        <v>30</v>
      </c>
      <c r="N3023">
        <f>MONTH(Table1[[#This Row],[SaleDate]])</f>
        <v>12</v>
      </c>
      <c r="O3023" t="str">
        <f>TEXT(Table1[[#This Row],[SaleDate]],"MMM")</f>
        <v>Dec</v>
      </c>
    </row>
    <row r="3024" spans="1:15">
      <c r="A3024" s="1">
        <v>45263</v>
      </c>
      <c r="B3024" t="s">
        <v>23</v>
      </c>
      <c r="C3024" t="s">
        <v>19</v>
      </c>
      <c r="D3024">
        <v>1</v>
      </c>
      <c r="E3024" t="s">
        <v>7</v>
      </c>
      <c r="F3024">
        <v>33000</v>
      </c>
      <c r="G3024">
        <v>18000</v>
      </c>
      <c r="H3024">
        <f>Table1[[#This Row],[Qty]]*Table1[[#This Row],[SellingPrice]]</f>
        <v>33000</v>
      </c>
      <c r="I3024">
        <f>Table1[[#This Row],[Qty]]*Table1[[#This Row],[CostPrice]]</f>
        <v>18000</v>
      </c>
      <c r="J3024">
        <v>14895</v>
      </c>
      <c r="K3024">
        <v>104.99999999999999</v>
      </c>
      <c r="L3024" t="s">
        <v>8</v>
      </c>
      <c r="M3024" t="s">
        <v>30</v>
      </c>
      <c r="N3024">
        <f>MONTH(Table1[[#This Row],[SaleDate]])</f>
        <v>12</v>
      </c>
      <c r="O3024" t="str">
        <f>TEXT(Table1[[#This Row],[SaleDate]],"MMM")</f>
        <v>Dec</v>
      </c>
    </row>
    <row r="3025" spans="1:15">
      <c r="A3025" s="1">
        <v>45263</v>
      </c>
      <c r="B3025" t="s">
        <v>23</v>
      </c>
      <c r="C3025" t="s">
        <v>19</v>
      </c>
      <c r="D3025">
        <v>1</v>
      </c>
      <c r="E3025" t="s">
        <v>9</v>
      </c>
      <c r="F3025">
        <v>60000</v>
      </c>
      <c r="G3025">
        <v>31000</v>
      </c>
      <c r="H3025">
        <f>Table1[[#This Row],[Qty]]*Table1[[#This Row],[SellingPrice]]</f>
        <v>60000</v>
      </c>
      <c r="I3025">
        <f>Table1[[#This Row],[Qty]]*Table1[[#This Row],[CostPrice]]</f>
        <v>31000</v>
      </c>
      <c r="J3025">
        <v>28797</v>
      </c>
      <c r="K3025">
        <v>202.99999999999997</v>
      </c>
      <c r="L3025" t="s">
        <v>8</v>
      </c>
      <c r="M3025" t="s">
        <v>27</v>
      </c>
      <c r="N3025">
        <f>MONTH(Table1[[#This Row],[SaleDate]])</f>
        <v>12</v>
      </c>
      <c r="O3025" t="str">
        <f>TEXT(Table1[[#This Row],[SaleDate]],"MMM")</f>
        <v>Dec</v>
      </c>
    </row>
    <row r="3026" spans="1:15">
      <c r="A3026" s="1">
        <v>45263</v>
      </c>
      <c r="B3026" t="s">
        <v>23</v>
      </c>
      <c r="C3026" t="s">
        <v>19</v>
      </c>
      <c r="D3026">
        <v>1</v>
      </c>
      <c r="E3026" t="s">
        <v>10</v>
      </c>
      <c r="F3026">
        <v>89000</v>
      </c>
      <c r="G3026">
        <v>65000</v>
      </c>
      <c r="H3026">
        <f>Table1[[#This Row],[Qty]]*Table1[[#This Row],[SellingPrice]]</f>
        <v>89000</v>
      </c>
      <c r="I3026">
        <f>Table1[[#This Row],[Qty]]*Table1[[#This Row],[CostPrice]]</f>
        <v>65000</v>
      </c>
      <c r="J3026">
        <v>23832</v>
      </c>
      <c r="K3026">
        <v>167.99999999999997</v>
      </c>
      <c r="L3026" t="s">
        <v>8</v>
      </c>
      <c r="M3026" t="s">
        <v>30</v>
      </c>
      <c r="N3026">
        <f>MONTH(Table1[[#This Row],[SaleDate]])</f>
        <v>12</v>
      </c>
      <c r="O3026" t="str">
        <f>TEXT(Table1[[#This Row],[SaleDate]],"MMM")</f>
        <v>Dec</v>
      </c>
    </row>
    <row r="3027" spans="1:15">
      <c r="A3027" s="1">
        <v>45263</v>
      </c>
      <c r="B3027" t="s">
        <v>26</v>
      </c>
      <c r="C3027" t="s">
        <v>20</v>
      </c>
      <c r="D3027">
        <v>1</v>
      </c>
      <c r="E3027" t="s">
        <v>7</v>
      </c>
      <c r="F3027">
        <v>33000</v>
      </c>
      <c r="G3027">
        <v>18000</v>
      </c>
      <c r="H3027">
        <f>Table1[[#This Row],[Qty]]*Table1[[#This Row],[SellingPrice]]</f>
        <v>33000</v>
      </c>
      <c r="I3027">
        <f>Table1[[#This Row],[Qty]]*Table1[[#This Row],[CostPrice]]</f>
        <v>18000</v>
      </c>
      <c r="J3027">
        <v>14895</v>
      </c>
      <c r="K3027">
        <v>104.99999999999999</v>
      </c>
      <c r="L3027" t="s">
        <v>11</v>
      </c>
      <c r="M3027" t="s">
        <v>30</v>
      </c>
      <c r="N3027">
        <f>MONTH(Table1[[#This Row],[SaleDate]])</f>
        <v>12</v>
      </c>
      <c r="O3027" t="str">
        <f>TEXT(Table1[[#This Row],[SaleDate]],"MMM")</f>
        <v>Dec</v>
      </c>
    </row>
    <row r="3028" spans="1:15">
      <c r="A3028" s="1">
        <v>45263</v>
      </c>
      <c r="B3028" t="s">
        <v>26</v>
      </c>
      <c r="C3028" t="s">
        <v>20</v>
      </c>
      <c r="D3028">
        <v>1</v>
      </c>
      <c r="E3028" t="s">
        <v>10</v>
      </c>
      <c r="F3028">
        <v>89000</v>
      </c>
      <c r="G3028">
        <v>65000</v>
      </c>
      <c r="H3028">
        <f>Table1[[#This Row],[Qty]]*Table1[[#This Row],[SellingPrice]]</f>
        <v>89000</v>
      </c>
      <c r="I3028">
        <f>Table1[[#This Row],[Qty]]*Table1[[#This Row],[CostPrice]]</f>
        <v>65000</v>
      </c>
      <c r="J3028">
        <v>23832</v>
      </c>
      <c r="K3028">
        <v>167.99999999999997</v>
      </c>
      <c r="L3028" t="s">
        <v>11</v>
      </c>
      <c r="M3028" t="s">
        <v>30</v>
      </c>
      <c r="N3028">
        <f>MONTH(Table1[[#This Row],[SaleDate]])</f>
        <v>12</v>
      </c>
      <c r="O3028" t="str">
        <f>TEXT(Table1[[#This Row],[SaleDate]],"MMM")</f>
        <v>Dec</v>
      </c>
    </row>
    <row r="3029" spans="1:15">
      <c r="A3029" s="1">
        <v>45263</v>
      </c>
      <c r="B3029" t="s">
        <v>24</v>
      </c>
      <c r="C3029" t="s">
        <v>22</v>
      </c>
      <c r="D3029">
        <v>1</v>
      </c>
      <c r="E3029" t="s">
        <v>7</v>
      </c>
      <c r="F3029">
        <v>33000</v>
      </c>
      <c r="G3029">
        <v>18000</v>
      </c>
      <c r="H3029">
        <f>Table1[[#This Row],[Qty]]*Table1[[#This Row],[SellingPrice]]</f>
        <v>33000</v>
      </c>
      <c r="I3029">
        <f>Table1[[#This Row],[Qty]]*Table1[[#This Row],[CostPrice]]</f>
        <v>18000</v>
      </c>
      <c r="J3029">
        <v>14895</v>
      </c>
      <c r="K3029">
        <v>104.99999999999999</v>
      </c>
      <c r="L3029" t="s">
        <v>12</v>
      </c>
      <c r="M3029" t="s">
        <v>29</v>
      </c>
      <c r="N3029">
        <f>MONTH(Table1[[#This Row],[SaleDate]])</f>
        <v>12</v>
      </c>
      <c r="O3029" t="str">
        <f>TEXT(Table1[[#This Row],[SaleDate]],"MMM")</f>
        <v>Dec</v>
      </c>
    </row>
    <row r="3030" spans="1:15">
      <c r="A3030" s="1">
        <v>45263</v>
      </c>
      <c r="B3030" t="s">
        <v>24</v>
      </c>
      <c r="C3030" t="s">
        <v>22</v>
      </c>
      <c r="D3030">
        <v>1</v>
      </c>
      <c r="E3030" t="s">
        <v>9</v>
      </c>
      <c r="F3030">
        <v>60000</v>
      </c>
      <c r="G3030">
        <v>31000</v>
      </c>
      <c r="H3030">
        <f>Table1[[#This Row],[Qty]]*Table1[[#This Row],[SellingPrice]]</f>
        <v>60000</v>
      </c>
      <c r="I3030">
        <f>Table1[[#This Row],[Qty]]*Table1[[#This Row],[CostPrice]]</f>
        <v>31000</v>
      </c>
      <c r="J3030">
        <v>28797</v>
      </c>
      <c r="K3030">
        <v>202.99999999999997</v>
      </c>
      <c r="L3030" t="s">
        <v>12</v>
      </c>
      <c r="M3030" t="s">
        <v>29</v>
      </c>
      <c r="N3030">
        <f>MONTH(Table1[[#This Row],[SaleDate]])</f>
        <v>12</v>
      </c>
      <c r="O3030" t="str">
        <f>TEXT(Table1[[#This Row],[SaleDate]],"MMM")</f>
        <v>Dec</v>
      </c>
    </row>
    <row r="3031" spans="1:15">
      <c r="A3031" s="1">
        <v>45263</v>
      </c>
      <c r="B3031" t="s">
        <v>24</v>
      </c>
      <c r="C3031" t="s">
        <v>22</v>
      </c>
      <c r="D3031">
        <v>1</v>
      </c>
      <c r="E3031" t="s">
        <v>10</v>
      </c>
      <c r="F3031">
        <v>89000</v>
      </c>
      <c r="G3031">
        <v>65000</v>
      </c>
      <c r="H3031">
        <f>Table1[[#This Row],[Qty]]*Table1[[#This Row],[SellingPrice]]</f>
        <v>89000</v>
      </c>
      <c r="I3031">
        <f>Table1[[#This Row],[Qty]]*Table1[[#This Row],[CostPrice]]</f>
        <v>65000</v>
      </c>
      <c r="J3031">
        <v>23832</v>
      </c>
      <c r="K3031">
        <v>167.99999999999997</v>
      </c>
      <c r="L3031" t="s">
        <v>12</v>
      </c>
      <c r="M3031" t="s">
        <v>30</v>
      </c>
      <c r="N3031">
        <f>MONTH(Table1[[#This Row],[SaleDate]])</f>
        <v>12</v>
      </c>
      <c r="O3031" t="str">
        <f>TEXT(Table1[[#This Row],[SaleDate]],"MMM")</f>
        <v>Dec</v>
      </c>
    </row>
    <row r="3032" spans="1:15">
      <c r="A3032" s="1">
        <v>45263</v>
      </c>
      <c r="B3032" t="s">
        <v>25</v>
      </c>
      <c r="C3032" t="s">
        <v>21</v>
      </c>
      <c r="D3032">
        <v>1</v>
      </c>
      <c r="E3032" t="s">
        <v>7</v>
      </c>
      <c r="F3032">
        <v>33000</v>
      </c>
      <c r="G3032">
        <v>18000</v>
      </c>
      <c r="H3032">
        <f>Table1[[#This Row],[Qty]]*Table1[[#This Row],[SellingPrice]]</f>
        <v>33000</v>
      </c>
      <c r="I3032">
        <f>Table1[[#This Row],[Qty]]*Table1[[#This Row],[CostPrice]]</f>
        <v>18000</v>
      </c>
      <c r="J3032">
        <v>14895</v>
      </c>
      <c r="K3032">
        <v>104.99999999999999</v>
      </c>
      <c r="L3032" t="s">
        <v>13</v>
      </c>
      <c r="M3032" t="s">
        <v>29</v>
      </c>
      <c r="N3032">
        <f>MONTH(Table1[[#This Row],[SaleDate]])</f>
        <v>12</v>
      </c>
      <c r="O3032" t="str">
        <f>TEXT(Table1[[#This Row],[SaleDate]],"MMM")</f>
        <v>Dec</v>
      </c>
    </row>
    <row r="3033" spans="1:15">
      <c r="A3033" s="1">
        <v>45263</v>
      </c>
      <c r="B3033" t="s">
        <v>25</v>
      </c>
      <c r="C3033" t="s">
        <v>21</v>
      </c>
      <c r="D3033">
        <v>1</v>
      </c>
      <c r="E3033" t="s">
        <v>9</v>
      </c>
      <c r="F3033">
        <v>60000</v>
      </c>
      <c r="G3033">
        <v>31000</v>
      </c>
      <c r="H3033">
        <f>Table1[[#This Row],[Qty]]*Table1[[#This Row],[SellingPrice]]</f>
        <v>60000</v>
      </c>
      <c r="I3033">
        <f>Table1[[#This Row],[Qty]]*Table1[[#This Row],[CostPrice]]</f>
        <v>31000</v>
      </c>
      <c r="J3033">
        <v>28797</v>
      </c>
      <c r="K3033">
        <v>202.99999999999997</v>
      </c>
      <c r="L3033" t="s">
        <v>13</v>
      </c>
      <c r="M3033" t="s">
        <v>30</v>
      </c>
      <c r="N3033">
        <f>MONTH(Table1[[#This Row],[SaleDate]])</f>
        <v>12</v>
      </c>
      <c r="O3033" t="str">
        <f>TEXT(Table1[[#This Row],[SaleDate]],"MMM")</f>
        <v>Dec</v>
      </c>
    </row>
    <row r="3034" spans="1:15">
      <c r="A3034" s="1">
        <v>45263</v>
      </c>
      <c r="B3034" t="s">
        <v>25</v>
      </c>
      <c r="C3034" t="s">
        <v>21</v>
      </c>
      <c r="D3034">
        <v>1</v>
      </c>
      <c r="E3034" t="s">
        <v>10</v>
      </c>
      <c r="F3034">
        <v>89000</v>
      </c>
      <c r="G3034">
        <v>65000</v>
      </c>
      <c r="H3034">
        <f>Table1[[#This Row],[Qty]]*Table1[[#This Row],[SellingPrice]]</f>
        <v>89000</v>
      </c>
      <c r="I3034">
        <f>Table1[[#This Row],[Qty]]*Table1[[#This Row],[CostPrice]]</f>
        <v>65000</v>
      </c>
      <c r="J3034">
        <v>23832</v>
      </c>
      <c r="K3034">
        <v>167.99999999999997</v>
      </c>
      <c r="L3034" t="s">
        <v>13</v>
      </c>
      <c r="M3034" t="s">
        <v>29</v>
      </c>
      <c r="N3034">
        <f>MONTH(Table1[[#This Row],[SaleDate]])</f>
        <v>12</v>
      </c>
      <c r="O3034" t="str">
        <f>TEXT(Table1[[#This Row],[SaleDate]],"MMM")</f>
        <v>Dec</v>
      </c>
    </row>
    <row r="3035" spans="1:15">
      <c r="A3035" s="1">
        <v>45264</v>
      </c>
      <c r="B3035" t="s">
        <v>23</v>
      </c>
      <c r="C3035" t="s">
        <v>19</v>
      </c>
      <c r="D3035">
        <v>2</v>
      </c>
      <c r="E3035" t="s">
        <v>7</v>
      </c>
      <c r="F3035">
        <v>33000</v>
      </c>
      <c r="G3035">
        <v>18000</v>
      </c>
      <c r="H3035">
        <f>Table1[[#This Row],[Qty]]*Table1[[#This Row],[SellingPrice]]</f>
        <v>66000</v>
      </c>
      <c r="I3035">
        <f>Table1[[#This Row],[Qty]]*Table1[[#This Row],[CostPrice]]</f>
        <v>36000</v>
      </c>
      <c r="J3035">
        <v>29790</v>
      </c>
      <c r="K3035">
        <v>209.99999999999997</v>
      </c>
      <c r="L3035" t="s">
        <v>8</v>
      </c>
      <c r="M3035" t="s">
        <v>29</v>
      </c>
      <c r="N3035">
        <f>MONTH(Table1[[#This Row],[SaleDate]])</f>
        <v>12</v>
      </c>
      <c r="O3035" t="str">
        <f>TEXT(Table1[[#This Row],[SaleDate]],"MMM")</f>
        <v>Dec</v>
      </c>
    </row>
    <row r="3036" spans="1:15">
      <c r="A3036" s="1">
        <v>45264</v>
      </c>
      <c r="B3036" t="s">
        <v>23</v>
      </c>
      <c r="C3036" t="s">
        <v>19</v>
      </c>
      <c r="D3036">
        <v>2</v>
      </c>
      <c r="E3036" t="s">
        <v>9</v>
      </c>
      <c r="F3036">
        <v>60000</v>
      </c>
      <c r="G3036">
        <v>31000</v>
      </c>
      <c r="H3036">
        <f>Table1[[#This Row],[Qty]]*Table1[[#This Row],[SellingPrice]]</f>
        <v>120000</v>
      </c>
      <c r="I3036">
        <f>Table1[[#This Row],[Qty]]*Table1[[#This Row],[CostPrice]]</f>
        <v>62000</v>
      </c>
      <c r="J3036">
        <v>57594</v>
      </c>
      <c r="K3036">
        <v>405.99999999999994</v>
      </c>
      <c r="L3036" t="s">
        <v>8</v>
      </c>
      <c r="M3036" t="s">
        <v>30</v>
      </c>
      <c r="N3036">
        <f>MONTH(Table1[[#This Row],[SaleDate]])</f>
        <v>12</v>
      </c>
      <c r="O3036" t="str">
        <f>TEXT(Table1[[#This Row],[SaleDate]],"MMM")</f>
        <v>Dec</v>
      </c>
    </row>
    <row r="3037" spans="1:15">
      <c r="A3037" s="1">
        <v>45264</v>
      </c>
      <c r="B3037" t="s">
        <v>23</v>
      </c>
      <c r="C3037" t="s">
        <v>19</v>
      </c>
      <c r="D3037">
        <v>2</v>
      </c>
      <c r="E3037" t="s">
        <v>10</v>
      </c>
      <c r="F3037">
        <v>89000</v>
      </c>
      <c r="G3037">
        <v>65000</v>
      </c>
      <c r="H3037">
        <f>Table1[[#This Row],[Qty]]*Table1[[#This Row],[SellingPrice]]</f>
        <v>178000</v>
      </c>
      <c r="I3037">
        <f>Table1[[#This Row],[Qty]]*Table1[[#This Row],[CostPrice]]</f>
        <v>130000</v>
      </c>
      <c r="J3037">
        <v>47664</v>
      </c>
      <c r="K3037">
        <v>335.99999999999994</v>
      </c>
      <c r="L3037" t="s">
        <v>8</v>
      </c>
      <c r="M3037" t="s">
        <v>27</v>
      </c>
      <c r="N3037">
        <f>MONTH(Table1[[#This Row],[SaleDate]])</f>
        <v>12</v>
      </c>
      <c r="O3037" t="str">
        <f>TEXT(Table1[[#This Row],[SaleDate]],"MMM")</f>
        <v>Dec</v>
      </c>
    </row>
    <row r="3038" spans="1:15">
      <c r="A3038" s="1">
        <v>45264</v>
      </c>
      <c r="B3038" t="s">
        <v>26</v>
      </c>
      <c r="C3038" t="s">
        <v>20</v>
      </c>
      <c r="D3038">
        <v>2</v>
      </c>
      <c r="E3038" t="s">
        <v>7</v>
      </c>
      <c r="F3038">
        <v>33000</v>
      </c>
      <c r="G3038">
        <v>18000</v>
      </c>
      <c r="H3038">
        <f>Table1[[#This Row],[Qty]]*Table1[[#This Row],[SellingPrice]]</f>
        <v>66000</v>
      </c>
      <c r="I3038">
        <f>Table1[[#This Row],[Qty]]*Table1[[#This Row],[CostPrice]]</f>
        <v>36000</v>
      </c>
      <c r="J3038">
        <v>29790</v>
      </c>
      <c r="K3038">
        <v>209.99999999999997</v>
      </c>
      <c r="L3038" t="s">
        <v>11</v>
      </c>
      <c r="M3038" t="s">
        <v>28</v>
      </c>
      <c r="N3038">
        <f>MONTH(Table1[[#This Row],[SaleDate]])</f>
        <v>12</v>
      </c>
      <c r="O3038" t="str">
        <f>TEXT(Table1[[#This Row],[SaleDate]],"MMM")</f>
        <v>Dec</v>
      </c>
    </row>
    <row r="3039" spans="1:15">
      <c r="A3039" s="1">
        <v>45264</v>
      </c>
      <c r="B3039" t="s">
        <v>24</v>
      </c>
      <c r="C3039" t="s">
        <v>22</v>
      </c>
      <c r="D3039">
        <v>2</v>
      </c>
      <c r="E3039" t="s">
        <v>7</v>
      </c>
      <c r="F3039">
        <v>33000</v>
      </c>
      <c r="G3039">
        <v>18000</v>
      </c>
      <c r="H3039">
        <f>Table1[[#This Row],[Qty]]*Table1[[#This Row],[SellingPrice]]</f>
        <v>66000</v>
      </c>
      <c r="I3039">
        <f>Table1[[#This Row],[Qty]]*Table1[[#This Row],[CostPrice]]</f>
        <v>36000</v>
      </c>
      <c r="J3039">
        <v>29790</v>
      </c>
      <c r="K3039">
        <v>209.99999999999997</v>
      </c>
      <c r="L3039" t="s">
        <v>12</v>
      </c>
      <c r="M3039" t="s">
        <v>27</v>
      </c>
      <c r="N3039">
        <f>MONTH(Table1[[#This Row],[SaleDate]])</f>
        <v>12</v>
      </c>
      <c r="O3039" t="str">
        <f>TEXT(Table1[[#This Row],[SaleDate]],"MMM")</f>
        <v>Dec</v>
      </c>
    </row>
    <row r="3040" spans="1:15">
      <c r="A3040" s="1">
        <v>45264</v>
      </c>
      <c r="B3040" t="s">
        <v>24</v>
      </c>
      <c r="C3040" t="s">
        <v>22</v>
      </c>
      <c r="D3040">
        <v>2</v>
      </c>
      <c r="E3040" t="s">
        <v>9</v>
      </c>
      <c r="F3040">
        <v>60000</v>
      </c>
      <c r="G3040">
        <v>31000</v>
      </c>
      <c r="H3040">
        <f>Table1[[#This Row],[Qty]]*Table1[[#This Row],[SellingPrice]]</f>
        <v>120000</v>
      </c>
      <c r="I3040">
        <f>Table1[[#This Row],[Qty]]*Table1[[#This Row],[CostPrice]]</f>
        <v>62000</v>
      </c>
      <c r="J3040">
        <v>57594</v>
      </c>
      <c r="K3040">
        <v>405.99999999999994</v>
      </c>
      <c r="L3040" t="s">
        <v>12</v>
      </c>
      <c r="M3040" t="s">
        <v>29</v>
      </c>
      <c r="N3040">
        <f>MONTH(Table1[[#This Row],[SaleDate]])</f>
        <v>12</v>
      </c>
      <c r="O3040" t="str">
        <f>TEXT(Table1[[#This Row],[SaleDate]],"MMM")</f>
        <v>Dec</v>
      </c>
    </row>
    <row r="3041" spans="1:15">
      <c r="A3041" s="1">
        <v>45264</v>
      </c>
      <c r="B3041" t="s">
        <v>24</v>
      </c>
      <c r="C3041" t="s">
        <v>22</v>
      </c>
      <c r="D3041">
        <v>2</v>
      </c>
      <c r="E3041" t="s">
        <v>10</v>
      </c>
      <c r="F3041">
        <v>89000</v>
      </c>
      <c r="G3041">
        <v>65000</v>
      </c>
      <c r="H3041">
        <f>Table1[[#This Row],[Qty]]*Table1[[#This Row],[SellingPrice]]</f>
        <v>178000</v>
      </c>
      <c r="I3041">
        <f>Table1[[#This Row],[Qty]]*Table1[[#This Row],[CostPrice]]</f>
        <v>130000</v>
      </c>
      <c r="J3041">
        <v>47664</v>
      </c>
      <c r="K3041">
        <v>335.99999999999994</v>
      </c>
      <c r="L3041" t="s">
        <v>12</v>
      </c>
      <c r="M3041" t="s">
        <v>27</v>
      </c>
      <c r="N3041">
        <f>MONTH(Table1[[#This Row],[SaleDate]])</f>
        <v>12</v>
      </c>
      <c r="O3041" t="str">
        <f>TEXT(Table1[[#This Row],[SaleDate]],"MMM")</f>
        <v>Dec</v>
      </c>
    </row>
    <row r="3042" spans="1:15">
      <c r="A3042" s="1">
        <v>45264</v>
      </c>
      <c r="B3042" t="s">
        <v>25</v>
      </c>
      <c r="C3042" t="s">
        <v>21</v>
      </c>
      <c r="D3042">
        <v>2</v>
      </c>
      <c r="E3042" t="s">
        <v>7</v>
      </c>
      <c r="F3042">
        <v>33000</v>
      </c>
      <c r="G3042">
        <v>18000</v>
      </c>
      <c r="H3042">
        <f>Table1[[#This Row],[Qty]]*Table1[[#This Row],[SellingPrice]]</f>
        <v>66000</v>
      </c>
      <c r="I3042">
        <f>Table1[[#This Row],[Qty]]*Table1[[#This Row],[CostPrice]]</f>
        <v>36000</v>
      </c>
      <c r="J3042">
        <v>29790</v>
      </c>
      <c r="K3042">
        <v>209.99999999999997</v>
      </c>
      <c r="L3042" t="s">
        <v>13</v>
      </c>
      <c r="M3042" t="s">
        <v>27</v>
      </c>
      <c r="N3042">
        <f>MONTH(Table1[[#This Row],[SaleDate]])</f>
        <v>12</v>
      </c>
      <c r="O3042" t="str">
        <f>TEXT(Table1[[#This Row],[SaleDate]],"MMM")</f>
        <v>Dec</v>
      </c>
    </row>
    <row r="3043" spans="1:15">
      <c r="A3043" s="1">
        <v>45264</v>
      </c>
      <c r="B3043" t="s">
        <v>25</v>
      </c>
      <c r="C3043" t="s">
        <v>21</v>
      </c>
      <c r="D3043">
        <v>2</v>
      </c>
      <c r="E3043" t="s">
        <v>9</v>
      </c>
      <c r="F3043">
        <v>60000</v>
      </c>
      <c r="G3043">
        <v>31000</v>
      </c>
      <c r="H3043">
        <f>Table1[[#This Row],[Qty]]*Table1[[#This Row],[SellingPrice]]</f>
        <v>120000</v>
      </c>
      <c r="I3043">
        <f>Table1[[#This Row],[Qty]]*Table1[[#This Row],[CostPrice]]</f>
        <v>62000</v>
      </c>
      <c r="J3043">
        <v>57594</v>
      </c>
      <c r="K3043">
        <v>405.99999999999994</v>
      </c>
      <c r="L3043" t="s">
        <v>13</v>
      </c>
      <c r="M3043" t="s">
        <v>27</v>
      </c>
      <c r="N3043">
        <f>MONTH(Table1[[#This Row],[SaleDate]])</f>
        <v>12</v>
      </c>
      <c r="O3043" t="str">
        <f>TEXT(Table1[[#This Row],[SaleDate]],"MMM")</f>
        <v>Dec</v>
      </c>
    </row>
    <row r="3044" spans="1:15">
      <c r="A3044" s="1">
        <v>45264</v>
      </c>
      <c r="B3044" t="s">
        <v>25</v>
      </c>
      <c r="C3044" t="s">
        <v>21</v>
      </c>
      <c r="D3044">
        <v>2</v>
      </c>
      <c r="E3044" t="s">
        <v>10</v>
      </c>
      <c r="F3044">
        <v>89000</v>
      </c>
      <c r="G3044">
        <v>65000</v>
      </c>
      <c r="H3044">
        <f>Table1[[#This Row],[Qty]]*Table1[[#This Row],[SellingPrice]]</f>
        <v>178000</v>
      </c>
      <c r="I3044">
        <f>Table1[[#This Row],[Qty]]*Table1[[#This Row],[CostPrice]]</f>
        <v>130000</v>
      </c>
      <c r="J3044">
        <v>47664</v>
      </c>
      <c r="K3044">
        <v>335.99999999999994</v>
      </c>
      <c r="L3044" t="s">
        <v>13</v>
      </c>
      <c r="M3044" t="s">
        <v>27</v>
      </c>
      <c r="N3044">
        <f>MONTH(Table1[[#This Row],[SaleDate]])</f>
        <v>12</v>
      </c>
      <c r="O3044" t="str">
        <f>TEXT(Table1[[#This Row],[SaleDate]],"MMM")</f>
        <v>Dec</v>
      </c>
    </row>
    <row r="3045" spans="1:15">
      <c r="A3045" s="1">
        <v>45265</v>
      </c>
      <c r="B3045" t="s">
        <v>23</v>
      </c>
      <c r="C3045" t="s">
        <v>19</v>
      </c>
      <c r="D3045">
        <v>2</v>
      </c>
      <c r="E3045" t="s">
        <v>7</v>
      </c>
      <c r="F3045">
        <v>33000</v>
      </c>
      <c r="G3045">
        <v>18000</v>
      </c>
      <c r="H3045">
        <f>Table1[[#This Row],[Qty]]*Table1[[#This Row],[SellingPrice]]</f>
        <v>66000</v>
      </c>
      <c r="I3045">
        <f>Table1[[#This Row],[Qty]]*Table1[[#This Row],[CostPrice]]</f>
        <v>36000</v>
      </c>
      <c r="J3045">
        <v>29790</v>
      </c>
      <c r="K3045">
        <v>209.99999999999997</v>
      </c>
      <c r="L3045" t="s">
        <v>8</v>
      </c>
      <c r="M3045" t="s">
        <v>30</v>
      </c>
      <c r="N3045">
        <f>MONTH(Table1[[#This Row],[SaleDate]])</f>
        <v>12</v>
      </c>
      <c r="O3045" t="str">
        <f>TEXT(Table1[[#This Row],[SaleDate]],"MMM")</f>
        <v>Dec</v>
      </c>
    </row>
    <row r="3046" spans="1:15">
      <c r="A3046" s="1">
        <v>45265</v>
      </c>
      <c r="B3046" t="s">
        <v>23</v>
      </c>
      <c r="C3046" t="s">
        <v>19</v>
      </c>
      <c r="D3046">
        <v>2</v>
      </c>
      <c r="E3046" t="s">
        <v>9</v>
      </c>
      <c r="F3046">
        <v>60000</v>
      </c>
      <c r="G3046">
        <v>31000</v>
      </c>
      <c r="H3046">
        <f>Table1[[#This Row],[Qty]]*Table1[[#This Row],[SellingPrice]]</f>
        <v>120000</v>
      </c>
      <c r="I3046">
        <f>Table1[[#This Row],[Qty]]*Table1[[#This Row],[CostPrice]]</f>
        <v>62000</v>
      </c>
      <c r="J3046">
        <v>57594</v>
      </c>
      <c r="K3046">
        <v>405.99999999999994</v>
      </c>
      <c r="L3046" t="s">
        <v>8</v>
      </c>
      <c r="M3046" t="s">
        <v>29</v>
      </c>
      <c r="N3046">
        <f>MONTH(Table1[[#This Row],[SaleDate]])</f>
        <v>12</v>
      </c>
      <c r="O3046" t="str">
        <f>TEXT(Table1[[#This Row],[SaleDate]],"MMM")</f>
        <v>Dec</v>
      </c>
    </row>
    <row r="3047" spans="1:15">
      <c r="A3047" s="1">
        <v>45265</v>
      </c>
      <c r="B3047" t="s">
        <v>23</v>
      </c>
      <c r="C3047" t="s">
        <v>19</v>
      </c>
      <c r="D3047">
        <v>2</v>
      </c>
      <c r="E3047" t="s">
        <v>10</v>
      </c>
      <c r="F3047">
        <v>89000</v>
      </c>
      <c r="G3047">
        <v>65000</v>
      </c>
      <c r="H3047">
        <f>Table1[[#This Row],[Qty]]*Table1[[#This Row],[SellingPrice]]</f>
        <v>178000</v>
      </c>
      <c r="I3047">
        <f>Table1[[#This Row],[Qty]]*Table1[[#This Row],[CostPrice]]</f>
        <v>130000</v>
      </c>
      <c r="J3047">
        <v>47664</v>
      </c>
      <c r="K3047">
        <v>335.99999999999994</v>
      </c>
      <c r="L3047" t="s">
        <v>8</v>
      </c>
      <c r="M3047" t="s">
        <v>29</v>
      </c>
      <c r="N3047">
        <f>MONTH(Table1[[#This Row],[SaleDate]])</f>
        <v>12</v>
      </c>
      <c r="O3047" t="str">
        <f>TEXT(Table1[[#This Row],[SaleDate]],"MMM")</f>
        <v>Dec</v>
      </c>
    </row>
    <row r="3048" spans="1:15">
      <c r="A3048" s="1">
        <v>45265</v>
      </c>
      <c r="B3048" t="s">
        <v>26</v>
      </c>
      <c r="C3048" t="s">
        <v>20</v>
      </c>
      <c r="D3048">
        <v>2</v>
      </c>
      <c r="E3048" t="s">
        <v>7</v>
      </c>
      <c r="F3048">
        <v>33000</v>
      </c>
      <c r="G3048">
        <v>18000</v>
      </c>
      <c r="H3048">
        <f>Table1[[#This Row],[Qty]]*Table1[[#This Row],[SellingPrice]]</f>
        <v>66000</v>
      </c>
      <c r="I3048">
        <f>Table1[[#This Row],[Qty]]*Table1[[#This Row],[CostPrice]]</f>
        <v>36000</v>
      </c>
      <c r="J3048">
        <v>29790</v>
      </c>
      <c r="K3048">
        <v>209.99999999999997</v>
      </c>
      <c r="L3048" t="s">
        <v>11</v>
      </c>
      <c r="M3048" t="s">
        <v>29</v>
      </c>
      <c r="N3048">
        <f>MONTH(Table1[[#This Row],[SaleDate]])</f>
        <v>12</v>
      </c>
      <c r="O3048" t="str">
        <f>TEXT(Table1[[#This Row],[SaleDate]],"MMM")</f>
        <v>Dec</v>
      </c>
    </row>
    <row r="3049" spans="1:15">
      <c r="A3049" s="1">
        <v>45265</v>
      </c>
      <c r="B3049" t="s">
        <v>24</v>
      </c>
      <c r="C3049" t="s">
        <v>22</v>
      </c>
      <c r="D3049">
        <v>2</v>
      </c>
      <c r="E3049" t="s">
        <v>9</v>
      </c>
      <c r="F3049">
        <v>60000</v>
      </c>
      <c r="G3049">
        <v>31000</v>
      </c>
      <c r="H3049">
        <f>Table1[[#This Row],[Qty]]*Table1[[#This Row],[SellingPrice]]</f>
        <v>120000</v>
      </c>
      <c r="I3049">
        <f>Table1[[#This Row],[Qty]]*Table1[[#This Row],[CostPrice]]</f>
        <v>62000</v>
      </c>
      <c r="J3049">
        <v>57594</v>
      </c>
      <c r="K3049">
        <v>405.99999999999994</v>
      </c>
      <c r="L3049" t="s">
        <v>12</v>
      </c>
      <c r="M3049" t="s">
        <v>27</v>
      </c>
      <c r="N3049">
        <f>MONTH(Table1[[#This Row],[SaleDate]])</f>
        <v>12</v>
      </c>
      <c r="O3049" t="str">
        <f>TEXT(Table1[[#This Row],[SaleDate]],"MMM")</f>
        <v>Dec</v>
      </c>
    </row>
    <row r="3050" spans="1:15">
      <c r="A3050" s="1">
        <v>45265</v>
      </c>
      <c r="B3050" t="s">
        <v>24</v>
      </c>
      <c r="C3050" t="s">
        <v>22</v>
      </c>
      <c r="D3050">
        <v>2</v>
      </c>
      <c r="E3050" t="s">
        <v>10</v>
      </c>
      <c r="F3050">
        <v>89000</v>
      </c>
      <c r="G3050">
        <v>65000</v>
      </c>
      <c r="H3050">
        <f>Table1[[#This Row],[Qty]]*Table1[[#This Row],[SellingPrice]]</f>
        <v>178000</v>
      </c>
      <c r="I3050">
        <f>Table1[[#This Row],[Qty]]*Table1[[#This Row],[CostPrice]]</f>
        <v>130000</v>
      </c>
      <c r="J3050">
        <v>47664</v>
      </c>
      <c r="K3050">
        <v>335.99999999999994</v>
      </c>
      <c r="L3050" t="s">
        <v>12</v>
      </c>
      <c r="M3050" t="s">
        <v>28</v>
      </c>
      <c r="N3050">
        <f>MONTH(Table1[[#This Row],[SaleDate]])</f>
        <v>12</v>
      </c>
      <c r="O3050" t="str">
        <f>TEXT(Table1[[#This Row],[SaleDate]],"MMM")</f>
        <v>Dec</v>
      </c>
    </row>
    <row r="3051" spans="1:15">
      <c r="A3051" s="1">
        <v>45265</v>
      </c>
      <c r="B3051" t="s">
        <v>25</v>
      </c>
      <c r="C3051" t="s">
        <v>21</v>
      </c>
      <c r="D3051">
        <v>2</v>
      </c>
      <c r="E3051" t="s">
        <v>7</v>
      </c>
      <c r="F3051">
        <v>33000</v>
      </c>
      <c r="G3051">
        <v>18000</v>
      </c>
      <c r="H3051">
        <f>Table1[[#This Row],[Qty]]*Table1[[#This Row],[SellingPrice]]</f>
        <v>66000</v>
      </c>
      <c r="I3051">
        <f>Table1[[#This Row],[Qty]]*Table1[[#This Row],[CostPrice]]</f>
        <v>36000</v>
      </c>
      <c r="J3051">
        <v>29790</v>
      </c>
      <c r="K3051">
        <v>209.99999999999997</v>
      </c>
      <c r="L3051" t="s">
        <v>13</v>
      </c>
      <c r="M3051" t="s">
        <v>28</v>
      </c>
      <c r="N3051">
        <f>MONTH(Table1[[#This Row],[SaleDate]])</f>
        <v>12</v>
      </c>
      <c r="O3051" t="str">
        <f>TEXT(Table1[[#This Row],[SaleDate]],"MMM")</f>
        <v>Dec</v>
      </c>
    </row>
    <row r="3052" spans="1:15">
      <c r="A3052" s="1">
        <v>45265</v>
      </c>
      <c r="B3052" t="s">
        <v>25</v>
      </c>
      <c r="C3052" t="s">
        <v>21</v>
      </c>
      <c r="D3052">
        <v>2</v>
      </c>
      <c r="E3052" t="s">
        <v>9</v>
      </c>
      <c r="F3052">
        <v>60000</v>
      </c>
      <c r="G3052">
        <v>31000</v>
      </c>
      <c r="H3052">
        <f>Table1[[#This Row],[Qty]]*Table1[[#This Row],[SellingPrice]]</f>
        <v>120000</v>
      </c>
      <c r="I3052">
        <f>Table1[[#This Row],[Qty]]*Table1[[#This Row],[CostPrice]]</f>
        <v>62000</v>
      </c>
      <c r="J3052">
        <v>57594</v>
      </c>
      <c r="K3052">
        <v>405.99999999999994</v>
      </c>
      <c r="L3052" t="s">
        <v>13</v>
      </c>
      <c r="M3052" t="s">
        <v>29</v>
      </c>
      <c r="N3052">
        <f>MONTH(Table1[[#This Row],[SaleDate]])</f>
        <v>12</v>
      </c>
      <c r="O3052" t="str">
        <f>TEXT(Table1[[#This Row],[SaleDate]],"MMM")</f>
        <v>Dec</v>
      </c>
    </row>
    <row r="3053" spans="1:15">
      <c r="A3053" s="1">
        <v>45265</v>
      </c>
      <c r="B3053" t="s">
        <v>25</v>
      </c>
      <c r="C3053" t="s">
        <v>21</v>
      </c>
      <c r="D3053">
        <v>2</v>
      </c>
      <c r="E3053" t="s">
        <v>10</v>
      </c>
      <c r="F3053">
        <v>89000</v>
      </c>
      <c r="G3053">
        <v>65000</v>
      </c>
      <c r="H3053">
        <f>Table1[[#This Row],[Qty]]*Table1[[#This Row],[SellingPrice]]</f>
        <v>178000</v>
      </c>
      <c r="I3053">
        <f>Table1[[#This Row],[Qty]]*Table1[[#This Row],[CostPrice]]</f>
        <v>130000</v>
      </c>
      <c r="J3053">
        <v>47664</v>
      </c>
      <c r="K3053">
        <v>335.99999999999994</v>
      </c>
      <c r="L3053" t="s">
        <v>13</v>
      </c>
      <c r="M3053" t="s">
        <v>29</v>
      </c>
      <c r="N3053">
        <f>MONTH(Table1[[#This Row],[SaleDate]])</f>
        <v>12</v>
      </c>
      <c r="O3053" t="str">
        <f>TEXT(Table1[[#This Row],[SaleDate]],"MMM")</f>
        <v>Dec</v>
      </c>
    </row>
    <row r="3054" spans="1:15">
      <c r="A3054" s="1">
        <v>45266</v>
      </c>
      <c r="B3054" t="s">
        <v>23</v>
      </c>
      <c r="C3054" t="s">
        <v>19</v>
      </c>
      <c r="D3054">
        <v>1</v>
      </c>
      <c r="E3054" t="s">
        <v>7</v>
      </c>
      <c r="F3054">
        <v>33000</v>
      </c>
      <c r="G3054">
        <v>18000</v>
      </c>
      <c r="H3054">
        <f>Table1[[#This Row],[Qty]]*Table1[[#This Row],[SellingPrice]]</f>
        <v>33000</v>
      </c>
      <c r="I3054">
        <f>Table1[[#This Row],[Qty]]*Table1[[#This Row],[CostPrice]]</f>
        <v>18000</v>
      </c>
      <c r="J3054">
        <v>14895</v>
      </c>
      <c r="K3054">
        <v>104.99999999999999</v>
      </c>
      <c r="L3054" t="s">
        <v>8</v>
      </c>
      <c r="M3054" t="s">
        <v>30</v>
      </c>
      <c r="N3054">
        <f>MONTH(Table1[[#This Row],[SaleDate]])</f>
        <v>12</v>
      </c>
      <c r="O3054" t="str">
        <f>TEXT(Table1[[#This Row],[SaleDate]],"MMM")</f>
        <v>Dec</v>
      </c>
    </row>
    <row r="3055" spans="1:15">
      <c r="A3055" s="1">
        <v>45266</v>
      </c>
      <c r="B3055" t="s">
        <v>23</v>
      </c>
      <c r="C3055" t="s">
        <v>19</v>
      </c>
      <c r="D3055">
        <v>1</v>
      </c>
      <c r="E3055" t="s">
        <v>9</v>
      </c>
      <c r="F3055">
        <v>60000</v>
      </c>
      <c r="G3055">
        <v>31000</v>
      </c>
      <c r="H3055">
        <f>Table1[[#This Row],[Qty]]*Table1[[#This Row],[SellingPrice]]</f>
        <v>60000</v>
      </c>
      <c r="I3055">
        <f>Table1[[#This Row],[Qty]]*Table1[[#This Row],[CostPrice]]</f>
        <v>31000</v>
      </c>
      <c r="J3055">
        <v>28797</v>
      </c>
      <c r="K3055">
        <v>202.99999999999997</v>
      </c>
      <c r="L3055" t="s">
        <v>8</v>
      </c>
      <c r="M3055" t="s">
        <v>29</v>
      </c>
      <c r="N3055">
        <f>MONTH(Table1[[#This Row],[SaleDate]])</f>
        <v>12</v>
      </c>
      <c r="O3055" t="str">
        <f>TEXT(Table1[[#This Row],[SaleDate]],"MMM")</f>
        <v>Dec</v>
      </c>
    </row>
    <row r="3056" spans="1:15">
      <c r="A3056" s="1">
        <v>45266</v>
      </c>
      <c r="B3056" t="s">
        <v>23</v>
      </c>
      <c r="C3056" t="s">
        <v>19</v>
      </c>
      <c r="D3056">
        <v>1</v>
      </c>
      <c r="E3056" t="s">
        <v>10</v>
      </c>
      <c r="F3056">
        <v>89000</v>
      </c>
      <c r="G3056">
        <v>65000</v>
      </c>
      <c r="H3056">
        <f>Table1[[#This Row],[Qty]]*Table1[[#This Row],[SellingPrice]]</f>
        <v>89000</v>
      </c>
      <c r="I3056">
        <f>Table1[[#This Row],[Qty]]*Table1[[#This Row],[CostPrice]]</f>
        <v>65000</v>
      </c>
      <c r="J3056">
        <v>23832</v>
      </c>
      <c r="K3056">
        <v>167.99999999999997</v>
      </c>
      <c r="L3056" t="s">
        <v>8</v>
      </c>
      <c r="M3056" t="s">
        <v>30</v>
      </c>
      <c r="N3056">
        <f>MONTH(Table1[[#This Row],[SaleDate]])</f>
        <v>12</v>
      </c>
      <c r="O3056" t="str">
        <f>TEXT(Table1[[#This Row],[SaleDate]],"MMM")</f>
        <v>Dec</v>
      </c>
    </row>
    <row r="3057" spans="1:15">
      <c r="A3057" s="1">
        <v>45266</v>
      </c>
      <c r="B3057" t="s">
        <v>24</v>
      </c>
      <c r="C3057" t="s">
        <v>22</v>
      </c>
      <c r="D3057">
        <v>1</v>
      </c>
      <c r="E3057" t="s">
        <v>9</v>
      </c>
      <c r="F3057">
        <v>60000</v>
      </c>
      <c r="G3057">
        <v>31000</v>
      </c>
      <c r="H3057">
        <f>Table1[[#This Row],[Qty]]*Table1[[#This Row],[SellingPrice]]</f>
        <v>60000</v>
      </c>
      <c r="I3057">
        <f>Table1[[#This Row],[Qty]]*Table1[[#This Row],[CostPrice]]</f>
        <v>31000</v>
      </c>
      <c r="J3057">
        <v>28797</v>
      </c>
      <c r="K3057">
        <v>202.99999999999997</v>
      </c>
      <c r="L3057" t="s">
        <v>12</v>
      </c>
      <c r="M3057" t="s">
        <v>29</v>
      </c>
      <c r="N3057">
        <f>MONTH(Table1[[#This Row],[SaleDate]])</f>
        <v>12</v>
      </c>
      <c r="O3057" t="str">
        <f>TEXT(Table1[[#This Row],[SaleDate]],"MMM")</f>
        <v>Dec</v>
      </c>
    </row>
    <row r="3058" spans="1:15">
      <c r="A3058" s="1">
        <v>45266</v>
      </c>
      <c r="B3058" t="s">
        <v>24</v>
      </c>
      <c r="C3058" t="s">
        <v>22</v>
      </c>
      <c r="D3058">
        <v>1</v>
      </c>
      <c r="E3058" t="s">
        <v>10</v>
      </c>
      <c r="F3058">
        <v>89000</v>
      </c>
      <c r="G3058">
        <v>65000</v>
      </c>
      <c r="H3058">
        <f>Table1[[#This Row],[Qty]]*Table1[[#This Row],[SellingPrice]]</f>
        <v>89000</v>
      </c>
      <c r="I3058">
        <f>Table1[[#This Row],[Qty]]*Table1[[#This Row],[CostPrice]]</f>
        <v>65000</v>
      </c>
      <c r="J3058">
        <v>23832</v>
      </c>
      <c r="K3058">
        <v>167.99999999999997</v>
      </c>
      <c r="L3058" t="s">
        <v>12</v>
      </c>
      <c r="M3058" t="s">
        <v>30</v>
      </c>
      <c r="N3058">
        <f>MONTH(Table1[[#This Row],[SaleDate]])</f>
        <v>12</v>
      </c>
      <c r="O3058" t="str">
        <f>TEXT(Table1[[#This Row],[SaleDate]],"MMM")</f>
        <v>Dec</v>
      </c>
    </row>
    <row r="3059" spans="1:15">
      <c r="A3059" s="1">
        <v>45266</v>
      </c>
      <c r="B3059" t="s">
        <v>25</v>
      </c>
      <c r="C3059" t="s">
        <v>21</v>
      </c>
      <c r="D3059">
        <v>1</v>
      </c>
      <c r="E3059" t="s">
        <v>7</v>
      </c>
      <c r="F3059">
        <v>33000</v>
      </c>
      <c r="G3059">
        <v>18000</v>
      </c>
      <c r="H3059">
        <f>Table1[[#This Row],[Qty]]*Table1[[#This Row],[SellingPrice]]</f>
        <v>33000</v>
      </c>
      <c r="I3059">
        <f>Table1[[#This Row],[Qty]]*Table1[[#This Row],[CostPrice]]</f>
        <v>18000</v>
      </c>
      <c r="J3059">
        <v>14895</v>
      </c>
      <c r="K3059">
        <v>104.99999999999999</v>
      </c>
      <c r="L3059" t="s">
        <v>13</v>
      </c>
      <c r="M3059" t="s">
        <v>27</v>
      </c>
      <c r="N3059">
        <f>MONTH(Table1[[#This Row],[SaleDate]])</f>
        <v>12</v>
      </c>
      <c r="O3059" t="str">
        <f>TEXT(Table1[[#This Row],[SaleDate]],"MMM")</f>
        <v>Dec</v>
      </c>
    </row>
    <row r="3060" spans="1:15">
      <c r="A3060" s="1">
        <v>45266</v>
      </c>
      <c r="B3060" t="s">
        <v>25</v>
      </c>
      <c r="C3060" t="s">
        <v>21</v>
      </c>
      <c r="D3060">
        <v>1</v>
      </c>
      <c r="E3060" t="s">
        <v>9</v>
      </c>
      <c r="F3060">
        <v>60000</v>
      </c>
      <c r="G3060">
        <v>31000</v>
      </c>
      <c r="H3060">
        <f>Table1[[#This Row],[Qty]]*Table1[[#This Row],[SellingPrice]]</f>
        <v>60000</v>
      </c>
      <c r="I3060">
        <f>Table1[[#This Row],[Qty]]*Table1[[#This Row],[CostPrice]]</f>
        <v>31000</v>
      </c>
      <c r="J3060">
        <v>28797</v>
      </c>
      <c r="K3060">
        <v>202.99999999999997</v>
      </c>
      <c r="L3060" t="s">
        <v>13</v>
      </c>
      <c r="M3060" t="s">
        <v>30</v>
      </c>
      <c r="N3060">
        <f>MONTH(Table1[[#This Row],[SaleDate]])</f>
        <v>12</v>
      </c>
      <c r="O3060" t="str">
        <f>TEXT(Table1[[#This Row],[SaleDate]],"MMM")</f>
        <v>Dec</v>
      </c>
    </row>
    <row r="3061" spans="1:15">
      <c r="A3061" s="1">
        <v>45266</v>
      </c>
      <c r="B3061" t="s">
        <v>25</v>
      </c>
      <c r="C3061" t="s">
        <v>21</v>
      </c>
      <c r="D3061">
        <v>1</v>
      </c>
      <c r="E3061" t="s">
        <v>10</v>
      </c>
      <c r="F3061">
        <v>89000</v>
      </c>
      <c r="G3061">
        <v>65000</v>
      </c>
      <c r="H3061">
        <f>Table1[[#This Row],[Qty]]*Table1[[#This Row],[SellingPrice]]</f>
        <v>89000</v>
      </c>
      <c r="I3061">
        <f>Table1[[#This Row],[Qty]]*Table1[[#This Row],[CostPrice]]</f>
        <v>65000</v>
      </c>
      <c r="J3061">
        <v>23832</v>
      </c>
      <c r="K3061">
        <v>167.99999999999997</v>
      </c>
      <c r="L3061" t="s">
        <v>13</v>
      </c>
      <c r="M3061" t="s">
        <v>29</v>
      </c>
      <c r="N3061">
        <f>MONTH(Table1[[#This Row],[SaleDate]])</f>
        <v>12</v>
      </c>
      <c r="O3061" t="str">
        <f>TEXT(Table1[[#This Row],[SaleDate]],"MMM")</f>
        <v>Dec</v>
      </c>
    </row>
    <row r="3062" spans="1:15">
      <c r="A3062" s="1">
        <v>45267</v>
      </c>
      <c r="B3062" t="s">
        <v>23</v>
      </c>
      <c r="C3062" t="s">
        <v>19</v>
      </c>
      <c r="D3062">
        <v>1</v>
      </c>
      <c r="E3062" t="s">
        <v>7</v>
      </c>
      <c r="F3062">
        <v>33000</v>
      </c>
      <c r="G3062">
        <v>18000</v>
      </c>
      <c r="H3062">
        <f>Table1[[#This Row],[Qty]]*Table1[[#This Row],[SellingPrice]]</f>
        <v>33000</v>
      </c>
      <c r="I3062">
        <f>Table1[[#This Row],[Qty]]*Table1[[#This Row],[CostPrice]]</f>
        <v>18000</v>
      </c>
      <c r="J3062">
        <v>14895</v>
      </c>
      <c r="K3062">
        <v>104.99999999999999</v>
      </c>
      <c r="L3062" t="s">
        <v>8</v>
      </c>
      <c r="M3062" t="s">
        <v>30</v>
      </c>
      <c r="N3062">
        <f>MONTH(Table1[[#This Row],[SaleDate]])</f>
        <v>12</v>
      </c>
      <c r="O3062" t="str">
        <f>TEXT(Table1[[#This Row],[SaleDate]],"MMM")</f>
        <v>Dec</v>
      </c>
    </row>
    <row r="3063" spans="1:15">
      <c r="A3063" s="1">
        <v>45267</v>
      </c>
      <c r="B3063" t="s">
        <v>23</v>
      </c>
      <c r="C3063" t="s">
        <v>19</v>
      </c>
      <c r="D3063">
        <v>1</v>
      </c>
      <c r="E3063" t="s">
        <v>9</v>
      </c>
      <c r="F3063">
        <v>60000</v>
      </c>
      <c r="G3063">
        <v>31000</v>
      </c>
      <c r="H3063">
        <f>Table1[[#This Row],[Qty]]*Table1[[#This Row],[SellingPrice]]</f>
        <v>60000</v>
      </c>
      <c r="I3063">
        <f>Table1[[#This Row],[Qty]]*Table1[[#This Row],[CostPrice]]</f>
        <v>31000</v>
      </c>
      <c r="J3063">
        <v>28797</v>
      </c>
      <c r="K3063">
        <v>202.99999999999997</v>
      </c>
      <c r="L3063" t="s">
        <v>8</v>
      </c>
      <c r="M3063" t="s">
        <v>30</v>
      </c>
      <c r="N3063">
        <f>MONTH(Table1[[#This Row],[SaleDate]])</f>
        <v>12</v>
      </c>
      <c r="O3063" t="str">
        <f>TEXT(Table1[[#This Row],[SaleDate]],"MMM")</f>
        <v>Dec</v>
      </c>
    </row>
    <row r="3064" spans="1:15">
      <c r="A3064" s="1">
        <v>45267</v>
      </c>
      <c r="B3064" t="s">
        <v>23</v>
      </c>
      <c r="C3064" t="s">
        <v>19</v>
      </c>
      <c r="D3064">
        <v>1</v>
      </c>
      <c r="E3064" t="s">
        <v>10</v>
      </c>
      <c r="F3064">
        <v>89000</v>
      </c>
      <c r="G3064">
        <v>65000</v>
      </c>
      <c r="H3064">
        <f>Table1[[#This Row],[Qty]]*Table1[[#This Row],[SellingPrice]]</f>
        <v>89000</v>
      </c>
      <c r="I3064">
        <f>Table1[[#This Row],[Qty]]*Table1[[#This Row],[CostPrice]]</f>
        <v>65000</v>
      </c>
      <c r="J3064">
        <v>23832</v>
      </c>
      <c r="K3064">
        <v>167.99999999999997</v>
      </c>
      <c r="L3064" t="s">
        <v>8</v>
      </c>
      <c r="M3064" t="s">
        <v>27</v>
      </c>
      <c r="N3064">
        <f>MONTH(Table1[[#This Row],[SaleDate]])</f>
        <v>12</v>
      </c>
      <c r="O3064" t="str">
        <f>TEXT(Table1[[#This Row],[SaleDate]],"MMM")</f>
        <v>Dec</v>
      </c>
    </row>
    <row r="3065" spans="1:15">
      <c r="A3065" s="1">
        <v>45267</v>
      </c>
      <c r="B3065" t="s">
        <v>24</v>
      </c>
      <c r="C3065" t="s">
        <v>22</v>
      </c>
      <c r="D3065">
        <v>1</v>
      </c>
      <c r="E3065" t="s">
        <v>9</v>
      </c>
      <c r="F3065">
        <v>60000</v>
      </c>
      <c r="G3065">
        <v>31000</v>
      </c>
      <c r="H3065">
        <f>Table1[[#This Row],[Qty]]*Table1[[#This Row],[SellingPrice]]</f>
        <v>60000</v>
      </c>
      <c r="I3065">
        <f>Table1[[#This Row],[Qty]]*Table1[[#This Row],[CostPrice]]</f>
        <v>31000</v>
      </c>
      <c r="J3065">
        <v>28797</v>
      </c>
      <c r="K3065">
        <v>202.99999999999997</v>
      </c>
      <c r="L3065" t="s">
        <v>12</v>
      </c>
      <c r="M3065" t="s">
        <v>27</v>
      </c>
      <c r="N3065">
        <f>MONTH(Table1[[#This Row],[SaleDate]])</f>
        <v>12</v>
      </c>
      <c r="O3065" t="str">
        <f>TEXT(Table1[[#This Row],[SaleDate]],"MMM")</f>
        <v>Dec</v>
      </c>
    </row>
    <row r="3066" spans="1:15">
      <c r="A3066" s="1">
        <v>45267</v>
      </c>
      <c r="B3066" t="s">
        <v>24</v>
      </c>
      <c r="C3066" t="s">
        <v>22</v>
      </c>
      <c r="D3066">
        <v>1</v>
      </c>
      <c r="E3066" t="s">
        <v>10</v>
      </c>
      <c r="F3066">
        <v>89000</v>
      </c>
      <c r="G3066">
        <v>65000</v>
      </c>
      <c r="H3066">
        <f>Table1[[#This Row],[Qty]]*Table1[[#This Row],[SellingPrice]]</f>
        <v>89000</v>
      </c>
      <c r="I3066">
        <f>Table1[[#This Row],[Qty]]*Table1[[#This Row],[CostPrice]]</f>
        <v>65000</v>
      </c>
      <c r="J3066">
        <v>23832</v>
      </c>
      <c r="K3066">
        <v>167.99999999999997</v>
      </c>
      <c r="L3066" t="s">
        <v>12</v>
      </c>
      <c r="M3066" t="s">
        <v>27</v>
      </c>
      <c r="N3066">
        <f>MONTH(Table1[[#This Row],[SaleDate]])</f>
        <v>12</v>
      </c>
      <c r="O3066" t="str">
        <f>TEXT(Table1[[#This Row],[SaleDate]],"MMM")</f>
        <v>Dec</v>
      </c>
    </row>
    <row r="3067" spans="1:15">
      <c r="A3067" s="1">
        <v>45267</v>
      </c>
      <c r="B3067" t="s">
        <v>25</v>
      </c>
      <c r="C3067" t="s">
        <v>21</v>
      </c>
      <c r="D3067">
        <v>1</v>
      </c>
      <c r="E3067" t="s">
        <v>7</v>
      </c>
      <c r="F3067">
        <v>33000</v>
      </c>
      <c r="G3067">
        <v>18000</v>
      </c>
      <c r="H3067">
        <f>Table1[[#This Row],[Qty]]*Table1[[#This Row],[SellingPrice]]</f>
        <v>33000</v>
      </c>
      <c r="I3067">
        <f>Table1[[#This Row],[Qty]]*Table1[[#This Row],[CostPrice]]</f>
        <v>18000</v>
      </c>
      <c r="J3067">
        <v>14895</v>
      </c>
      <c r="K3067">
        <v>104.99999999999999</v>
      </c>
      <c r="L3067" t="s">
        <v>13</v>
      </c>
      <c r="M3067" t="s">
        <v>30</v>
      </c>
      <c r="N3067">
        <f>MONTH(Table1[[#This Row],[SaleDate]])</f>
        <v>12</v>
      </c>
      <c r="O3067" t="str">
        <f>TEXT(Table1[[#This Row],[SaleDate]],"MMM")</f>
        <v>Dec</v>
      </c>
    </row>
    <row r="3068" spans="1:15">
      <c r="A3068" s="1">
        <v>45267</v>
      </c>
      <c r="B3068" t="s">
        <v>25</v>
      </c>
      <c r="C3068" t="s">
        <v>21</v>
      </c>
      <c r="D3068">
        <v>1</v>
      </c>
      <c r="E3068" t="s">
        <v>9</v>
      </c>
      <c r="F3068">
        <v>60000</v>
      </c>
      <c r="G3068">
        <v>31000</v>
      </c>
      <c r="H3068">
        <f>Table1[[#This Row],[Qty]]*Table1[[#This Row],[SellingPrice]]</f>
        <v>60000</v>
      </c>
      <c r="I3068">
        <f>Table1[[#This Row],[Qty]]*Table1[[#This Row],[CostPrice]]</f>
        <v>31000</v>
      </c>
      <c r="J3068">
        <v>28797</v>
      </c>
      <c r="K3068">
        <v>202.99999999999997</v>
      </c>
      <c r="L3068" t="s">
        <v>13</v>
      </c>
      <c r="M3068" t="s">
        <v>30</v>
      </c>
      <c r="N3068">
        <f>MONTH(Table1[[#This Row],[SaleDate]])</f>
        <v>12</v>
      </c>
      <c r="O3068" t="str">
        <f>TEXT(Table1[[#This Row],[SaleDate]],"MMM")</f>
        <v>Dec</v>
      </c>
    </row>
    <row r="3069" spans="1:15">
      <c r="A3069" s="1">
        <v>45267</v>
      </c>
      <c r="B3069" t="s">
        <v>25</v>
      </c>
      <c r="C3069" t="s">
        <v>21</v>
      </c>
      <c r="D3069">
        <v>1</v>
      </c>
      <c r="E3069" t="s">
        <v>10</v>
      </c>
      <c r="F3069">
        <v>89000</v>
      </c>
      <c r="G3069">
        <v>65000</v>
      </c>
      <c r="H3069">
        <f>Table1[[#This Row],[Qty]]*Table1[[#This Row],[SellingPrice]]</f>
        <v>89000</v>
      </c>
      <c r="I3069">
        <f>Table1[[#This Row],[Qty]]*Table1[[#This Row],[CostPrice]]</f>
        <v>65000</v>
      </c>
      <c r="J3069">
        <v>23832</v>
      </c>
      <c r="K3069">
        <v>167.99999999999997</v>
      </c>
      <c r="L3069" t="s">
        <v>13</v>
      </c>
      <c r="M3069" t="s">
        <v>30</v>
      </c>
      <c r="N3069">
        <f>MONTH(Table1[[#This Row],[SaleDate]])</f>
        <v>12</v>
      </c>
      <c r="O3069" t="str">
        <f>TEXT(Table1[[#This Row],[SaleDate]],"MMM")</f>
        <v>Dec</v>
      </c>
    </row>
    <row r="3070" spans="1:15">
      <c r="A3070" s="1">
        <v>45268</v>
      </c>
      <c r="B3070" t="s">
        <v>23</v>
      </c>
      <c r="C3070" t="s">
        <v>19</v>
      </c>
      <c r="D3070">
        <v>1</v>
      </c>
      <c r="E3070" t="s">
        <v>7</v>
      </c>
      <c r="F3070">
        <v>33000</v>
      </c>
      <c r="G3070">
        <v>18000</v>
      </c>
      <c r="H3070">
        <f>Table1[[#This Row],[Qty]]*Table1[[#This Row],[SellingPrice]]</f>
        <v>33000</v>
      </c>
      <c r="I3070">
        <f>Table1[[#This Row],[Qty]]*Table1[[#This Row],[CostPrice]]</f>
        <v>18000</v>
      </c>
      <c r="J3070">
        <v>14895</v>
      </c>
      <c r="K3070">
        <v>104.99999999999999</v>
      </c>
      <c r="L3070" t="s">
        <v>8</v>
      </c>
      <c r="M3070" t="s">
        <v>30</v>
      </c>
      <c r="N3070">
        <f>MONTH(Table1[[#This Row],[SaleDate]])</f>
        <v>12</v>
      </c>
      <c r="O3070" t="str">
        <f>TEXT(Table1[[#This Row],[SaleDate]],"MMM")</f>
        <v>Dec</v>
      </c>
    </row>
    <row r="3071" spans="1:15">
      <c r="A3071" s="1">
        <v>45268</v>
      </c>
      <c r="B3071" t="s">
        <v>23</v>
      </c>
      <c r="C3071" t="s">
        <v>19</v>
      </c>
      <c r="D3071">
        <v>1</v>
      </c>
      <c r="E3071" t="s">
        <v>9</v>
      </c>
      <c r="F3071">
        <v>60000</v>
      </c>
      <c r="G3071">
        <v>31000</v>
      </c>
      <c r="H3071">
        <f>Table1[[#This Row],[Qty]]*Table1[[#This Row],[SellingPrice]]</f>
        <v>60000</v>
      </c>
      <c r="I3071">
        <f>Table1[[#This Row],[Qty]]*Table1[[#This Row],[CostPrice]]</f>
        <v>31000</v>
      </c>
      <c r="J3071">
        <v>28797</v>
      </c>
      <c r="K3071">
        <v>202.99999999999997</v>
      </c>
      <c r="L3071" t="s">
        <v>8</v>
      </c>
      <c r="M3071" t="s">
        <v>30</v>
      </c>
      <c r="N3071">
        <f>MONTH(Table1[[#This Row],[SaleDate]])</f>
        <v>12</v>
      </c>
      <c r="O3071" t="str">
        <f>TEXT(Table1[[#This Row],[SaleDate]],"MMM")</f>
        <v>Dec</v>
      </c>
    </row>
    <row r="3072" spans="1:15">
      <c r="A3072" s="1">
        <v>45268</v>
      </c>
      <c r="B3072" t="s">
        <v>23</v>
      </c>
      <c r="C3072" t="s">
        <v>19</v>
      </c>
      <c r="D3072">
        <v>1</v>
      </c>
      <c r="E3072" t="s">
        <v>10</v>
      </c>
      <c r="F3072">
        <v>89000</v>
      </c>
      <c r="G3072">
        <v>65000</v>
      </c>
      <c r="H3072">
        <f>Table1[[#This Row],[Qty]]*Table1[[#This Row],[SellingPrice]]</f>
        <v>89000</v>
      </c>
      <c r="I3072">
        <f>Table1[[#This Row],[Qty]]*Table1[[#This Row],[CostPrice]]</f>
        <v>65000</v>
      </c>
      <c r="J3072">
        <v>23832</v>
      </c>
      <c r="K3072">
        <v>167.99999999999997</v>
      </c>
      <c r="L3072" t="s">
        <v>8</v>
      </c>
      <c r="M3072" t="s">
        <v>27</v>
      </c>
      <c r="N3072">
        <f>MONTH(Table1[[#This Row],[SaleDate]])</f>
        <v>12</v>
      </c>
      <c r="O3072" t="str">
        <f>TEXT(Table1[[#This Row],[SaleDate]],"MMM")</f>
        <v>Dec</v>
      </c>
    </row>
    <row r="3073" spans="1:15">
      <c r="A3073" s="1">
        <v>45268</v>
      </c>
      <c r="B3073" t="s">
        <v>24</v>
      </c>
      <c r="C3073" t="s">
        <v>22</v>
      </c>
      <c r="D3073">
        <v>1</v>
      </c>
      <c r="E3073" t="s">
        <v>7</v>
      </c>
      <c r="F3073">
        <v>33000</v>
      </c>
      <c r="G3073">
        <v>18000</v>
      </c>
      <c r="H3073">
        <f>Table1[[#This Row],[Qty]]*Table1[[#This Row],[SellingPrice]]</f>
        <v>33000</v>
      </c>
      <c r="I3073">
        <f>Table1[[#This Row],[Qty]]*Table1[[#This Row],[CostPrice]]</f>
        <v>18000</v>
      </c>
      <c r="J3073">
        <v>14895</v>
      </c>
      <c r="K3073">
        <v>104.99999999999999</v>
      </c>
      <c r="L3073" t="s">
        <v>12</v>
      </c>
      <c r="M3073" t="s">
        <v>30</v>
      </c>
      <c r="N3073">
        <f>MONTH(Table1[[#This Row],[SaleDate]])</f>
        <v>12</v>
      </c>
      <c r="O3073" t="str">
        <f>TEXT(Table1[[#This Row],[SaleDate]],"MMM")</f>
        <v>Dec</v>
      </c>
    </row>
    <row r="3074" spans="1:15">
      <c r="A3074" s="1">
        <v>45268</v>
      </c>
      <c r="B3074" t="s">
        <v>24</v>
      </c>
      <c r="C3074" t="s">
        <v>22</v>
      </c>
      <c r="D3074">
        <v>1</v>
      </c>
      <c r="E3074" t="s">
        <v>9</v>
      </c>
      <c r="F3074">
        <v>60000</v>
      </c>
      <c r="G3074">
        <v>31000</v>
      </c>
      <c r="H3074">
        <f>Table1[[#This Row],[Qty]]*Table1[[#This Row],[SellingPrice]]</f>
        <v>60000</v>
      </c>
      <c r="I3074">
        <f>Table1[[#This Row],[Qty]]*Table1[[#This Row],[CostPrice]]</f>
        <v>31000</v>
      </c>
      <c r="J3074">
        <v>28797</v>
      </c>
      <c r="K3074">
        <v>202.99999999999997</v>
      </c>
      <c r="L3074" t="s">
        <v>12</v>
      </c>
      <c r="M3074" t="s">
        <v>27</v>
      </c>
      <c r="N3074">
        <f>MONTH(Table1[[#This Row],[SaleDate]])</f>
        <v>12</v>
      </c>
      <c r="O3074" t="str">
        <f>TEXT(Table1[[#This Row],[SaleDate]],"MMM")</f>
        <v>Dec</v>
      </c>
    </row>
    <row r="3075" spans="1:15">
      <c r="A3075" s="1">
        <v>45268</v>
      </c>
      <c r="B3075" t="s">
        <v>24</v>
      </c>
      <c r="C3075" t="s">
        <v>22</v>
      </c>
      <c r="D3075">
        <v>1</v>
      </c>
      <c r="E3075" t="s">
        <v>10</v>
      </c>
      <c r="F3075">
        <v>89000</v>
      </c>
      <c r="G3075">
        <v>65000</v>
      </c>
      <c r="H3075">
        <f>Table1[[#This Row],[Qty]]*Table1[[#This Row],[SellingPrice]]</f>
        <v>89000</v>
      </c>
      <c r="I3075">
        <f>Table1[[#This Row],[Qty]]*Table1[[#This Row],[CostPrice]]</f>
        <v>65000</v>
      </c>
      <c r="J3075">
        <v>23832</v>
      </c>
      <c r="K3075">
        <v>167.99999999999997</v>
      </c>
      <c r="L3075" t="s">
        <v>12</v>
      </c>
      <c r="M3075" t="s">
        <v>30</v>
      </c>
      <c r="N3075">
        <f>MONTH(Table1[[#This Row],[SaleDate]])</f>
        <v>12</v>
      </c>
      <c r="O3075" t="str">
        <f>TEXT(Table1[[#This Row],[SaleDate]],"MMM")</f>
        <v>Dec</v>
      </c>
    </row>
    <row r="3076" spans="1:15">
      <c r="A3076" s="1">
        <v>45268</v>
      </c>
      <c r="B3076" t="s">
        <v>25</v>
      </c>
      <c r="C3076" t="s">
        <v>21</v>
      </c>
      <c r="D3076">
        <v>1</v>
      </c>
      <c r="E3076" t="s">
        <v>7</v>
      </c>
      <c r="F3076">
        <v>33000</v>
      </c>
      <c r="G3076">
        <v>18000</v>
      </c>
      <c r="H3076">
        <f>Table1[[#This Row],[Qty]]*Table1[[#This Row],[SellingPrice]]</f>
        <v>33000</v>
      </c>
      <c r="I3076">
        <f>Table1[[#This Row],[Qty]]*Table1[[#This Row],[CostPrice]]</f>
        <v>18000</v>
      </c>
      <c r="J3076">
        <v>14895</v>
      </c>
      <c r="K3076">
        <v>104.99999999999999</v>
      </c>
      <c r="L3076" t="s">
        <v>13</v>
      </c>
      <c r="M3076" t="s">
        <v>30</v>
      </c>
      <c r="N3076">
        <f>MONTH(Table1[[#This Row],[SaleDate]])</f>
        <v>12</v>
      </c>
      <c r="O3076" t="str">
        <f>TEXT(Table1[[#This Row],[SaleDate]],"MMM")</f>
        <v>Dec</v>
      </c>
    </row>
    <row r="3077" spans="1:15">
      <c r="A3077" s="1">
        <v>45268</v>
      </c>
      <c r="B3077" t="s">
        <v>25</v>
      </c>
      <c r="C3077" t="s">
        <v>21</v>
      </c>
      <c r="D3077">
        <v>1</v>
      </c>
      <c r="E3077" t="s">
        <v>9</v>
      </c>
      <c r="F3077">
        <v>60000</v>
      </c>
      <c r="G3077">
        <v>31000</v>
      </c>
      <c r="H3077">
        <f>Table1[[#This Row],[Qty]]*Table1[[#This Row],[SellingPrice]]</f>
        <v>60000</v>
      </c>
      <c r="I3077">
        <f>Table1[[#This Row],[Qty]]*Table1[[#This Row],[CostPrice]]</f>
        <v>31000</v>
      </c>
      <c r="J3077">
        <v>28797</v>
      </c>
      <c r="K3077">
        <v>202.99999999999997</v>
      </c>
      <c r="L3077" t="s">
        <v>13</v>
      </c>
      <c r="M3077" t="s">
        <v>27</v>
      </c>
      <c r="N3077">
        <f>MONTH(Table1[[#This Row],[SaleDate]])</f>
        <v>12</v>
      </c>
      <c r="O3077" t="str">
        <f>TEXT(Table1[[#This Row],[SaleDate]],"MMM")</f>
        <v>Dec</v>
      </c>
    </row>
    <row r="3078" spans="1:15">
      <c r="A3078" s="1">
        <v>45268</v>
      </c>
      <c r="B3078" t="s">
        <v>25</v>
      </c>
      <c r="C3078" t="s">
        <v>21</v>
      </c>
      <c r="D3078">
        <v>1</v>
      </c>
      <c r="E3078" t="s">
        <v>10</v>
      </c>
      <c r="F3078">
        <v>89000</v>
      </c>
      <c r="G3078">
        <v>65000</v>
      </c>
      <c r="H3078">
        <f>Table1[[#This Row],[Qty]]*Table1[[#This Row],[SellingPrice]]</f>
        <v>89000</v>
      </c>
      <c r="I3078">
        <f>Table1[[#This Row],[Qty]]*Table1[[#This Row],[CostPrice]]</f>
        <v>65000</v>
      </c>
      <c r="J3078">
        <v>23832</v>
      </c>
      <c r="K3078">
        <v>167.99999999999997</v>
      </c>
      <c r="L3078" t="s">
        <v>13</v>
      </c>
      <c r="M3078" t="s">
        <v>30</v>
      </c>
      <c r="N3078">
        <f>MONTH(Table1[[#This Row],[SaleDate]])</f>
        <v>12</v>
      </c>
      <c r="O3078" t="str">
        <f>TEXT(Table1[[#This Row],[SaleDate]],"MMM")</f>
        <v>Dec</v>
      </c>
    </row>
    <row r="3079" spans="1:15">
      <c r="A3079" s="1">
        <v>45269</v>
      </c>
      <c r="B3079" t="s">
        <v>23</v>
      </c>
      <c r="C3079" t="s">
        <v>19</v>
      </c>
      <c r="D3079">
        <v>2</v>
      </c>
      <c r="E3079" t="s">
        <v>7</v>
      </c>
      <c r="F3079">
        <v>33000</v>
      </c>
      <c r="G3079">
        <v>18000</v>
      </c>
      <c r="H3079">
        <f>Table1[[#This Row],[Qty]]*Table1[[#This Row],[SellingPrice]]</f>
        <v>66000</v>
      </c>
      <c r="I3079">
        <f>Table1[[#This Row],[Qty]]*Table1[[#This Row],[CostPrice]]</f>
        <v>36000</v>
      </c>
      <c r="J3079">
        <v>29790</v>
      </c>
      <c r="K3079">
        <v>209.99999999999997</v>
      </c>
      <c r="L3079" t="s">
        <v>8</v>
      </c>
      <c r="M3079" t="s">
        <v>30</v>
      </c>
      <c r="N3079">
        <f>MONTH(Table1[[#This Row],[SaleDate]])</f>
        <v>12</v>
      </c>
      <c r="O3079" t="str">
        <f>TEXT(Table1[[#This Row],[SaleDate]],"MMM")</f>
        <v>Dec</v>
      </c>
    </row>
    <row r="3080" spans="1:15">
      <c r="A3080" s="1">
        <v>45269</v>
      </c>
      <c r="B3080" t="s">
        <v>23</v>
      </c>
      <c r="C3080" t="s">
        <v>19</v>
      </c>
      <c r="D3080">
        <v>2</v>
      </c>
      <c r="E3080" t="s">
        <v>9</v>
      </c>
      <c r="F3080">
        <v>60000</v>
      </c>
      <c r="G3080">
        <v>31000</v>
      </c>
      <c r="H3080">
        <f>Table1[[#This Row],[Qty]]*Table1[[#This Row],[SellingPrice]]</f>
        <v>120000</v>
      </c>
      <c r="I3080">
        <f>Table1[[#This Row],[Qty]]*Table1[[#This Row],[CostPrice]]</f>
        <v>62000</v>
      </c>
      <c r="J3080">
        <v>57594</v>
      </c>
      <c r="K3080">
        <v>405.99999999999994</v>
      </c>
      <c r="L3080" t="s">
        <v>8</v>
      </c>
      <c r="M3080" t="s">
        <v>30</v>
      </c>
      <c r="N3080">
        <f>MONTH(Table1[[#This Row],[SaleDate]])</f>
        <v>12</v>
      </c>
      <c r="O3080" t="str">
        <f>TEXT(Table1[[#This Row],[SaleDate]],"MMM")</f>
        <v>Dec</v>
      </c>
    </row>
    <row r="3081" spans="1:15">
      <c r="A3081" s="1">
        <v>45269</v>
      </c>
      <c r="B3081" t="s">
        <v>23</v>
      </c>
      <c r="C3081" t="s">
        <v>19</v>
      </c>
      <c r="D3081">
        <v>2</v>
      </c>
      <c r="E3081" t="s">
        <v>10</v>
      </c>
      <c r="F3081">
        <v>89000</v>
      </c>
      <c r="G3081">
        <v>65000</v>
      </c>
      <c r="H3081">
        <f>Table1[[#This Row],[Qty]]*Table1[[#This Row],[SellingPrice]]</f>
        <v>178000</v>
      </c>
      <c r="I3081">
        <f>Table1[[#This Row],[Qty]]*Table1[[#This Row],[CostPrice]]</f>
        <v>130000</v>
      </c>
      <c r="J3081">
        <v>47664</v>
      </c>
      <c r="K3081">
        <v>335.99999999999994</v>
      </c>
      <c r="L3081" t="s">
        <v>8</v>
      </c>
      <c r="M3081" t="s">
        <v>27</v>
      </c>
      <c r="N3081">
        <f>MONTH(Table1[[#This Row],[SaleDate]])</f>
        <v>12</v>
      </c>
      <c r="O3081" t="str">
        <f>TEXT(Table1[[#This Row],[SaleDate]],"MMM")</f>
        <v>Dec</v>
      </c>
    </row>
    <row r="3082" spans="1:15">
      <c r="A3082" s="1">
        <v>45269</v>
      </c>
      <c r="B3082" t="s">
        <v>24</v>
      </c>
      <c r="C3082" t="s">
        <v>22</v>
      </c>
      <c r="D3082">
        <v>2</v>
      </c>
      <c r="E3082" t="s">
        <v>9</v>
      </c>
      <c r="F3082">
        <v>60000</v>
      </c>
      <c r="G3082">
        <v>31000</v>
      </c>
      <c r="H3082">
        <f>Table1[[#This Row],[Qty]]*Table1[[#This Row],[SellingPrice]]</f>
        <v>120000</v>
      </c>
      <c r="I3082">
        <f>Table1[[#This Row],[Qty]]*Table1[[#This Row],[CostPrice]]</f>
        <v>62000</v>
      </c>
      <c r="J3082">
        <v>57594</v>
      </c>
      <c r="K3082">
        <v>405.99999999999994</v>
      </c>
      <c r="L3082" t="s">
        <v>12</v>
      </c>
      <c r="M3082" t="s">
        <v>30</v>
      </c>
      <c r="N3082">
        <f>MONTH(Table1[[#This Row],[SaleDate]])</f>
        <v>12</v>
      </c>
      <c r="O3082" t="str">
        <f>TEXT(Table1[[#This Row],[SaleDate]],"MMM")</f>
        <v>Dec</v>
      </c>
    </row>
    <row r="3083" spans="1:15">
      <c r="A3083" s="1">
        <v>45269</v>
      </c>
      <c r="B3083" t="s">
        <v>24</v>
      </c>
      <c r="C3083" t="s">
        <v>22</v>
      </c>
      <c r="D3083">
        <v>2</v>
      </c>
      <c r="E3083" t="s">
        <v>10</v>
      </c>
      <c r="F3083">
        <v>89000</v>
      </c>
      <c r="G3083">
        <v>65000</v>
      </c>
      <c r="H3083">
        <f>Table1[[#This Row],[Qty]]*Table1[[#This Row],[SellingPrice]]</f>
        <v>178000</v>
      </c>
      <c r="I3083">
        <f>Table1[[#This Row],[Qty]]*Table1[[#This Row],[CostPrice]]</f>
        <v>130000</v>
      </c>
      <c r="J3083">
        <v>47664</v>
      </c>
      <c r="K3083">
        <v>335.99999999999994</v>
      </c>
      <c r="L3083" t="s">
        <v>12</v>
      </c>
      <c r="M3083" t="s">
        <v>29</v>
      </c>
      <c r="N3083">
        <f>MONTH(Table1[[#This Row],[SaleDate]])</f>
        <v>12</v>
      </c>
      <c r="O3083" t="str">
        <f>TEXT(Table1[[#This Row],[SaleDate]],"MMM")</f>
        <v>Dec</v>
      </c>
    </row>
    <row r="3084" spans="1:15">
      <c r="A3084" s="1">
        <v>45269</v>
      </c>
      <c r="B3084" t="s">
        <v>25</v>
      </c>
      <c r="C3084" t="s">
        <v>21</v>
      </c>
      <c r="D3084">
        <v>2</v>
      </c>
      <c r="E3084" t="s">
        <v>7</v>
      </c>
      <c r="F3084">
        <v>33000</v>
      </c>
      <c r="G3084">
        <v>18000</v>
      </c>
      <c r="H3084">
        <f>Table1[[#This Row],[Qty]]*Table1[[#This Row],[SellingPrice]]</f>
        <v>66000</v>
      </c>
      <c r="I3084">
        <f>Table1[[#This Row],[Qty]]*Table1[[#This Row],[CostPrice]]</f>
        <v>36000</v>
      </c>
      <c r="J3084">
        <v>29790</v>
      </c>
      <c r="K3084">
        <v>209.99999999999997</v>
      </c>
      <c r="L3084" t="s">
        <v>13</v>
      </c>
      <c r="M3084" t="s">
        <v>28</v>
      </c>
      <c r="N3084">
        <f>MONTH(Table1[[#This Row],[SaleDate]])</f>
        <v>12</v>
      </c>
      <c r="O3084" t="str">
        <f>TEXT(Table1[[#This Row],[SaleDate]],"MMM")</f>
        <v>Dec</v>
      </c>
    </row>
    <row r="3085" spans="1:15">
      <c r="A3085" s="1">
        <v>45269</v>
      </c>
      <c r="B3085" t="s">
        <v>25</v>
      </c>
      <c r="C3085" t="s">
        <v>21</v>
      </c>
      <c r="D3085">
        <v>2</v>
      </c>
      <c r="E3085" t="s">
        <v>9</v>
      </c>
      <c r="F3085">
        <v>60000</v>
      </c>
      <c r="G3085">
        <v>31000</v>
      </c>
      <c r="H3085">
        <f>Table1[[#This Row],[Qty]]*Table1[[#This Row],[SellingPrice]]</f>
        <v>120000</v>
      </c>
      <c r="I3085">
        <f>Table1[[#This Row],[Qty]]*Table1[[#This Row],[CostPrice]]</f>
        <v>62000</v>
      </c>
      <c r="J3085">
        <v>57594</v>
      </c>
      <c r="K3085">
        <v>405.99999999999994</v>
      </c>
      <c r="L3085" t="s">
        <v>13</v>
      </c>
      <c r="M3085" t="s">
        <v>27</v>
      </c>
      <c r="N3085">
        <f>MONTH(Table1[[#This Row],[SaleDate]])</f>
        <v>12</v>
      </c>
      <c r="O3085" t="str">
        <f>TEXT(Table1[[#This Row],[SaleDate]],"MMM")</f>
        <v>Dec</v>
      </c>
    </row>
    <row r="3086" spans="1:15">
      <c r="A3086" s="1">
        <v>45269</v>
      </c>
      <c r="B3086" t="s">
        <v>25</v>
      </c>
      <c r="C3086" t="s">
        <v>21</v>
      </c>
      <c r="D3086">
        <v>2</v>
      </c>
      <c r="E3086" t="s">
        <v>10</v>
      </c>
      <c r="F3086">
        <v>89000</v>
      </c>
      <c r="G3086">
        <v>65000</v>
      </c>
      <c r="H3086">
        <f>Table1[[#This Row],[Qty]]*Table1[[#This Row],[SellingPrice]]</f>
        <v>178000</v>
      </c>
      <c r="I3086">
        <f>Table1[[#This Row],[Qty]]*Table1[[#This Row],[CostPrice]]</f>
        <v>130000</v>
      </c>
      <c r="J3086">
        <v>47664</v>
      </c>
      <c r="K3086">
        <v>335.99999999999994</v>
      </c>
      <c r="L3086" t="s">
        <v>13</v>
      </c>
      <c r="M3086" t="s">
        <v>30</v>
      </c>
      <c r="N3086">
        <f>MONTH(Table1[[#This Row],[SaleDate]])</f>
        <v>12</v>
      </c>
      <c r="O3086" t="str">
        <f>TEXT(Table1[[#This Row],[SaleDate]],"MMM")</f>
        <v>Dec</v>
      </c>
    </row>
    <row r="3087" spans="1:15">
      <c r="A3087" s="1">
        <v>45270</v>
      </c>
      <c r="B3087" t="s">
        <v>23</v>
      </c>
      <c r="C3087" t="s">
        <v>19</v>
      </c>
      <c r="D3087">
        <v>1</v>
      </c>
      <c r="E3087" t="s">
        <v>7</v>
      </c>
      <c r="F3087">
        <v>33000</v>
      </c>
      <c r="G3087">
        <v>18000</v>
      </c>
      <c r="H3087">
        <f>Table1[[#This Row],[Qty]]*Table1[[#This Row],[SellingPrice]]</f>
        <v>33000</v>
      </c>
      <c r="I3087">
        <f>Table1[[#This Row],[Qty]]*Table1[[#This Row],[CostPrice]]</f>
        <v>18000</v>
      </c>
      <c r="J3087">
        <v>14895</v>
      </c>
      <c r="K3087">
        <v>104.99999999999999</v>
      </c>
      <c r="L3087" t="s">
        <v>8</v>
      </c>
      <c r="M3087" t="s">
        <v>27</v>
      </c>
      <c r="N3087">
        <f>MONTH(Table1[[#This Row],[SaleDate]])</f>
        <v>12</v>
      </c>
      <c r="O3087" t="str">
        <f>TEXT(Table1[[#This Row],[SaleDate]],"MMM")</f>
        <v>Dec</v>
      </c>
    </row>
    <row r="3088" spans="1:15">
      <c r="A3088" s="1">
        <v>45270</v>
      </c>
      <c r="B3088" t="s">
        <v>23</v>
      </c>
      <c r="C3088" t="s">
        <v>19</v>
      </c>
      <c r="D3088">
        <v>1</v>
      </c>
      <c r="E3088" t="s">
        <v>9</v>
      </c>
      <c r="F3088">
        <v>60000</v>
      </c>
      <c r="G3088">
        <v>31000</v>
      </c>
      <c r="H3088">
        <f>Table1[[#This Row],[Qty]]*Table1[[#This Row],[SellingPrice]]</f>
        <v>60000</v>
      </c>
      <c r="I3088">
        <f>Table1[[#This Row],[Qty]]*Table1[[#This Row],[CostPrice]]</f>
        <v>31000</v>
      </c>
      <c r="J3088">
        <v>28797</v>
      </c>
      <c r="K3088">
        <v>202.99999999999997</v>
      </c>
      <c r="L3088" t="s">
        <v>8</v>
      </c>
      <c r="M3088" t="s">
        <v>27</v>
      </c>
      <c r="N3088">
        <f>MONTH(Table1[[#This Row],[SaleDate]])</f>
        <v>12</v>
      </c>
      <c r="O3088" t="str">
        <f>TEXT(Table1[[#This Row],[SaleDate]],"MMM")</f>
        <v>Dec</v>
      </c>
    </row>
    <row r="3089" spans="1:15">
      <c r="A3089" s="1">
        <v>45270</v>
      </c>
      <c r="B3089" t="s">
        <v>23</v>
      </c>
      <c r="C3089" t="s">
        <v>19</v>
      </c>
      <c r="D3089">
        <v>1</v>
      </c>
      <c r="E3089" t="s">
        <v>10</v>
      </c>
      <c r="F3089">
        <v>89000</v>
      </c>
      <c r="G3089">
        <v>65000</v>
      </c>
      <c r="H3089">
        <f>Table1[[#This Row],[Qty]]*Table1[[#This Row],[SellingPrice]]</f>
        <v>89000</v>
      </c>
      <c r="I3089">
        <f>Table1[[#This Row],[Qty]]*Table1[[#This Row],[CostPrice]]</f>
        <v>65000</v>
      </c>
      <c r="J3089">
        <v>23832</v>
      </c>
      <c r="K3089">
        <v>167.99999999999997</v>
      </c>
      <c r="L3089" t="s">
        <v>8</v>
      </c>
      <c r="M3089" t="s">
        <v>29</v>
      </c>
      <c r="N3089">
        <f>MONTH(Table1[[#This Row],[SaleDate]])</f>
        <v>12</v>
      </c>
      <c r="O3089" t="str">
        <f>TEXT(Table1[[#This Row],[SaleDate]],"MMM")</f>
        <v>Dec</v>
      </c>
    </row>
    <row r="3090" spans="1:15">
      <c r="A3090" s="1">
        <v>45270</v>
      </c>
      <c r="B3090" t="s">
        <v>24</v>
      </c>
      <c r="C3090" t="s">
        <v>22</v>
      </c>
      <c r="D3090">
        <v>1</v>
      </c>
      <c r="E3090" t="s">
        <v>7</v>
      </c>
      <c r="F3090">
        <v>33000</v>
      </c>
      <c r="G3090">
        <v>18000</v>
      </c>
      <c r="H3090">
        <f>Table1[[#This Row],[Qty]]*Table1[[#This Row],[SellingPrice]]</f>
        <v>33000</v>
      </c>
      <c r="I3090">
        <f>Table1[[#This Row],[Qty]]*Table1[[#This Row],[CostPrice]]</f>
        <v>18000</v>
      </c>
      <c r="J3090">
        <v>14895</v>
      </c>
      <c r="K3090">
        <v>104.99999999999999</v>
      </c>
      <c r="L3090" t="s">
        <v>12</v>
      </c>
      <c r="M3090" t="s">
        <v>30</v>
      </c>
      <c r="N3090">
        <f>MONTH(Table1[[#This Row],[SaleDate]])</f>
        <v>12</v>
      </c>
      <c r="O3090" t="str">
        <f>TEXT(Table1[[#This Row],[SaleDate]],"MMM")</f>
        <v>Dec</v>
      </c>
    </row>
    <row r="3091" spans="1:15">
      <c r="A3091" s="1">
        <v>45270</v>
      </c>
      <c r="B3091" t="s">
        <v>24</v>
      </c>
      <c r="C3091" t="s">
        <v>22</v>
      </c>
      <c r="D3091">
        <v>1</v>
      </c>
      <c r="E3091" t="s">
        <v>9</v>
      </c>
      <c r="F3091">
        <v>60000</v>
      </c>
      <c r="G3091">
        <v>31000</v>
      </c>
      <c r="H3091">
        <f>Table1[[#This Row],[Qty]]*Table1[[#This Row],[SellingPrice]]</f>
        <v>60000</v>
      </c>
      <c r="I3091">
        <f>Table1[[#This Row],[Qty]]*Table1[[#This Row],[CostPrice]]</f>
        <v>31000</v>
      </c>
      <c r="J3091">
        <v>28797</v>
      </c>
      <c r="K3091">
        <v>202.99999999999997</v>
      </c>
      <c r="L3091" t="s">
        <v>12</v>
      </c>
      <c r="M3091" t="s">
        <v>29</v>
      </c>
      <c r="N3091">
        <f>MONTH(Table1[[#This Row],[SaleDate]])</f>
        <v>12</v>
      </c>
      <c r="O3091" t="str">
        <f>TEXT(Table1[[#This Row],[SaleDate]],"MMM")</f>
        <v>Dec</v>
      </c>
    </row>
    <row r="3092" spans="1:15">
      <c r="A3092" s="1">
        <v>45270</v>
      </c>
      <c r="B3092" t="s">
        <v>24</v>
      </c>
      <c r="C3092" t="s">
        <v>22</v>
      </c>
      <c r="D3092">
        <v>1</v>
      </c>
      <c r="E3092" t="s">
        <v>10</v>
      </c>
      <c r="F3092">
        <v>89000</v>
      </c>
      <c r="G3092">
        <v>65000</v>
      </c>
      <c r="H3092">
        <f>Table1[[#This Row],[Qty]]*Table1[[#This Row],[SellingPrice]]</f>
        <v>89000</v>
      </c>
      <c r="I3092">
        <f>Table1[[#This Row],[Qty]]*Table1[[#This Row],[CostPrice]]</f>
        <v>65000</v>
      </c>
      <c r="J3092">
        <v>23832</v>
      </c>
      <c r="K3092">
        <v>167.99999999999997</v>
      </c>
      <c r="L3092" t="s">
        <v>12</v>
      </c>
      <c r="M3092" t="s">
        <v>27</v>
      </c>
      <c r="N3092">
        <f>MONTH(Table1[[#This Row],[SaleDate]])</f>
        <v>12</v>
      </c>
      <c r="O3092" t="str">
        <f>TEXT(Table1[[#This Row],[SaleDate]],"MMM")</f>
        <v>Dec</v>
      </c>
    </row>
    <row r="3093" spans="1:15">
      <c r="A3093" s="1">
        <v>45270</v>
      </c>
      <c r="B3093" t="s">
        <v>25</v>
      </c>
      <c r="C3093" t="s">
        <v>21</v>
      </c>
      <c r="D3093">
        <v>1</v>
      </c>
      <c r="E3093" t="s">
        <v>7</v>
      </c>
      <c r="F3093">
        <v>33000</v>
      </c>
      <c r="G3093">
        <v>18000</v>
      </c>
      <c r="H3093">
        <f>Table1[[#This Row],[Qty]]*Table1[[#This Row],[SellingPrice]]</f>
        <v>33000</v>
      </c>
      <c r="I3093">
        <f>Table1[[#This Row],[Qty]]*Table1[[#This Row],[CostPrice]]</f>
        <v>18000</v>
      </c>
      <c r="J3093">
        <v>14895</v>
      </c>
      <c r="K3093">
        <v>104.99999999999999</v>
      </c>
      <c r="L3093" t="s">
        <v>13</v>
      </c>
      <c r="M3093" t="s">
        <v>29</v>
      </c>
      <c r="N3093">
        <f>MONTH(Table1[[#This Row],[SaleDate]])</f>
        <v>12</v>
      </c>
      <c r="O3093" t="str">
        <f>TEXT(Table1[[#This Row],[SaleDate]],"MMM")</f>
        <v>Dec</v>
      </c>
    </row>
    <row r="3094" spans="1:15">
      <c r="A3094" s="1">
        <v>45270</v>
      </c>
      <c r="B3094" t="s">
        <v>25</v>
      </c>
      <c r="C3094" t="s">
        <v>21</v>
      </c>
      <c r="D3094">
        <v>1</v>
      </c>
      <c r="E3094" t="s">
        <v>9</v>
      </c>
      <c r="F3094">
        <v>60000</v>
      </c>
      <c r="G3094">
        <v>31000</v>
      </c>
      <c r="H3094">
        <f>Table1[[#This Row],[Qty]]*Table1[[#This Row],[SellingPrice]]</f>
        <v>60000</v>
      </c>
      <c r="I3094">
        <f>Table1[[#This Row],[Qty]]*Table1[[#This Row],[CostPrice]]</f>
        <v>31000</v>
      </c>
      <c r="J3094">
        <v>28797</v>
      </c>
      <c r="K3094">
        <v>202.99999999999997</v>
      </c>
      <c r="L3094" t="s">
        <v>13</v>
      </c>
      <c r="M3094" t="s">
        <v>27</v>
      </c>
      <c r="N3094">
        <f>MONTH(Table1[[#This Row],[SaleDate]])</f>
        <v>12</v>
      </c>
      <c r="O3094" t="str">
        <f>TEXT(Table1[[#This Row],[SaleDate]],"MMM")</f>
        <v>Dec</v>
      </c>
    </row>
    <row r="3095" spans="1:15">
      <c r="A3095" s="1">
        <v>45270</v>
      </c>
      <c r="B3095" t="s">
        <v>25</v>
      </c>
      <c r="C3095" t="s">
        <v>21</v>
      </c>
      <c r="D3095">
        <v>1</v>
      </c>
      <c r="E3095" t="s">
        <v>10</v>
      </c>
      <c r="F3095">
        <v>89000</v>
      </c>
      <c r="G3095">
        <v>65000</v>
      </c>
      <c r="H3095">
        <f>Table1[[#This Row],[Qty]]*Table1[[#This Row],[SellingPrice]]</f>
        <v>89000</v>
      </c>
      <c r="I3095">
        <f>Table1[[#This Row],[Qty]]*Table1[[#This Row],[CostPrice]]</f>
        <v>65000</v>
      </c>
      <c r="J3095">
        <v>23832</v>
      </c>
      <c r="K3095">
        <v>167.99999999999997</v>
      </c>
      <c r="L3095" t="s">
        <v>13</v>
      </c>
      <c r="M3095" t="s">
        <v>30</v>
      </c>
      <c r="N3095">
        <f>MONTH(Table1[[#This Row],[SaleDate]])</f>
        <v>12</v>
      </c>
      <c r="O3095" t="str">
        <f>TEXT(Table1[[#This Row],[SaleDate]],"MMM")</f>
        <v>Dec</v>
      </c>
    </row>
    <row r="3096" spans="1:15">
      <c r="A3096" s="1">
        <v>45271</v>
      </c>
      <c r="B3096" t="s">
        <v>23</v>
      </c>
      <c r="C3096" t="s">
        <v>19</v>
      </c>
      <c r="D3096">
        <v>2</v>
      </c>
      <c r="E3096" t="s">
        <v>7</v>
      </c>
      <c r="F3096">
        <v>33000</v>
      </c>
      <c r="G3096">
        <v>18000</v>
      </c>
      <c r="H3096">
        <f>Table1[[#This Row],[Qty]]*Table1[[#This Row],[SellingPrice]]</f>
        <v>66000</v>
      </c>
      <c r="I3096">
        <f>Table1[[#This Row],[Qty]]*Table1[[#This Row],[CostPrice]]</f>
        <v>36000</v>
      </c>
      <c r="J3096">
        <v>29790</v>
      </c>
      <c r="K3096">
        <v>209.99999999999997</v>
      </c>
      <c r="L3096" t="s">
        <v>8</v>
      </c>
      <c r="M3096" t="s">
        <v>27</v>
      </c>
      <c r="N3096">
        <f>MONTH(Table1[[#This Row],[SaleDate]])</f>
        <v>12</v>
      </c>
      <c r="O3096" t="str">
        <f>TEXT(Table1[[#This Row],[SaleDate]],"MMM")</f>
        <v>Dec</v>
      </c>
    </row>
    <row r="3097" spans="1:15">
      <c r="A3097" s="1">
        <v>45271</v>
      </c>
      <c r="B3097" t="s">
        <v>23</v>
      </c>
      <c r="C3097" t="s">
        <v>19</v>
      </c>
      <c r="D3097">
        <v>2</v>
      </c>
      <c r="E3097" t="s">
        <v>9</v>
      </c>
      <c r="F3097">
        <v>60000</v>
      </c>
      <c r="G3097">
        <v>31000</v>
      </c>
      <c r="H3097">
        <f>Table1[[#This Row],[Qty]]*Table1[[#This Row],[SellingPrice]]</f>
        <v>120000</v>
      </c>
      <c r="I3097">
        <f>Table1[[#This Row],[Qty]]*Table1[[#This Row],[CostPrice]]</f>
        <v>62000</v>
      </c>
      <c r="J3097">
        <v>57594</v>
      </c>
      <c r="K3097">
        <v>405.99999999999994</v>
      </c>
      <c r="L3097" t="s">
        <v>8</v>
      </c>
      <c r="M3097" t="s">
        <v>27</v>
      </c>
      <c r="N3097">
        <f>MONTH(Table1[[#This Row],[SaleDate]])</f>
        <v>12</v>
      </c>
      <c r="O3097" t="str">
        <f>TEXT(Table1[[#This Row],[SaleDate]],"MMM")</f>
        <v>Dec</v>
      </c>
    </row>
    <row r="3098" spans="1:15">
      <c r="A3098" s="1">
        <v>45271</v>
      </c>
      <c r="B3098" t="s">
        <v>23</v>
      </c>
      <c r="C3098" t="s">
        <v>19</v>
      </c>
      <c r="D3098">
        <v>2</v>
      </c>
      <c r="E3098" t="s">
        <v>10</v>
      </c>
      <c r="F3098">
        <v>89000</v>
      </c>
      <c r="G3098">
        <v>65000</v>
      </c>
      <c r="H3098">
        <f>Table1[[#This Row],[Qty]]*Table1[[#This Row],[SellingPrice]]</f>
        <v>178000</v>
      </c>
      <c r="I3098">
        <f>Table1[[#This Row],[Qty]]*Table1[[#This Row],[CostPrice]]</f>
        <v>130000</v>
      </c>
      <c r="J3098">
        <v>47664</v>
      </c>
      <c r="K3098">
        <v>335.99999999999994</v>
      </c>
      <c r="L3098" t="s">
        <v>8</v>
      </c>
      <c r="M3098" t="s">
        <v>27</v>
      </c>
      <c r="N3098">
        <f>MONTH(Table1[[#This Row],[SaleDate]])</f>
        <v>12</v>
      </c>
      <c r="O3098" t="str">
        <f>TEXT(Table1[[#This Row],[SaleDate]],"MMM")</f>
        <v>Dec</v>
      </c>
    </row>
    <row r="3099" spans="1:15">
      <c r="A3099" s="1">
        <v>45271</v>
      </c>
      <c r="B3099" t="s">
        <v>24</v>
      </c>
      <c r="C3099" t="s">
        <v>22</v>
      </c>
      <c r="D3099">
        <v>2</v>
      </c>
      <c r="E3099" t="s">
        <v>7</v>
      </c>
      <c r="F3099">
        <v>33000</v>
      </c>
      <c r="G3099">
        <v>18000</v>
      </c>
      <c r="H3099">
        <f>Table1[[#This Row],[Qty]]*Table1[[#This Row],[SellingPrice]]</f>
        <v>66000</v>
      </c>
      <c r="I3099">
        <f>Table1[[#This Row],[Qty]]*Table1[[#This Row],[CostPrice]]</f>
        <v>36000</v>
      </c>
      <c r="J3099">
        <v>29790</v>
      </c>
      <c r="K3099">
        <v>209.99999999999997</v>
      </c>
      <c r="L3099" t="s">
        <v>12</v>
      </c>
      <c r="M3099" t="s">
        <v>29</v>
      </c>
      <c r="N3099">
        <f>MONTH(Table1[[#This Row],[SaleDate]])</f>
        <v>12</v>
      </c>
      <c r="O3099" t="str">
        <f>TEXT(Table1[[#This Row],[SaleDate]],"MMM")</f>
        <v>Dec</v>
      </c>
    </row>
    <row r="3100" spans="1:15">
      <c r="A3100" s="1">
        <v>45271</v>
      </c>
      <c r="B3100" t="s">
        <v>24</v>
      </c>
      <c r="C3100" t="s">
        <v>22</v>
      </c>
      <c r="D3100">
        <v>2</v>
      </c>
      <c r="E3100" t="s">
        <v>9</v>
      </c>
      <c r="F3100">
        <v>60000</v>
      </c>
      <c r="G3100">
        <v>31000</v>
      </c>
      <c r="H3100">
        <f>Table1[[#This Row],[Qty]]*Table1[[#This Row],[SellingPrice]]</f>
        <v>120000</v>
      </c>
      <c r="I3100">
        <f>Table1[[#This Row],[Qty]]*Table1[[#This Row],[CostPrice]]</f>
        <v>62000</v>
      </c>
      <c r="J3100">
        <v>57594</v>
      </c>
      <c r="K3100">
        <v>405.99999999999994</v>
      </c>
      <c r="L3100" t="s">
        <v>12</v>
      </c>
      <c r="M3100" t="s">
        <v>29</v>
      </c>
      <c r="N3100">
        <f>MONTH(Table1[[#This Row],[SaleDate]])</f>
        <v>12</v>
      </c>
      <c r="O3100" t="str">
        <f>TEXT(Table1[[#This Row],[SaleDate]],"MMM")</f>
        <v>Dec</v>
      </c>
    </row>
    <row r="3101" spans="1:15">
      <c r="A3101" s="1">
        <v>45271</v>
      </c>
      <c r="B3101" t="s">
        <v>24</v>
      </c>
      <c r="C3101" t="s">
        <v>22</v>
      </c>
      <c r="D3101">
        <v>2</v>
      </c>
      <c r="E3101" t="s">
        <v>10</v>
      </c>
      <c r="F3101">
        <v>89000</v>
      </c>
      <c r="G3101">
        <v>65000</v>
      </c>
      <c r="H3101">
        <f>Table1[[#This Row],[Qty]]*Table1[[#This Row],[SellingPrice]]</f>
        <v>178000</v>
      </c>
      <c r="I3101">
        <f>Table1[[#This Row],[Qty]]*Table1[[#This Row],[CostPrice]]</f>
        <v>130000</v>
      </c>
      <c r="J3101">
        <v>47664</v>
      </c>
      <c r="K3101">
        <v>335.99999999999994</v>
      </c>
      <c r="L3101" t="s">
        <v>12</v>
      </c>
      <c r="M3101" t="s">
        <v>30</v>
      </c>
      <c r="N3101">
        <f>MONTH(Table1[[#This Row],[SaleDate]])</f>
        <v>12</v>
      </c>
      <c r="O3101" t="str">
        <f>TEXT(Table1[[#This Row],[SaleDate]],"MMM")</f>
        <v>Dec</v>
      </c>
    </row>
    <row r="3102" spans="1:15">
      <c r="A3102" s="1">
        <v>45271</v>
      </c>
      <c r="B3102" t="s">
        <v>25</v>
      </c>
      <c r="C3102" t="s">
        <v>21</v>
      </c>
      <c r="D3102">
        <v>2</v>
      </c>
      <c r="E3102" t="s">
        <v>7</v>
      </c>
      <c r="F3102">
        <v>33000</v>
      </c>
      <c r="G3102">
        <v>18000</v>
      </c>
      <c r="H3102">
        <f>Table1[[#This Row],[Qty]]*Table1[[#This Row],[SellingPrice]]</f>
        <v>66000</v>
      </c>
      <c r="I3102">
        <f>Table1[[#This Row],[Qty]]*Table1[[#This Row],[CostPrice]]</f>
        <v>36000</v>
      </c>
      <c r="J3102">
        <v>29790</v>
      </c>
      <c r="K3102">
        <v>209.99999999999997</v>
      </c>
      <c r="L3102" t="s">
        <v>13</v>
      </c>
      <c r="M3102" t="s">
        <v>27</v>
      </c>
      <c r="N3102">
        <f>MONTH(Table1[[#This Row],[SaleDate]])</f>
        <v>12</v>
      </c>
      <c r="O3102" t="str">
        <f>TEXT(Table1[[#This Row],[SaleDate]],"MMM")</f>
        <v>Dec</v>
      </c>
    </row>
    <row r="3103" spans="1:15">
      <c r="A3103" s="1">
        <v>45271</v>
      </c>
      <c r="B3103" t="s">
        <v>25</v>
      </c>
      <c r="C3103" t="s">
        <v>21</v>
      </c>
      <c r="D3103">
        <v>2</v>
      </c>
      <c r="E3103" t="s">
        <v>9</v>
      </c>
      <c r="F3103">
        <v>60000</v>
      </c>
      <c r="G3103">
        <v>31000</v>
      </c>
      <c r="H3103">
        <f>Table1[[#This Row],[Qty]]*Table1[[#This Row],[SellingPrice]]</f>
        <v>120000</v>
      </c>
      <c r="I3103">
        <f>Table1[[#This Row],[Qty]]*Table1[[#This Row],[CostPrice]]</f>
        <v>62000</v>
      </c>
      <c r="J3103">
        <v>57594</v>
      </c>
      <c r="K3103">
        <v>405.99999999999994</v>
      </c>
      <c r="L3103" t="s">
        <v>13</v>
      </c>
      <c r="M3103" t="s">
        <v>28</v>
      </c>
      <c r="N3103">
        <f>MONTH(Table1[[#This Row],[SaleDate]])</f>
        <v>12</v>
      </c>
      <c r="O3103" t="str">
        <f>TEXT(Table1[[#This Row],[SaleDate]],"MMM")</f>
        <v>Dec</v>
      </c>
    </row>
    <row r="3104" spans="1:15">
      <c r="A3104" s="1">
        <v>45271</v>
      </c>
      <c r="B3104" t="s">
        <v>25</v>
      </c>
      <c r="C3104" t="s">
        <v>21</v>
      </c>
      <c r="D3104">
        <v>2</v>
      </c>
      <c r="E3104" t="s">
        <v>10</v>
      </c>
      <c r="F3104">
        <v>89000</v>
      </c>
      <c r="G3104">
        <v>65000</v>
      </c>
      <c r="H3104">
        <f>Table1[[#This Row],[Qty]]*Table1[[#This Row],[SellingPrice]]</f>
        <v>178000</v>
      </c>
      <c r="I3104">
        <f>Table1[[#This Row],[Qty]]*Table1[[#This Row],[CostPrice]]</f>
        <v>130000</v>
      </c>
      <c r="J3104">
        <v>47664</v>
      </c>
      <c r="K3104">
        <v>335.99999999999994</v>
      </c>
      <c r="L3104" t="s">
        <v>13</v>
      </c>
      <c r="M3104" t="s">
        <v>29</v>
      </c>
      <c r="N3104">
        <f>MONTH(Table1[[#This Row],[SaleDate]])</f>
        <v>12</v>
      </c>
      <c r="O3104" t="str">
        <f>TEXT(Table1[[#This Row],[SaleDate]],"MMM")</f>
        <v>Dec</v>
      </c>
    </row>
    <row r="3105" spans="1:15">
      <c r="A3105" s="1">
        <v>45272</v>
      </c>
      <c r="B3105" t="s">
        <v>23</v>
      </c>
      <c r="C3105" t="s">
        <v>19</v>
      </c>
      <c r="D3105">
        <v>2</v>
      </c>
      <c r="E3105" t="s">
        <v>7</v>
      </c>
      <c r="F3105">
        <v>33000</v>
      </c>
      <c r="G3105">
        <v>18000</v>
      </c>
      <c r="H3105">
        <f>Table1[[#This Row],[Qty]]*Table1[[#This Row],[SellingPrice]]</f>
        <v>66000</v>
      </c>
      <c r="I3105">
        <f>Table1[[#This Row],[Qty]]*Table1[[#This Row],[CostPrice]]</f>
        <v>36000</v>
      </c>
      <c r="J3105">
        <v>29790</v>
      </c>
      <c r="K3105">
        <v>209.99999999999997</v>
      </c>
      <c r="L3105" t="s">
        <v>8</v>
      </c>
      <c r="M3105" t="s">
        <v>27</v>
      </c>
      <c r="N3105">
        <f>MONTH(Table1[[#This Row],[SaleDate]])</f>
        <v>12</v>
      </c>
      <c r="O3105" t="str">
        <f>TEXT(Table1[[#This Row],[SaleDate]],"MMM")</f>
        <v>Dec</v>
      </c>
    </row>
    <row r="3106" spans="1:15">
      <c r="A3106" s="1">
        <v>45272</v>
      </c>
      <c r="B3106" t="s">
        <v>23</v>
      </c>
      <c r="C3106" t="s">
        <v>19</v>
      </c>
      <c r="D3106">
        <v>2</v>
      </c>
      <c r="E3106" t="s">
        <v>9</v>
      </c>
      <c r="F3106">
        <v>60000</v>
      </c>
      <c r="G3106">
        <v>31000</v>
      </c>
      <c r="H3106">
        <f>Table1[[#This Row],[Qty]]*Table1[[#This Row],[SellingPrice]]</f>
        <v>120000</v>
      </c>
      <c r="I3106">
        <f>Table1[[#This Row],[Qty]]*Table1[[#This Row],[CostPrice]]</f>
        <v>62000</v>
      </c>
      <c r="J3106">
        <v>57594</v>
      </c>
      <c r="K3106">
        <v>405.99999999999994</v>
      </c>
      <c r="L3106" t="s">
        <v>8</v>
      </c>
      <c r="M3106" t="s">
        <v>30</v>
      </c>
      <c r="N3106">
        <f>MONTH(Table1[[#This Row],[SaleDate]])</f>
        <v>12</v>
      </c>
      <c r="O3106" t="str">
        <f>TEXT(Table1[[#This Row],[SaleDate]],"MMM")</f>
        <v>Dec</v>
      </c>
    </row>
    <row r="3107" spans="1:15">
      <c r="A3107" s="1">
        <v>45272</v>
      </c>
      <c r="B3107" t="s">
        <v>23</v>
      </c>
      <c r="C3107" t="s">
        <v>19</v>
      </c>
      <c r="D3107">
        <v>2</v>
      </c>
      <c r="E3107" t="s">
        <v>10</v>
      </c>
      <c r="F3107">
        <v>89000</v>
      </c>
      <c r="G3107">
        <v>65000</v>
      </c>
      <c r="H3107">
        <f>Table1[[#This Row],[Qty]]*Table1[[#This Row],[SellingPrice]]</f>
        <v>178000</v>
      </c>
      <c r="I3107">
        <f>Table1[[#This Row],[Qty]]*Table1[[#This Row],[CostPrice]]</f>
        <v>130000</v>
      </c>
      <c r="J3107">
        <v>47664</v>
      </c>
      <c r="K3107">
        <v>335.99999999999994</v>
      </c>
      <c r="L3107" t="s">
        <v>8</v>
      </c>
      <c r="M3107" t="s">
        <v>30</v>
      </c>
      <c r="N3107">
        <f>MONTH(Table1[[#This Row],[SaleDate]])</f>
        <v>12</v>
      </c>
      <c r="O3107" t="str">
        <f>TEXT(Table1[[#This Row],[SaleDate]],"MMM")</f>
        <v>Dec</v>
      </c>
    </row>
    <row r="3108" spans="1:15">
      <c r="A3108" s="1">
        <v>45272</v>
      </c>
      <c r="B3108" t="s">
        <v>24</v>
      </c>
      <c r="C3108" t="s">
        <v>22</v>
      </c>
      <c r="D3108">
        <v>2</v>
      </c>
      <c r="E3108" t="s">
        <v>7</v>
      </c>
      <c r="F3108">
        <v>33000</v>
      </c>
      <c r="G3108">
        <v>18000</v>
      </c>
      <c r="H3108">
        <f>Table1[[#This Row],[Qty]]*Table1[[#This Row],[SellingPrice]]</f>
        <v>66000</v>
      </c>
      <c r="I3108">
        <f>Table1[[#This Row],[Qty]]*Table1[[#This Row],[CostPrice]]</f>
        <v>36000</v>
      </c>
      <c r="J3108">
        <v>29790</v>
      </c>
      <c r="K3108">
        <v>209.99999999999997</v>
      </c>
      <c r="L3108" t="s">
        <v>12</v>
      </c>
      <c r="M3108" t="s">
        <v>30</v>
      </c>
      <c r="N3108">
        <f>MONTH(Table1[[#This Row],[SaleDate]])</f>
        <v>12</v>
      </c>
      <c r="O3108" t="str">
        <f>TEXT(Table1[[#This Row],[SaleDate]],"MMM")</f>
        <v>Dec</v>
      </c>
    </row>
    <row r="3109" spans="1:15">
      <c r="A3109" s="1">
        <v>45272</v>
      </c>
      <c r="B3109" t="s">
        <v>24</v>
      </c>
      <c r="C3109" t="s">
        <v>22</v>
      </c>
      <c r="D3109">
        <v>2</v>
      </c>
      <c r="E3109" t="s">
        <v>9</v>
      </c>
      <c r="F3109">
        <v>60000</v>
      </c>
      <c r="G3109">
        <v>31000</v>
      </c>
      <c r="H3109">
        <f>Table1[[#This Row],[Qty]]*Table1[[#This Row],[SellingPrice]]</f>
        <v>120000</v>
      </c>
      <c r="I3109">
        <f>Table1[[#This Row],[Qty]]*Table1[[#This Row],[CostPrice]]</f>
        <v>62000</v>
      </c>
      <c r="J3109">
        <v>57594</v>
      </c>
      <c r="K3109">
        <v>405.99999999999994</v>
      </c>
      <c r="L3109" t="s">
        <v>12</v>
      </c>
      <c r="M3109" t="s">
        <v>29</v>
      </c>
      <c r="N3109">
        <f>MONTH(Table1[[#This Row],[SaleDate]])</f>
        <v>12</v>
      </c>
      <c r="O3109" t="str">
        <f>TEXT(Table1[[#This Row],[SaleDate]],"MMM")</f>
        <v>Dec</v>
      </c>
    </row>
    <row r="3110" spans="1:15">
      <c r="A3110" s="1">
        <v>45272</v>
      </c>
      <c r="B3110" t="s">
        <v>24</v>
      </c>
      <c r="C3110" t="s">
        <v>22</v>
      </c>
      <c r="D3110">
        <v>2</v>
      </c>
      <c r="E3110" t="s">
        <v>10</v>
      </c>
      <c r="F3110">
        <v>89000</v>
      </c>
      <c r="G3110">
        <v>65000</v>
      </c>
      <c r="H3110">
        <f>Table1[[#This Row],[Qty]]*Table1[[#This Row],[SellingPrice]]</f>
        <v>178000</v>
      </c>
      <c r="I3110">
        <f>Table1[[#This Row],[Qty]]*Table1[[#This Row],[CostPrice]]</f>
        <v>130000</v>
      </c>
      <c r="J3110">
        <v>47664</v>
      </c>
      <c r="K3110">
        <v>335.99999999999994</v>
      </c>
      <c r="L3110" t="s">
        <v>12</v>
      </c>
      <c r="M3110" t="s">
        <v>30</v>
      </c>
      <c r="N3110">
        <f>MONTH(Table1[[#This Row],[SaleDate]])</f>
        <v>12</v>
      </c>
      <c r="O3110" t="str">
        <f>TEXT(Table1[[#This Row],[SaleDate]],"MMM")</f>
        <v>Dec</v>
      </c>
    </row>
    <row r="3111" spans="1:15">
      <c r="A3111" s="1">
        <v>45272</v>
      </c>
      <c r="B3111" t="s">
        <v>25</v>
      </c>
      <c r="C3111" t="s">
        <v>21</v>
      </c>
      <c r="D3111">
        <v>2</v>
      </c>
      <c r="E3111" t="s">
        <v>7</v>
      </c>
      <c r="F3111">
        <v>33000</v>
      </c>
      <c r="G3111">
        <v>18000</v>
      </c>
      <c r="H3111">
        <f>Table1[[#This Row],[Qty]]*Table1[[#This Row],[SellingPrice]]</f>
        <v>66000</v>
      </c>
      <c r="I3111">
        <f>Table1[[#This Row],[Qty]]*Table1[[#This Row],[CostPrice]]</f>
        <v>36000</v>
      </c>
      <c r="J3111">
        <v>29790</v>
      </c>
      <c r="K3111">
        <v>209.99999999999997</v>
      </c>
      <c r="L3111" t="s">
        <v>13</v>
      </c>
      <c r="M3111" t="s">
        <v>29</v>
      </c>
      <c r="N3111">
        <f>MONTH(Table1[[#This Row],[SaleDate]])</f>
        <v>12</v>
      </c>
      <c r="O3111" t="str">
        <f>TEXT(Table1[[#This Row],[SaleDate]],"MMM")</f>
        <v>Dec</v>
      </c>
    </row>
    <row r="3112" spans="1:15">
      <c r="A3112" s="1">
        <v>45272</v>
      </c>
      <c r="B3112" t="s">
        <v>25</v>
      </c>
      <c r="C3112" t="s">
        <v>21</v>
      </c>
      <c r="D3112">
        <v>2</v>
      </c>
      <c r="E3112" t="s">
        <v>9</v>
      </c>
      <c r="F3112">
        <v>60000</v>
      </c>
      <c r="G3112">
        <v>31000</v>
      </c>
      <c r="H3112">
        <f>Table1[[#This Row],[Qty]]*Table1[[#This Row],[SellingPrice]]</f>
        <v>120000</v>
      </c>
      <c r="I3112">
        <f>Table1[[#This Row],[Qty]]*Table1[[#This Row],[CostPrice]]</f>
        <v>62000</v>
      </c>
      <c r="J3112">
        <v>57594</v>
      </c>
      <c r="K3112">
        <v>405.99999999999994</v>
      </c>
      <c r="L3112" t="s">
        <v>13</v>
      </c>
      <c r="M3112" t="s">
        <v>29</v>
      </c>
      <c r="N3112">
        <f>MONTH(Table1[[#This Row],[SaleDate]])</f>
        <v>12</v>
      </c>
      <c r="O3112" t="str">
        <f>TEXT(Table1[[#This Row],[SaleDate]],"MMM")</f>
        <v>Dec</v>
      </c>
    </row>
    <row r="3113" spans="1:15">
      <c r="A3113" s="1">
        <v>45272</v>
      </c>
      <c r="B3113" t="s">
        <v>25</v>
      </c>
      <c r="C3113" t="s">
        <v>21</v>
      </c>
      <c r="D3113">
        <v>2</v>
      </c>
      <c r="E3113" t="s">
        <v>10</v>
      </c>
      <c r="F3113">
        <v>89000</v>
      </c>
      <c r="G3113">
        <v>65000</v>
      </c>
      <c r="H3113">
        <f>Table1[[#This Row],[Qty]]*Table1[[#This Row],[SellingPrice]]</f>
        <v>178000</v>
      </c>
      <c r="I3113">
        <f>Table1[[#This Row],[Qty]]*Table1[[#This Row],[CostPrice]]</f>
        <v>130000</v>
      </c>
      <c r="J3113">
        <v>47664</v>
      </c>
      <c r="K3113">
        <v>335.99999999999994</v>
      </c>
      <c r="L3113" t="s">
        <v>13</v>
      </c>
      <c r="M3113" t="s">
        <v>29</v>
      </c>
      <c r="N3113">
        <f>MONTH(Table1[[#This Row],[SaleDate]])</f>
        <v>12</v>
      </c>
      <c r="O3113" t="str">
        <f>TEXT(Table1[[#This Row],[SaleDate]],"MMM")</f>
        <v>Dec</v>
      </c>
    </row>
    <row r="3114" spans="1:15">
      <c r="A3114" s="1">
        <v>45273</v>
      </c>
      <c r="B3114" t="s">
        <v>23</v>
      </c>
      <c r="C3114" t="s">
        <v>19</v>
      </c>
      <c r="D3114">
        <v>1</v>
      </c>
      <c r="E3114" t="s">
        <v>7</v>
      </c>
      <c r="F3114">
        <v>33000</v>
      </c>
      <c r="G3114">
        <v>18000</v>
      </c>
      <c r="H3114">
        <f>Table1[[#This Row],[Qty]]*Table1[[#This Row],[SellingPrice]]</f>
        <v>33000</v>
      </c>
      <c r="I3114">
        <f>Table1[[#This Row],[Qty]]*Table1[[#This Row],[CostPrice]]</f>
        <v>18000</v>
      </c>
      <c r="J3114">
        <v>14895</v>
      </c>
      <c r="K3114">
        <v>104.99999999999999</v>
      </c>
      <c r="L3114" t="s">
        <v>8</v>
      </c>
      <c r="M3114" t="s">
        <v>29</v>
      </c>
      <c r="N3114">
        <f>MONTH(Table1[[#This Row],[SaleDate]])</f>
        <v>12</v>
      </c>
      <c r="O3114" t="str">
        <f>TEXT(Table1[[#This Row],[SaleDate]],"MMM")</f>
        <v>Dec</v>
      </c>
    </row>
    <row r="3115" spans="1:15">
      <c r="A3115" s="1">
        <v>45273</v>
      </c>
      <c r="B3115" t="s">
        <v>23</v>
      </c>
      <c r="C3115" t="s">
        <v>19</v>
      </c>
      <c r="D3115">
        <v>1</v>
      </c>
      <c r="E3115" t="s">
        <v>9</v>
      </c>
      <c r="F3115">
        <v>60000</v>
      </c>
      <c r="G3115">
        <v>31000</v>
      </c>
      <c r="H3115">
        <f>Table1[[#This Row],[Qty]]*Table1[[#This Row],[SellingPrice]]</f>
        <v>60000</v>
      </c>
      <c r="I3115">
        <f>Table1[[#This Row],[Qty]]*Table1[[#This Row],[CostPrice]]</f>
        <v>31000</v>
      </c>
      <c r="J3115">
        <v>28797</v>
      </c>
      <c r="K3115">
        <v>202.99999999999997</v>
      </c>
      <c r="L3115" t="s">
        <v>8</v>
      </c>
      <c r="M3115" t="s">
        <v>30</v>
      </c>
      <c r="N3115">
        <f>MONTH(Table1[[#This Row],[SaleDate]])</f>
        <v>12</v>
      </c>
      <c r="O3115" t="str">
        <f>TEXT(Table1[[#This Row],[SaleDate]],"MMM")</f>
        <v>Dec</v>
      </c>
    </row>
    <row r="3116" spans="1:15">
      <c r="A3116" s="1">
        <v>45273</v>
      </c>
      <c r="B3116" t="s">
        <v>23</v>
      </c>
      <c r="C3116" t="s">
        <v>19</v>
      </c>
      <c r="D3116">
        <v>1</v>
      </c>
      <c r="E3116" t="s">
        <v>10</v>
      </c>
      <c r="F3116">
        <v>89000</v>
      </c>
      <c r="G3116">
        <v>65000</v>
      </c>
      <c r="H3116">
        <f>Table1[[#This Row],[Qty]]*Table1[[#This Row],[SellingPrice]]</f>
        <v>89000</v>
      </c>
      <c r="I3116">
        <f>Table1[[#This Row],[Qty]]*Table1[[#This Row],[CostPrice]]</f>
        <v>65000</v>
      </c>
      <c r="J3116">
        <v>23832</v>
      </c>
      <c r="K3116">
        <v>167.99999999999997</v>
      </c>
      <c r="L3116" t="s">
        <v>8</v>
      </c>
      <c r="M3116" t="s">
        <v>30</v>
      </c>
      <c r="N3116">
        <f>MONTH(Table1[[#This Row],[SaleDate]])</f>
        <v>12</v>
      </c>
      <c r="O3116" t="str">
        <f>TEXT(Table1[[#This Row],[SaleDate]],"MMM")</f>
        <v>Dec</v>
      </c>
    </row>
    <row r="3117" spans="1:15">
      <c r="A3117" s="1">
        <v>45273</v>
      </c>
      <c r="B3117" t="s">
        <v>24</v>
      </c>
      <c r="C3117" t="s">
        <v>22</v>
      </c>
      <c r="D3117">
        <v>1</v>
      </c>
      <c r="E3117" t="s">
        <v>7</v>
      </c>
      <c r="F3117">
        <v>33000</v>
      </c>
      <c r="G3117">
        <v>18000</v>
      </c>
      <c r="H3117">
        <f>Table1[[#This Row],[Qty]]*Table1[[#This Row],[SellingPrice]]</f>
        <v>33000</v>
      </c>
      <c r="I3117">
        <f>Table1[[#This Row],[Qty]]*Table1[[#This Row],[CostPrice]]</f>
        <v>18000</v>
      </c>
      <c r="J3117">
        <v>14895</v>
      </c>
      <c r="K3117">
        <v>104.99999999999999</v>
      </c>
      <c r="L3117" t="s">
        <v>12</v>
      </c>
      <c r="M3117" t="s">
        <v>27</v>
      </c>
      <c r="N3117">
        <f>MONTH(Table1[[#This Row],[SaleDate]])</f>
        <v>12</v>
      </c>
      <c r="O3117" t="str">
        <f>TEXT(Table1[[#This Row],[SaleDate]],"MMM")</f>
        <v>Dec</v>
      </c>
    </row>
    <row r="3118" spans="1:15">
      <c r="A3118" s="1">
        <v>45273</v>
      </c>
      <c r="B3118" t="s">
        <v>24</v>
      </c>
      <c r="C3118" t="s">
        <v>22</v>
      </c>
      <c r="D3118">
        <v>1</v>
      </c>
      <c r="E3118" t="s">
        <v>9</v>
      </c>
      <c r="F3118">
        <v>60000</v>
      </c>
      <c r="G3118">
        <v>31000</v>
      </c>
      <c r="H3118">
        <f>Table1[[#This Row],[Qty]]*Table1[[#This Row],[SellingPrice]]</f>
        <v>60000</v>
      </c>
      <c r="I3118">
        <f>Table1[[#This Row],[Qty]]*Table1[[#This Row],[CostPrice]]</f>
        <v>31000</v>
      </c>
      <c r="J3118">
        <v>28797</v>
      </c>
      <c r="K3118">
        <v>202.99999999999997</v>
      </c>
      <c r="L3118" t="s">
        <v>12</v>
      </c>
      <c r="M3118" t="s">
        <v>27</v>
      </c>
      <c r="N3118">
        <f>MONTH(Table1[[#This Row],[SaleDate]])</f>
        <v>12</v>
      </c>
      <c r="O3118" t="str">
        <f>TEXT(Table1[[#This Row],[SaleDate]],"MMM")</f>
        <v>Dec</v>
      </c>
    </row>
    <row r="3119" spans="1:15">
      <c r="A3119" s="1">
        <v>45273</v>
      </c>
      <c r="B3119" t="s">
        <v>24</v>
      </c>
      <c r="C3119" t="s">
        <v>22</v>
      </c>
      <c r="D3119">
        <v>1</v>
      </c>
      <c r="E3119" t="s">
        <v>10</v>
      </c>
      <c r="F3119">
        <v>89000</v>
      </c>
      <c r="G3119">
        <v>65000</v>
      </c>
      <c r="H3119">
        <f>Table1[[#This Row],[Qty]]*Table1[[#This Row],[SellingPrice]]</f>
        <v>89000</v>
      </c>
      <c r="I3119">
        <f>Table1[[#This Row],[Qty]]*Table1[[#This Row],[CostPrice]]</f>
        <v>65000</v>
      </c>
      <c r="J3119">
        <v>23832</v>
      </c>
      <c r="K3119">
        <v>167.99999999999997</v>
      </c>
      <c r="L3119" t="s">
        <v>12</v>
      </c>
      <c r="M3119" t="s">
        <v>30</v>
      </c>
      <c r="N3119">
        <f>MONTH(Table1[[#This Row],[SaleDate]])</f>
        <v>12</v>
      </c>
      <c r="O3119" t="str">
        <f>TEXT(Table1[[#This Row],[SaleDate]],"MMM")</f>
        <v>Dec</v>
      </c>
    </row>
    <row r="3120" spans="1:15">
      <c r="A3120" s="1">
        <v>45273</v>
      </c>
      <c r="B3120" t="s">
        <v>25</v>
      </c>
      <c r="C3120" t="s">
        <v>21</v>
      </c>
      <c r="D3120">
        <v>1</v>
      </c>
      <c r="E3120" t="s">
        <v>7</v>
      </c>
      <c r="F3120">
        <v>33000</v>
      </c>
      <c r="G3120">
        <v>18000</v>
      </c>
      <c r="H3120">
        <f>Table1[[#This Row],[Qty]]*Table1[[#This Row],[SellingPrice]]</f>
        <v>33000</v>
      </c>
      <c r="I3120">
        <f>Table1[[#This Row],[Qty]]*Table1[[#This Row],[CostPrice]]</f>
        <v>18000</v>
      </c>
      <c r="J3120">
        <v>14895</v>
      </c>
      <c r="K3120">
        <v>104.99999999999999</v>
      </c>
      <c r="L3120" t="s">
        <v>13</v>
      </c>
      <c r="M3120" t="s">
        <v>30</v>
      </c>
      <c r="N3120">
        <f>MONTH(Table1[[#This Row],[SaleDate]])</f>
        <v>12</v>
      </c>
      <c r="O3120" t="str">
        <f>TEXT(Table1[[#This Row],[SaleDate]],"MMM")</f>
        <v>Dec</v>
      </c>
    </row>
    <row r="3121" spans="1:15">
      <c r="A3121" s="1">
        <v>45273</v>
      </c>
      <c r="B3121" t="s">
        <v>25</v>
      </c>
      <c r="C3121" t="s">
        <v>21</v>
      </c>
      <c r="D3121">
        <v>1</v>
      </c>
      <c r="E3121" t="s">
        <v>9</v>
      </c>
      <c r="F3121">
        <v>60000</v>
      </c>
      <c r="G3121">
        <v>31000</v>
      </c>
      <c r="H3121">
        <f>Table1[[#This Row],[Qty]]*Table1[[#This Row],[SellingPrice]]</f>
        <v>60000</v>
      </c>
      <c r="I3121">
        <f>Table1[[#This Row],[Qty]]*Table1[[#This Row],[CostPrice]]</f>
        <v>31000</v>
      </c>
      <c r="J3121">
        <v>28797</v>
      </c>
      <c r="K3121">
        <v>202.99999999999997</v>
      </c>
      <c r="L3121" t="s">
        <v>13</v>
      </c>
      <c r="M3121" t="s">
        <v>29</v>
      </c>
      <c r="N3121">
        <f>MONTH(Table1[[#This Row],[SaleDate]])</f>
        <v>12</v>
      </c>
      <c r="O3121" t="str">
        <f>TEXT(Table1[[#This Row],[SaleDate]],"MMM")</f>
        <v>Dec</v>
      </c>
    </row>
    <row r="3122" spans="1:15">
      <c r="A3122" s="1">
        <v>45273</v>
      </c>
      <c r="B3122" t="s">
        <v>25</v>
      </c>
      <c r="C3122" t="s">
        <v>21</v>
      </c>
      <c r="D3122">
        <v>1</v>
      </c>
      <c r="E3122" t="s">
        <v>10</v>
      </c>
      <c r="F3122">
        <v>89000</v>
      </c>
      <c r="G3122">
        <v>65000</v>
      </c>
      <c r="H3122">
        <f>Table1[[#This Row],[Qty]]*Table1[[#This Row],[SellingPrice]]</f>
        <v>89000</v>
      </c>
      <c r="I3122">
        <f>Table1[[#This Row],[Qty]]*Table1[[#This Row],[CostPrice]]</f>
        <v>65000</v>
      </c>
      <c r="J3122">
        <v>23832</v>
      </c>
      <c r="K3122">
        <v>167.99999999999997</v>
      </c>
      <c r="L3122" t="s">
        <v>13</v>
      </c>
      <c r="M3122" t="s">
        <v>29</v>
      </c>
      <c r="N3122">
        <f>MONTH(Table1[[#This Row],[SaleDate]])</f>
        <v>12</v>
      </c>
      <c r="O3122" t="str">
        <f>TEXT(Table1[[#This Row],[SaleDate]],"MMM")</f>
        <v>Dec</v>
      </c>
    </row>
    <row r="3123" spans="1:15">
      <c r="A3123" s="1">
        <v>45274</v>
      </c>
      <c r="B3123" t="s">
        <v>23</v>
      </c>
      <c r="C3123" t="s">
        <v>19</v>
      </c>
      <c r="D3123">
        <v>2</v>
      </c>
      <c r="E3123" t="s">
        <v>7</v>
      </c>
      <c r="F3123">
        <v>33000</v>
      </c>
      <c r="G3123">
        <v>18000</v>
      </c>
      <c r="H3123">
        <f>Table1[[#This Row],[Qty]]*Table1[[#This Row],[SellingPrice]]</f>
        <v>66000</v>
      </c>
      <c r="I3123">
        <f>Table1[[#This Row],[Qty]]*Table1[[#This Row],[CostPrice]]</f>
        <v>36000</v>
      </c>
      <c r="J3123">
        <v>29790</v>
      </c>
      <c r="K3123">
        <v>209.99999999999997</v>
      </c>
      <c r="L3123" t="s">
        <v>8</v>
      </c>
      <c r="M3123" t="s">
        <v>29</v>
      </c>
      <c r="N3123">
        <f>MONTH(Table1[[#This Row],[SaleDate]])</f>
        <v>12</v>
      </c>
      <c r="O3123" t="str">
        <f>TEXT(Table1[[#This Row],[SaleDate]],"MMM")</f>
        <v>Dec</v>
      </c>
    </row>
    <row r="3124" spans="1:15">
      <c r="A3124" s="1">
        <v>45274</v>
      </c>
      <c r="B3124" t="s">
        <v>23</v>
      </c>
      <c r="C3124" t="s">
        <v>19</v>
      </c>
      <c r="D3124">
        <v>2</v>
      </c>
      <c r="E3124" t="s">
        <v>9</v>
      </c>
      <c r="F3124">
        <v>60000</v>
      </c>
      <c r="G3124">
        <v>31000</v>
      </c>
      <c r="H3124">
        <f>Table1[[#This Row],[Qty]]*Table1[[#This Row],[SellingPrice]]</f>
        <v>120000</v>
      </c>
      <c r="I3124">
        <f>Table1[[#This Row],[Qty]]*Table1[[#This Row],[CostPrice]]</f>
        <v>62000</v>
      </c>
      <c r="J3124">
        <v>57594</v>
      </c>
      <c r="K3124">
        <v>405.99999999999994</v>
      </c>
      <c r="L3124" t="s">
        <v>8</v>
      </c>
      <c r="M3124" t="s">
        <v>29</v>
      </c>
      <c r="N3124">
        <f>MONTH(Table1[[#This Row],[SaleDate]])</f>
        <v>12</v>
      </c>
      <c r="O3124" t="str">
        <f>TEXT(Table1[[#This Row],[SaleDate]],"MMM")</f>
        <v>Dec</v>
      </c>
    </row>
    <row r="3125" spans="1:15">
      <c r="A3125" s="1">
        <v>45274</v>
      </c>
      <c r="B3125" t="s">
        <v>23</v>
      </c>
      <c r="C3125" t="s">
        <v>19</v>
      </c>
      <c r="D3125">
        <v>2</v>
      </c>
      <c r="E3125" t="s">
        <v>10</v>
      </c>
      <c r="F3125">
        <v>89000</v>
      </c>
      <c r="G3125">
        <v>65000</v>
      </c>
      <c r="H3125">
        <f>Table1[[#This Row],[Qty]]*Table1[[#This Row],[SellingPrice]]</f>
        <v>178000</v>
      </c>
      <c r="I3125">
        <f>Table1[[#This Row],[Qty]]*Table1[[#This Row],[CostPrice]]</f>
        <v>130000</v>
      </c>
      <c r="J3125">
        <v>47664</v>
      </c>
      <c r="K3125">
        <v>335.99999999999994</v>
      </c>
      <c r="L3125" t="s">
        <v>8</v>
      </c>
      <c r="M3125" t="s">
        <v>30</v>
      </c>
      <c r="N3125">
        <f>MONTH(Table1[[#This Row],[SaleDate]])</f>
        <v>12</v>
      </c>
      <c r="O3125" t="str">
        <f>TEXT(Table1[[#This Row],[SaleDate]],"MMM")</f>
        <v>Dec</v>
      </c>
    </row>
    <row r="3126" spans="1:15">
      <c r="A3126" s="1">
        <v>45274</v>
      </c>
      <c r="B3126" t="s">
        <v>24</v>
      </c>
      <c r="C3126" t="s">
        <v>22</v>
      </c>
      <c r="D3126">
        <v>2</v>
      </c>
      <c r="E3126" t="s">
        <v>7</v>
      </c>
      <c r="F3126">
        <v>33000</v>
      </c>
      <c r="G3126">
        <v>18000</v>
      </c>
      <c r="H3126">
        <f>Table1[[#This Row],[Qty]]*Table1[[#This Row],[SellingPrice]]</f>
        <v>66000</v>
      </c>
      <c r="I3126">
        <f>Table1[[#This Row],[Qty]]*Table1[[#This Row],[CostPrice]]</f>
        <v>36000</v>
      </c>
      <c r="J3126">
        <v>29790</v>
      </c>
      <c r="K3126">
        <v>209.99999999999997</v>
      </c>
      <c r="L3126" t="s">
        <v>12</v>
      </c>
      <c r="M3126" t="s">
        <v>30</v>
      </c>
      <c r="N3126">
        <f>MONTH(Table1[[#This Row],[SaleDate]])</f>
        <v>12</v>
      </c>
      <c r="O3126" t="str">
        <f>TEXT(Table1[[#This Row],[SaleDate]],"MMM")</f>
        <v>Dec</v>
      </c>
    </row>
    <row r="3127" spans="1:15">
      <c r="A3127" s="1">
        <v>45274</v>
      </c>
      <c r="B3127" t="s">
        <v>24</v>
      </c>
      <c r="C3127" t="s">
        <v>22</v>
      </c>
      <c r="D3127">
        <v>2</v>
      </c>
      <c r="E3127" t="s">
        <v>9</v>
      </c>
      <c r="F3127">
        <v>60000</v>
      </c>
      <c r="G3127">
        <v>31000</v>
      </c>
      <c r="H3127">
        <f>Table1[[#This Row],[Qty]]*Table1[[#This Row],[SellingPrice]]</f>
        <v>120000</v>
      </c>
      <c r="I3127">
        <f>Table1[[#This Row],[Qty]]*Table1[[#This Row],[CostPrice]]</f>
        <v>62000</v>
      </c>
      <c r="J3127">
        <v>57594</v>
      </c>
      <c r="K3127">
        <v>405.99999999999994</v>
      </c>
      <c r="L3127" t="s">
        <v>12</v>
      </c>
      <c r="M3127" t="s">
        <v>29</v>
      </c>
      <c r="N3127">
        <f>MONTH(Table1[[#This Row],[SaleDate]])</f>
        <v>12</v>
      </c>
      <c r="O3127" t="str">
        <f>TEXT(Table1[[#This Row],[SaleDate]],"MMM")</f>
        <v>Dec</v>
      </c>
    </row>
    <row r="3128" spans="1:15">
      <c r="A3128" s="1">
        <v>45274</v>
      </c>
      <c r="B3128" t="s">
        <v>24</v>
      </c>
      <c r="C3128" t="s">
        <v>22</v>
      </c>
      <c r="D3128">
        <v>2</v>
      </c>
      <c r="E3128" t="s">
        <v>10</v>
      </c>
      <c r="F3128">
        <v>89000</v>
      </c>
      <c r="G3128">
        <v>65000</v>
      </c>
      <c r="H3128">
        <f>Table1[[#This Row],[Qty]]*Table1[[#This Row],[SellingPrice]]</f>
        <v>178000</v>
      </c>
      <c r="I3128">
        <f>Table1[[#This Row],[Qty]]*Table1[[#This Row],[CostPrice]]</f>
        <v>130000</v>
      </c>
      <c r="J3128">
        <v>47664</v>
      </c>
      <c r="K3128">
        <v>335.99999999999994</v>
      </c>
      <c r="L3128" t="s">
        <v>12</v>
      </c>
      <c r="M3128" t="s">
        <v>28</v>
      </c>
      <c r="N3128">
        <f>MONTH(Table1[[#This Row],[SaleDate]])</f>
        <v>12</v>
      </c>
      <c r="O3128" t="str">
        <f>TEXT(Table1[[#This Row],[SaleDate]],"MMM")</f>
        <v>Dec</v>
      </c>
    </row>
    <row r="3129" spans="1:15">
      <c r="A3129" s="1">
        <v>45274</v>
      </c>
      <c r="B3129" t="s">
        <v>25</v>
      </c>
      <c r="C3129" t="s">
        <v>21</v>
      </c>
      <c r="D3129">
        <v>2</v>
      </c>
      <c r="E3129" t="s">
        <v>7</v>
      </c>
      <c r="F3129">
        <v>33000</v>
      </c>
      <c r="G3129">
        <v>18000</v>
      </c>
      <c r="H3129">
        <f>Table1[[#This Row],[Qty]]*Table1[[#This Row],[SellingPrice]]</f>
        <v>66000</v>
      </c>
      <c r="I3129">
        <f>Table1[[#This Row],[Qty]]*Table1[[#This Row],[CostPrice]]</f>
        <v>36000</v>
      </c>
      <c r="J3129">
        <v>29790</v>
      </c>
      <c r="K3129">
        <v>209.99999999999997</v>
      </c>
      <c r="L3129" t="s">
        <v>13</v>
      </c>
      <c r="M3129" t="s">
        <v>29</v>
      </c>
      <c r="N3129">
        <f>MONTH(Table1[[#This Row],[SaleDate]])</f>
        <v>12</v>
      </c>
      <c r="O3129" t="str">
        <f>TEXT(Table1[[#This Row],[SaleDate]],"MMM")</f>
        <v>Dec</v>
      </c>
    </row>
    <row r="3130" spans="1:15">
      <c r="A3130" s="1">
        <v>45274</v>
      </c>
      <c r="B3130" t="s">
        <v>25</v>
      </c>
      <c r="C3130" t="s">
        <v>21</v>
      </c>
      <c r="D3130">
        <v>2</v>
      </c>
      <c r="E3130" t="s">
        <v>9</v>
      </c>
      <c r="F3130">
        <v>60000</v>
      </c>
      <c r="G3130">
        <v>31000</v>
      </c>
      <c r="H3130">
        <f>Table1[[#This Row],[Qty]]*Table1[[#This Row],[SellingPrice]]</f>
        <v>120000</v>
      </c>
      <c r="I3130">
        <f>Table1[[#This Row],[Qty]]*Table1[[#This Row],[CostPrice]]</f>
        <v>62000</v>
      </c>
      <c r="J3130">
        <v>57594</v>
      </c>
      <c r="K3130">
        <v>405.99999999999994</v>
      </c>
      <c r="L3130" t="s">
        <v>13</v>
      </c>
      <c r="M3130" t="s">
        <v>29</v>
      </c>
      <c r="N3130">
        <f>MONTH(Table1[[#This Row],[SaleDate]])</f>
        <v>12</v>
      </c>
      <c r="O3130" t="str">
        <f>TEXT(Table1[[#This Row],[SaleDate]],"MMM")</f>
        <v>Dec</v>
      </c>
    </row>
    <row r="3131" spans="1:15">
      <c r="A3131" s="1">
        <v>45274</v>
      </c>
      <c r="B3131" t="s">
        <v>25</v>
      </c>
      <c r="C3131" t="s">
        <v>21</v>
      </c>
      <c r="D3131">
        <v>2</v>
      </c>
      <c r="E3131" t="s">
        <v>10</v>
      </c>
      <c r="F3131">
        <v>89000</v>
      </c>
      <c r="G3131">
        <v>65000</v>
      </c>
      <c r="H3131">
        <f>Table1[[#This Row],[Qty]]*Table1[[#This Row],[SellingPrice]]</f>
        <v>178000</v>
      </c>
      <c r="I3131">
        <f>Table1[[#This Row],[Qty]]*Table1[[#This Row],[CostPrice]]</f>
        <v>130000</v>
      </c>
      <c r="J3131">
        <v>47664</v>
      </c>
      <c r="K3131">
        <v>335.99999999999994</v>
      </c>
      <c r="L3131" t="s">
        <v>13</v>
      </c>
      <c r="M3131" t="s">
        <v>29</v>
      </c>
      <c r="N3131">
        <f>MONTH(Table1[[#This Row],[SaleDate]])</f>
        <v>12</v>
      </c>
      <c r="O3131" t="str">
        <f>TEXT(Table1[[#This Row],[SaleDate]],"MMM")</f>
        <v>Dec</v>
      </c>
    </row>
    <row r="3132" spans="1:15">
      <c r="A3132" s="1">
        <v>45275</v>
      </c>
      <c r="B3132" t="s">
        <v>23</v>
      </c>
      <c r="C3132" t="s">
        <v>19</v>
      </c>
      <c r="D3132">
        <v>1</v>
      </c>
      <c r="E3132" t="s">
        <v>7</v>
      </c>
      <c r="F3132">
        <v>33000</v>
      </c>
      <c r="G3132">
        <v>18000</v>
      </c>
      <c r="H3132">
        <f>Table1[[#This Row],[Qty]]*Table1[[#This Row],[SellingPrice]]</f>
        <v>33000</v>
      </c>
      <c r="I3132">
        <f>Table1[[#This Row],[Qty]]*Table1[[#This Row],[CostPrice]]</f>
        <v>18000</v>
      </c>
      <c r="J3132">
        <v>14895</v>
      </c>
      <c r="K3132">
        <v>104.99999999999999</v>
      </c>
      <c r="L3132" t="s">
        <v>8</v>
      </c>
      <c r="M3132" t="s">
        <v>30</v>
      </c>
      <c r="N3132">
        <f>MONTH(Table1[[#This Row],[SaleDate]])</f>
        <v>12</v>
      </c>
      <c r="O3132" t="str">
        <f>TEXT(Table1[[#This Row],[SaleDate]],"MMM")</f>
        <v>Dec</v>
      </c>
    </row>
    <row r="3133" spans="1:15">
      <c r="A3133" s="1">
        <v>45275</v>
      </c>
      <c r="B3133" t="s">
        <v>23</v>
      </c>
      <c r="C3133" t="s">
        <v>19</v>
      </c>
      <c r="D3133">
        <v>1</v>
      </c>
      <c r="E3133" t="s">
        <v>9</v>
      </c>
      <c r="F3133">
        <v>60000</v>
      </c>
      <c r="G3133">
        <v>31000</v>
      </c>
      <c r="H3133">
        <f>Table1[[#This Row],[Qty]]*Table1[[#This Row],[SellingPrice]]</f>
        <v>60000</v>
      </c>
      <c r="I3133">
        <f>Table1[[#This Row],[Qty]]*Table1[[#This Row],[CostPrice]]</f>
        <v>31000</v>
      </c>
      <c r="J3133">
        <v>28797</v>
      </c>
      <c r="K3133">
        <v>202.99999999999997</v>
      </c>
      <c r="L3133" t="s">
        <v>8</v>
      </c>
      <c r="M3133" t="s">
        <v>29</v>
      </c>
      <c r="N3133">
        <f>MONTH(Table1[[#This Row],[SaleDate]])</f>
        <v>12</v>
      </c>
      <c r="O3133" t="str">
        <f>TEXT(Table1[[#This Row],[SaleDate]],"MMM")</f>
        <v>Dec</v>
      </c>
    </row>
    <row r="3134" spans="1:15">
      <c r="A3134" s="1">
        <v>45275</v>
      </c>
      <c r="B3134" t="s">
        <v>23</v>
      </c>
      <c r="C3134" t="s">
        <v>19</v>
      </c>
      <c r="D3134">
        <v>1</v>
      </c>
      <c r="E3134" t="s">
        <v>10</v>
      </c>
      <c r="F3134">
        <v>89000</v>
      </c>
      <c r="G3134">
        <v>65000</v>
      </c>
      <c r="H3134">
        <f>Table1[[#This Row],[Qty]]*Table1[[#This Row],[SellingPrice]]</f>
        <v>89000</v>
      </c>
      <c r="I3134">
        <f>Table1[[#This Row],[Qty]]*Table1[[#This Row],[CostPrice]]</f>
        <v>65000</v>
      </c>
      <c r="J3134">
        <v>23832</v>
      </c>
      <c r="K3134">
        <v>167.99999999999997</v>
      </c>
      <c r="L3134" t="s">
        <v>8</v>
      </c>
      <c r="M3134" t="s">
        <v>30</v>
      </c>
      <c r="N3134">
        <f>MONTH(Table1[[#This Row],[SaleDate]])</f>
        <v>12</v>
      </c>
      <c r="O3134" t="str">
        <f>TEXT(Table1[[#This Row],[SaleDate]],"MMM")</f>
        <v>Dec</v>
      </c>
    </row>
    <row r="3135" spans="1:15">
      <c r="A3135" s="1">
        <v>45275</v>
      </c>
      <c r="B3135" t="s">
        <v>24</v>
      </c>
      <c r="C3135" t="s">
        <v>22</v>
      </c>
      <c r="D3135">
        <v>1</v>
      </c>
      <c r="E3135" t="s">
        <v>7</v>
      </c>
      <c r="F3135">
        <v>33000</v>
      </c>
      <c r="G3135">
        <v>18000</v>
      </c>
      <c r="H3135">
        <f>Table1[[#This Row],[Qty]]*Table1[[#This Row],[SellingPrice]]</f>
        <v>33000</v>
      </c>
      <c r="I3135">
        <f>Table1[[#This Row],[Qty]]*Table1[[#This Row],[CostPrice]]</f>
        <v>18000</v>
      </c>
      <c r="J3135">
        <v>14895</v>
      </c>
      <c r="K3135">
        <v>104.99999999999999</v>
      </c>
      <c r="L3135" t="s">
        <v>12</v>
      </c>
      <c r="M3135" t="s">
        <v>28</v>
      </c>
      <c r="N3135">
        <f>MONTH(Table1[[#This Row],[SaleDate]])</f>
        <v>12</v>
      </c>
      <c r="O3135" t="str">
        <f>TEXT(Table1[[#This Row],[SaleDate]],"MMM")</f>
        <v>Dec</v>
      </c>
    </row>
    <row r="3136" spans="1:15">
      <c r="A3136" s="1">
        <v>45275</v>
      </c>
      <c r="B3136" t="s">
        <v>24</v>
      </c>
      <c r="C3136" t="s">
        <v>22</v>
      </c>
      <c r="D3136">
        <v>1</v>
      </c>
      <c r="E3136" t="s">
        <v>9</v>
      </c>
      <c r="F3136">
        <v>60000</v>
      </c>
      <c r="G3136">
        <v>31000</v>
      </c>
      <c r="H3136">
        <f>Table1[[#This Row],[Qty]]*Table1[[#This Row],[SellingPrice]]</f>
        <v>60000</v>
      </c>
      <c r="I3136">
        <f>Table1[[#This Row],[Qty]]*Table1[[#This Row],[CostPrice]]</f>
        <v>31000</v>
      </c>
      <c r="J3136">
        <v>28797</v>
      </c>
      <c r="K3136">
        <v>202.99999999999997</v>
      </c>
      <c r="L3136" t="s">
        <v>12</v>
      </c>
      <c r="M3136" t="s">
        <v>30</v>
      </c>
      <c r="N3136">
        <f>MONTH(Table1[[#This Row],[SaleDate]])</f>
        <v>12</v>
      </c>
      <c r="O3136" t="str">
        <f>TEXT(Table1[[#This Row],[SaleDate]],"MMM")</f>
        <v>Dec</v>
      </c>
    </row>
    <row r="3137" spans="1:15">
      <c r="A3137" s="1">
        <v>45275</v>
      </c>
      <c r="B3137" t="s">
        <v>24</v>
      </c>
      <c r="C3137" t="s">
        <v>22</v>
      </c>
      <c r="D3137">
        <v>1</v>
      </c>
      <c r="E3137" t="s">
        <v>10</v>
      </c>
      <c r="F3137">
        <v>89000</v>
      </c>
      <c r="G3137">
        <v>65000</v>
      </c>
      <c r="H3137">
        <f>Table1[[#This Row],[Qty]]*Table1[[#This Row],[SellingPrice]]</f>
        <v>89000</v>
      </c>
      <c r="I3137">
        <f>Table1[[#This Row],[Qty]]*Table1[[#This Row],[CostPrice]]</f>
        <v>65000</v>
      </c>
      <c r="J3137">
        <v>23832</v>
      </c>
      <c r="K3137">
        <v>167.99999999999997</v>
      </c>
      <c r="L3137" t="s">
        <v>12</v>
      </c>
      <c r="M3137" t="s">
        <v>29</v>
      </c>
      <c r="N3137">
        <f>MONTH(Table1[[#This Row],[SaleDate]])</f>
        <v>12</v>
      </c>
      <c r="O3137" t="str">
        <f>TEXT(Table1[[#This Row],[SaleDate]],"MMM")</f>
        <v>Dec</v>
      </c>
    </row>
    <row r="3138" spans="1:15">
      <c r="A3138" s="1">
        <v>45275</v>
      </c>
      <c r="B3138" t="s">
        <v>25</v>
      </c>
      <c r="C3138" t="s">
        <v>21</v>
      </c>
      <c r="D3138">
        <v>1</v>
      </c>
      <c r="E3138" t="s">
        <v>7</v>
      </c>
      <c r="F3138">
        <v>33000</v>
      </c>
      <c r="G3138">
        <v>18000</v>
      </c>
      <c r="H3138">
        <f>Table1[[#This Row],[Qty]]*Table1[[#This Row],[SellingPrice]]</f>
        <v>33000</v>
      </c>
      <c r="I3138">
        <f>Table1[[#This Row],[Qty]]*Table1[[#This Row],[CostPrice]]</f>
        <v>18000</v>
      </c>
      <c r="J3138">
        <v>14895</v>
      </c>
      <c r="K3138">
        <v>104.99999999999999</v>
      </c>
      <c r="L3138" t="s">
        <v>13</v>
      </c>
      <c r="M3138" t="s">
        <v>29</v>
      </c>
      <c r="N3138">
        <f>MONTH(Table1[[#This Row],[SaleDate]])</f>
        <v>12</v>
      </c>
      <c r="O3138" t="str">
        <f>TEXT(Table1[[#This Row],[SaleDate]],"MMM")</f>
        <v>Dec</v>
      </c>
    </row>
    <row r="3139" spans="1:15">
      <c r="A3139" s="1">
        <v>45275</v>
      </c>
      <c r="B3139" t="s">
        <v>25</v>
      </c>
      <c r="C3139" t="s">
        <v>21</v>
      </c>
      <c r="D3139">
        <v>1</v>
      </c>
      <c r="E3139" t="s">
        <v>9</v>
      </c>
      <c r="F3139">
        <v>60000</v>
      </c>
      <c r="G3139">
        <v>31000</v>
      </c>
      <c r="H3139">
        <f>Table1[[#This Row],[Qty]]*Table1[[#This Row],[SellingPrice]]</f>
        <v>60000</v>
      </c>
      <c r="I3139">
        <f>Table1[[#This Row],[Qty]]*Table1[[#This Row],[CostPrice]]</f>
        <v>31000</v>
      </c>
      <c r="J3139">
        <v>28797</v>
      </c>
      <c r="K3139">
        <v>202.99999999999997</v>
      </c>
      <c r="L3139" t="s">
        <v>13</v>
      </c>
      <c r="M3139" t="s">
        <v>29</v>
      </c>
      <c r="N3139">
        <f>MONTH(Table1[[#This Row],[SaleDate]])</f>
        <v>12</v>
      </c>
      <c r="O3139" t="str">
        <f>TEXT(Table1[[#This Row],[SaleDate]],"MMM")</f>
        <v>Dec</v>
      </c>
    </row>
    <row r="3140" spans="1:15">
      <c r="A3140" s="1">
        <v>45275</v>
      </c>
      <c r="B3140" t="s">
        <v>25</v>
      </c>
      <c r="C3140" t="s">
        <v>21</v>
      </c>
      <c r="D3140">
        <v>1</v>
      </c>
      <c r="E3140" t="s">
        <v>10</v>
      </c>
      <c r="F3140">
        <v>89000</v>
      </c>
      <c r="G3140">
        <v>65000</v>
      </c>
      <c r="H3140">
        <f>Table1[[#This Row],[Qty]]*Table1[[#This Row],[SellingPrice]]</f>
        <v>89000</v>
      </c>
      <c r="I3140">
        <f>Table1[[#This Row],[Qty]]*Table1[[#This Row],[CostPrice]]</f>
        <v>65000</v>
      </c>
      <c r="J3140">
        <v>23832</v>
      </c>
      <c r="K3140">
        <v>167.99999999999997</v>
      </c>
      <c r="L3140" t="s">
        <v>13</v>
      </c>
      <c r="M3140" t="s">
        <v>29</v>
      </c>
      <c r="N3140">
        <f>MONTH(Table1[[#This Row],[SaleDate]])</f>
        <v>12</v>
      </c>
      <c r="O3140" t="str">
        <f>TEXT(Table1[[#This Row],[SaleDate]],"MMM")</f>
        <v>Dec</v>
      </c>
    </row>
    <row r="3141" spans="1:15">
      <c r="A3141" s="1">
        <v>45276</v>
      </c>
      <c r="B3141" t="s">
        <v>23</v>
      </c>
      <c r="C3141" t="s">
        <v>19</v>
      </c>
      <c r="D3141">
        <v>1</v>
      </c>
      <c r="E3141" t="s">
        <v>7</v>
      </c>
      <c r="F3141">
        <v>33000</v>
      </c>
      <c r="G3141">
        <v>18000</v>
      </c>
      <c r="H3141">
        <f>Table1[[#This Row],[Qty]]*Table1[[#This Row],[SellingPrice]]</f>
        <v>33000</v>
      </c>
      <c r="I3141">
        <f>Table1[[#This Row],[Qty]]*Table1[[#This Row],[CostPrice]]</f>
        <v>18000</v>
      </c>
      <c r="J3141">
        <v>14895</v>
      </c>
      <c r="K3141">
        <v>104.99999999999999</v>
      </c>
      <c r="L3141" t="s">
        <v>8</v>
      </c>
      <c r="M3141" t="s">
        <v>29</v>
      </c>
      <c r="N3141">
        <f>MONTH(Table1[[#This Row],[SaleDate]])</f>
        <v>12</v>
      </c>
      <c r="O3141" t="str">
        <f>TEXT(Table1[[#This Row],[SaleDate]],"MMM")</f>
        <v>Dec</v>
      </c>
    </row>
    <row r="3142" spans="1:15">
      <c r="A3142" s="1">
        <v>45276</v>
      </c>
      <c r="B3142" t="s">
        <v>23</v>
      </c>
      <c r="C3142" t="s">
        <v>19</v>
      </c>
      <c r="D3142">
        <v>1</v>
      </c>
      <c r="E3142" t="s">
        <v>9</v>
      </c>
      <c r="F3142">
        <v>60000</v>
      </c>
      <c r="G3142">
        <v>31000</v>
      </c>
      <c r="H3142">
        <f>Table1[[#This Row],[Qty]]*Table1[[#This Row],[SellingPrice]]</f>
        <v>60000</v>
      </c>
      <c r="I3142">
        <f>Table1[[#This Row],[Qty]]*Table1[[#This Row],[CostPrice]]</f>
        <v>31000</v>
      </c>
      <c r="J3142">
        <v>28797</v>
      </c>
      <c r="K3142">
        <v>202.99999999999997</v>
      </c>
      <c r="L3142" t="s">
        <v>8</v>
      </c>
      <c r="M3142" t="s">
        <v>30</v>
      </c>
      <c r="N3142">
        <f>MONTH(Table1[[#This Row],[SaleDate]])</f>
        <v>12</v>
      </c>
      <c r="O3142" t="str">
        <f>TEXT(Table1[[#This Row],[SaleDate]],"MMM")</f>
        <v>Dec</v>
      </c>
    </row>
    <row r="3143" spans="1:15">
      <c r="A3143" s="1">
        <v>45276</v>
      </c>
      <c r="B3143" t="s">
        <v>23</v>
      </c>
      <c r="C3143" t="s">
        <v>19</v>
      </c>
      <c r="D3143">
        <v>1</v>
      </c>
      <c r="E3143" t="s">
        <v>10</v>
      </c>
      <c r="F3143">
        <v>89000</v>
      </c>
      <c r="G3143">
        <v>65000</v>
      </c>
      <c r="H3143">
        <f>Table1[[#This Row],[Qty]]*Table1[[#This Row],[SellingPrice]]</f>
        <v>89000</v>
      </c>
      <c r="I3143">
        <f>Table1[[#This Row],[Qty]]*Table1[[#This Row],[CostPrice]]</f>
        <v>65000</v>
      </c>
      <c r="J3143">
        <v>23832</v>
      </c>
      <c r="K3143">
        <v>167.99999999999997</v>
      </c>
      <c r="L3143" t="s">
        <v>8</v>
      </c>
      <c r="M3143" t="s">
        <v>28</v>
      </c>
      <c r="N3143">
        <f>MONTH(Table1[[#This Row],[SaleDate]])</f>
        <v>12</v>
      </c>
      <c r="O3143" t="str">
        <f>TEXT(Table1[[#This Row],[SaleDate]],"MMM")</f>
        <v>Dec</v>
      </c>
    </row>
    <row r="3144" spans="1:15">
      <c r="A3144" s="1">
        <v>45276</v>
      </c>
      <c r="B3144" t="s">
        <v>24</v>
      </c>
      <c r="C3144" t="s">
        <v>22</v>
      </c>
      <c r="D3144">
        <v>1</v>
      </c>
      <c r="E3144" t="s">
        <v>7</v>
      </c>
      <c r="F3144">
        <v>33000</v>
      </c>
      <c r="G3144">
        <v>18000</v>
      </c>
      <c r="H3144">
        <f>Table1[[#This Row],[Qty]]*Table1[[#This Row],[SellingPrice]]</f>
        <v>33000</v>
      </c>
      <c r="I3144">
        <f>Table1[[#This Row],[Qty]]*Table1[[#This Row],[CostPrice]]</f>
        <v>18000</v>
      </c>
      <c r="J3144">
        <v>14895</v>
      </c>
      <c r="K3144">
        <v>104.99999999999999</v>
      </c>
      <c r="L3144" t="s">
        <v>12</v>
      </c>
      <c r="M3144" t="s">
        <v>29</v>
      </c>
      <c r="N3144">
        <f>MONTH(Table1[[#This Row],[SaleDate]])</f>
        <v>12</v>
      </c>
      <c r="O3144" t="str">
        <f>TEXT(Table1[[#This Row],[SaleDate]],"MMM")</f>
        <v>Dec</v>
      </c>
    </row>
    <row r="3145" spans="1:15">
      <c r="A3145" s="1">
        <v>45276</v>
      </c>
      <c r="B3145" t="s">
        <v>24</v>
      </c>
      <c r="C3145" t="s">
        <v>22</v>
      </c>
      <c r="D3145">
        <v>1</v>
      </c>
      <c r="E3145" t="s">
        <v>9</v>
      </c>
      <c r="F3145">
        <v>60000</v>
      </c>
      <c r="G3145">
        <v>31000</v>
      </c>
      <c r="H3145">
        <f>Table1[[#This Row],[Qty]]*Table1[[#This Row],[SellingPrice]]</f>
        <v>60000</v>
      </c>
      <c r="I3145">
        <f>Table1[[#This Row],[Qty]]*Table1[[#This Row],[CostPrice]]</f>
        <v>31000</v>
      </c>
      <c r="J3145">
        <v>28797</v>
      </c>
      <c r="K3145">
        <v>202.99999999999997</v>
      </c>
      <c r="L3145" t="s">
        <v>12</v>
      </c>
      <c r="M3145" t="s">
        <v>27</v>
      </c>
      <c r="N3145">
        <f>MONTH(Table1[[#This Row],[SaleDate]])</f>
        <v>12</v>
      </c>
      <c r="O3145" t="str">
        <f>TEXT(Table1[[#This Row],[SaleDate]],"MMM")</f>
        <v>Dec</v>
      </c>
    </row>
    <row r="3146" spans="1:15">
      <c r="A3146" s="1">
        <v>45276</v>
      </c>
      <c r="B3146" t="s">
        <v>24</v>
      </c>
      <c r="C3146" t="s">
        <v>22</v>
      </c>
      <c r="D3146">
        <v>1</v>
      </c>
      <c r="E3146" t="s">
        <v>10</v>
      </c>
      <c r="F3146">
        <v>89000</v>
      </c>
      <c r="G3146">
        <v>65000</v>
      </c>
      <c r="H3146">
        <f>Table1[[#This Row],[Qty]]*Table1[[#This Row],[SellingPrice]]</f>
        <v>89000</v>
      </c>
      <c r="I3146">
        <f>Table1[[#This Row],[Qty]]*Table1[[#This Row],[CostPrice]]</f>
        <v>65000</v>
      </c>
      <c r="J3146">
        <v>23832</v>
      </c>
      <c r="K3146">
        <v>167.99999999999997</v>
      </c>
      <c r="L3146" t="s">
        <v>12</v>
      </c>
      <c r="M3146" t="s">
        <v>29</v>
      </c>
      <c r="N3146">
        <f>MONTH(Table1[[#This Row],[SaleDate]])</f>
        <v>12</v>
      </c>
      <c r="O3146" t="str">
        <f>TEXT(Table1[[#This Row],[SaleDate]],"MMM")</f>
        <v>Dec</v>
      </c>
    </row>
    <row r="3147" spans="1:15">
      <c r="A3147" s="1">
        <v>45276</v>
      </c>
      <c r="B3147" t="s">
        <v>25</v>
      </c>
      <c r="C3147" t="s">
        <v>21</v>
      </c>
      <c r="D3147">
        <v>1</v>
      </c>
      <c r="E3147" t="s">
        <v>7</v>
      </c>
      <c r="F3147">
        <v>33000</v>
      </c>
      <c r="G3147">
        <v>18000</v>
      </c>
      <c r="H3147">
        <f>Table1[[#This Row],[Qty]]*Table1[[#This Row],[SellingPrice]]</f>
        <v>33000</v>
      </c>
      <c r="I3147">
        <f>Table1[[#This Row],[Qty]]*Table1[[#This Row],[CostPrice]]</f>
        <v>18000</v>
      </c>
      <c r="J3147">
        <v>14895</v>
      </c>
      <c r="K3147">
        <v>104.99999999999999</v>
      </c>
      <c r="L3147" t="s">
        <v>13</v>
      </c>
      <c r="M3147" t="s">
        <v>29</v>
      </c>
      <c r="N3147">
        <f>MONTH(Table1[[#This Row],[SaleDate]])</f>
        <v>12</v>
      </c>
      <c r="O3147" t="str">
        <f>TEXT(Table1[[#This Row],[SaleDate]],"MMM")</f>
        <v>Dec</v>
      </c>
    </row>
    <row r="3148" spans="1:15">
      <c r="A3148" s="1">
        <v>45276</v>
      </c>
      <c r="B3148" t="s">
        <v>25</v>
      </c>
      <c r="C3148" t="s">
        <v>21</v>
      </c>
      <c r="D3148">
        <v>1</v>
      </c>
      <c r="E3148" t="s">
        <v>9</v>
      </c>
      <c r="F3148">
        <v>60000</v>
      </c>
      <c r="G3148">
        <v>31000</v>
      </c>
      <c r="H3148">
        <f>Table1[[#This Row],[Qty]]*Table1[[#This Row],[SellingPrice]]</f>
        <v>60000</v>
      </c>
      <c r="I3148">
        <f>Table1[[#This Row],[Qty]]*Table1[[#This Row],[CostPrice]]</f>
        <v>31000</v>
      </c>
      <c r="J3148">
        <v>28797</v>
      </c>
      <c r="K3148">
        <v>202.99999999999997</v>
      </c>
      <c r="L3148" t="s">
        <v>13</v>
      </c>
      <c r="M3148" t="s">
        <v>30</v>
      </c>
      <c r="N3148">
        <f>MONTH(Table1[[#This Row],[SaleDate]])</f>
        <v>12</v>
      </c>
      <c r="O3148" t="str">
        <f>TEXT(Table1[[#This Row],[SaleDate]],"MMM")</f>
        <v>Dec</v>
      </c>
    </row>
    <row r="3149" spans="1:15">
      <c r="A3149" s="1">
        <v>45276</v>
      </c>
      <c r="B3149" t="s">
        <v>25</v>
      </c>
      <c r="C3149" t="s">
        <v>21</v>
      </c>
      <c r="D3149">
        <v>1</v>
      </c>
      <c r="E3149" t="s">
        <v>10</v>
      </c>
      <c r="F3149">
        <v>89000</v>
      </c>
      <c r="G3149">
        <v>65000</v>
      </c>
      <c r="H3149">
        <f>Table1[[#This Row],[Qty]]*Table1[[#This Row],[SellingPrice]]</f>
        <v>89000</v>
      </c>
      <c r="I3149">
        <f>Table1[[#This Row],[Qty]]*Table1[[#This Row],[CostPrice]]</f>
        <v>65000</v>
      </c>
      <c r="J3149">
        <v>23832</v>
      </c>
      <c r="K3149">
        <v>167.99999999999997</v>
      </c>
      <c r="L3149" t="s">
        <v>13</v>
      </c>
      <c r="M3149" t="s">
        <v>28</v>
      </c>
      <c r="N3149">
        <f>MONTH(Table1[[#This Row],[SaleDate]])</f>
        <v>12</v>
      </c>
      <c r="O3149" t="str">
        <f>TEXT(Table1[[#This Row],[SaleDate]],"MMM")</f>
        <v>Dec</v>
      </c>
    </row>
    <row r="3150" spans="1:15">
      <c r="A3150" s="1">
        <v>45277</v>
      </c>
      <c r="B3150" t="s">
        <v>23</v>
      </c>
      <c r="C3150" t="s">
        <v>19</v>
      </c>
      <c r="D3150">
        <v>2</v>
      </c>
      <c r="E3150" t="s">
        <v>7</v>
      </c>
      <c r="F3150">
        <v>33000</v>
      </c>
      <c r="G3150">
        <v>18000</v>
      </c>
      <c r="H3150">
        <f>Table1[[#This Row],[Qty]]*Table1[[#This Row],[SellingPrice]]</f>
        <v>66000</v>
      </c>
      <c r="I3150">
        <f>Table1[[#This Row],[Qty]]*Table1[[#This Row],[CostPrice]]</f>
        <v>36000</v>
      </c>
      <c r="J3150">
        <v>29790</v>
      </c>
      <c r="K3150">
        <v>209.99999999999997</v>
      </c>
      <c r="L3150" t="s">
        <v>8</v>
      </c>
      <c r="M3150" t="s">
        <v>29</v>
      </c>
      <c r="N3150">
        <f>MONTH(Table1[[#This Row],[SaleDate]])</f>
        <v>12</v>
      </c>
      <c r="O3150" t="str">
        <f>TEXT(Table1[[#This Row],[SaleDate]],"MMM")</f>
        <v>Dec</v>
      </c>
    </row>
    <row r="3151" spans="1:15">
      <c r="A3151" s="1">
        <v>45277</v>
      </c>
      <c r="B3151" t="s">
        <v>23</v>
      </c>
      <c r="C3151" t="s">
        <v>19</v>
      </c>
      <c r="D3151">
        <v>2</v>
      </c>
      <c r="E3151" t="s">
        <v>9</v>
      </c>
      <c r="F3151">
        <v>60000</v>
      </c>
      <c r="G3151">
        <v>31000</v>
      </c>
      <c r="H3151">
        <f>Table1[[#This Row],[Qty]]*Table1[[#This Row],[SellingPrice]]</f>
        <v>120000</v>
      </c>
      <c r="I3151">
        <f>Table1[[#This Row],[Qty]]*Table1[[#This Row],[CostPrice]]</f>
        <v>62000</v>
      </c>
      <c r="J3151">
        <v>57594</v>
      </c>
      <c r="K3151">
        <v>405.99999999999994</v>
      </c>
      <c r="L3151" t="s">
        <v>8</v>
      </c>
      <c r="M3151" t="s">
        <v>30</v>
      </c>
      <c r="N3151">
        <f>MONTH(Table1[[#This Row],[SaleDate]])</f>
        <v>12</v>
      </c>
      <c r="O3151" t="str">
        <f>TEXT(Table1[[#This Row],[SaleDate]],"MMM")</f>
        <v>Dec</v>
      </c>
    </row>
    <row r="3152" spans="1:15">
      <c r="A3152" s="1">
        <v>45277</v>
      </c>
      <c r="B3152" t="s">
        <v>23</v>
      </c>
      <c r="C3152" t="s">
        <v>19</v>
      </c>
      <c r="D3152">
        <v>2</v>
      </c>
      <c r="E3152" t="s">
        <v>10</v>
      </c>
      <c r="F3152">
        <v>89000</v>
      </c>
      <c r="G3152">
        <v>65000</v>
      </c>
      <c r="H3152">
        <f>Table1[[#This Row],[Qty]]*Table1[[#This Row],[SellingPrice]]</f>
        <v>178000</v>
      </c>
      <c r="I3152">
        <f>Table1[[#This Row],[Qty]]*Table1[[#This Row],[CostPrice]]</f>
        <v>130000</v>
      </c>
      <c r="J3152">
        <v>47664</v>
      </c>
      <c r="K3152">
        <v>335.99999999999994</v>
      </c>
      <c r="L3152" t="s">
        <v>8</v>
      </c>
      <c r="M3152" t="s">
        <v>27</v>
      </c>
      <c r="N3152">
        <f>MONTH(Table1[[#This Row],[SaleDate]])</f>
        <v>12</v>
      </c>
      <c r="O3152" t="str">
        <f>TEXT(Table1[[#This Row],[SaleDate]],"MMM")</f>
        <v>Dec</v>
      </c>
    </row>
    <row r="3153" spans="1:15">
      <c r="A3153" s="1">
        <v>45277</v>
      </c>
      <c r="B3153" t="s">
        <v>24</v>
      </c>
      <c r="C3153" t="s">
        <v>22</v>
      </c>
      <c r="D3153">
        <v>2</v>
      </c>
      <c r="E3153" t="s">
        <v>7</v>
      </c>
      <c r="F3153">
        <v>33000</v>
      </c>
      <c r="G3153">
        <v>18000</v>
      </c>
      <c r="H3153">
        <f>Table1[[#This Row],[Qty]]*Table1[[#This Row],[SellingPrice]]</f>
        <v>66000</v>
      </c>
      <c r="I3153">
        <f>Table1[[#This Row],[Qty]]*Table1[[#This Row],[CostPrice]]</f>
        <v>36000</v>
      </c>
      <c r="J3153">
        <v>29790</v>
      </c>
      <c r="K3153">
        <v>209.99999999999997</v>
      </c>
      <c r="L3153" t="s">
        <v>12</v>
      </c>
      <c r="M3153" t="s">
        <v>29</v>
      </c>
      <c r="N3153">
        <f>MONTH(Table1[[#This Row],[SaleDate]])</f>
        <v>12</v>
      </c>
      <c r="O3153" t="str">
        <f>TEXT(Table1[[#This Row],[SaleDate]],"MMM")</f>
        <v>Dec</v>
      </c>
    </row>
    <row r="3154" spans="1:15">
      <c r="A3154" s="1">
        <v>45277</v>
      </c>
      <c r="B3154" t="s">
        <v>24</v>
      </c>
      <c r="C3154" t="s">
        <v>22</v>
      </c>
      <c r="D3154">
        <v>2</v>
      </c>
      <c r="E3154" t="s">
        <v>9</v>
      </c>
      <c r="F3154">
        <v>60000</v>
      </c>
      <c r="G3154">
        <v>31000</v>
      </c>
      <c r="H3154">
        <f>Table1[[#This Row],[Qty]]*Table1[[#This Row],[SellingPrice]]</f>
        <v>120000</v>
      </c>
      <c r="I3154">
        <f>Table1[[#This Row],[Qty]]*Table1[[#This Row],[CostPrice]]</f>
        <v>62000</v>
      </c>
      <c r="J3154">
        <v>57594</v>
      </c>
      <c r="K3154">
        <v>405.99999999999994</v>
      </c>
      <c r="L3154" t="s">
        <v>12</v>
      </c>
      <c r="M3154" t="s">
        <v>30</v>
      </c>
      <c r="N3154">
        <f>MONTH(Table1[[#This Row],[SaleDate]])</f>
        <v>12</v>
      </c>
      <c r="O3154" t="str">
        <f>TEXT(Table1[[#This Row],[SaleDate]],"MMM")</f>
        <v>Dec</v>
      </c>
    </row>
    <row r="3155" spans="1:15">
      <c r="A3155" s="1">
        <v>45277</v>
      </c>
      <c r="B3155" t="s">
        <v>24</v>
      </c>
      <c r="C3155" t="s">
        <v>22</v>
      </c>
      <c r="D3155">
        <v>2</v>
      </c>
      <c r="E3155" t="s">
        <v>10</v>
      </c>
      <c r="F3155">
        <v>89000</v>
      </c>
      <c r="G3155">
        <v>65000</v>
      </c>
      <c r="H3155">
        <f>Table1[[#This Row],[Qty]]*Table1[[#This Row],[SellingPrice]]</f>
        <v>178000</v>
      </c>
      <c r="I3155">
        <f>Table1[[#This Row],[Qty]]*Table1[[#This Row],[CostPrice]]</f>
        <v>130000</v>
      </c>
      <c r="J3155">
        <v>47664</v>
      </c>
      <c r="K3155">
        <v>335.99999999999994</v>
      </c>
      <c r="L3155" t="s">
        <v>12</v>
      </c>
      <c r="M3155" t="s">
        <v>30</v>
      </c>
      <c r="N3155">
        <f>MONTH(Table1[[#This Row],[SaleDate]])</f>
        <v>12</v>
      </c>
      <c r="O3155" t="str">
        <f>TEXT(Table1[[#This Row],[SaleDate]],"MMM")</f>
        <v>Dec</v>
      </c>
    </row>
    <row r="3156" spans="1:15">
      <c r="A3156" s="1">
        <v>45277</v>
      </c>
      <c r="B3156" t="s">
        <v>25</v>
      </c>
      <c r="C3156" t="s">
        <v>21</v>
      </c>
      <c r="D3156">
        <v>2</v>
      </c>
      <c r="E3156" t="s">
        <v>7</v>
      </c>
      <c r="F3156">
        <v>33000</v>
      </c>
      <c r="G3156">
        <v>18000</v>
      </c>
      <c r="H3156">
        <f>Table1[[#This Row],[Qty]]*Table1[[#This Row],[SellingPrice]]</f>
        <v>66000</v>
      </c>
      <c r="I3156">
        <f>Table1[[#This Row],[Qty]]*Table1[[#This Row],[CostPrice]]</f>
        <v>36000</v>
      </c>
      <c r="J3156">
        <v>29790</v>
      </c>
      <c r="K3156">
        <v>209.99999999999997</v>
      </c>
      <c r="L3156" t="s">
        <v>13</v>
      </c>
      <c r="M3156" t="s">
        <v>30</v>
      </c>
      <c r="N3156">
        <f>MONTH(Table1[[#This Row],[SaleDate]])</f>
        <v>12</v>
      </c>
      <c r="O3156" t="str">
        <f>TEXT(Table1[[#This Row],[SaleDate]],"MMM")</f>
        <v>Dec</v>
      </c>
    </row>
    <row r="3157" spans="1:15">
      <c r="A3157" s="1">
        <v>45277</v>
      </c>
      <c r="B3157" t="s">
        <v>25</v>
      </c>
      <c r="C3157" t="s">
        <v>21</v>
      </c>
      <c r="D3157">
        <v>2</v>
      </c>
      <c r="E3157" t="s">
        <v>9</v>
      </c>
      <c r="F3157">
        <v>60000</v>
      </c>
      <c r="G3157">
        <v>31000</v>
      </c>
      <c r="H3157">
        <f>Table1[[#This Row],[Qty]]*Table1[[#This Row],[SellingPrice]]</f>
        <v>120000</v>
      </c>
      <c r="I3157">
        <f>Table1[[#This Row],[Qty]]*Table1[[#This Row],[CostPrice]]</f>
        <v>62000</v>
      </c>
      <c r="J3157">
        <v>57594</v>
      </c>
      <c r="K3157">
        <v>405.99999999999994</v>
      </c>
      <c r="L3157" t="s">
        <v>13</v>
      </c>
      <c r="M3157" t="s">
        <v>30</v>
      </c>
      <c r="N3157">
        <f>MONTH(Table1[[#This Row],[SaleDate]])</f>
        <v>12</v>
      </c>
      <c r="O3157" t="str">
        <f>TEXT(Table1[[#This Row],[SaleDate]],"MMM")</f>
        <v>Dec</v>
      </c>
    </row>
    <row r="3158" spans="1:15">
      <c r="A3158" s="1">
        <v>45277</v>
      </c>
      <c r="B3158" t="s">
        <v>25</v>
      </c>
      <c r="C3158" t="s">
        <v>21</v>
      </c>
      <c r="D3158">
        <v>2</v>
      </c>
      <c r="E3158" t="s">
        <v>10</v>
      </c>
      <c r="F3158">
        <v>89000</v>
      </c>
      <c r="G3158">
        <v>65000</v>
      </c>
      <c r="H3158">
        <f>Table1[[#This Row],[Qty]]*Table1[[#This Row],[SellingPrice]]</f>
        <v>178000</v>
      </c>
      <c r="I3158">
        <f>Table1[[#This Row],[Qty]]*Table1[[#This Row],[CostPrice]]</f>
        <v>130000</v>
      </c>
      <c r="J3158">
        <v>47664</v>
      </c>
      <c r="K3158">
        <v>335.99999999999994</v>
      </c>
      <c r="L3158" t="s">
        <v>13</v>
      </c>
      <c r="M3158" t="s">
        <v>29</v>
      </c>
      <c r="N3158">
        <f>MONTH(Table1[[#This Row],[SaleDate]])</f>
        <v>12</v>
      </c>
      <c r="O3158" t="str">
        <f>TEXT(Table1[[#This Row],[SaleDate]],"MMM")</f>
        <v>Dec</v>
      </c>
    </row>
    <row r="3159" spans="1:15">
      <c r="A3159" s="1">
        <v>45278</v>
      </c>
      <c r="B3159" t="s">
        <v>23</v>
      </c>
      <c r="C3159" t="s">
        <v>19</v>
      </c>
      <c r="D3159">
        <v>2</v>
      </c>
      <c r="E3159" t="s">
        <v>7</v>
      </c>
      <c r="F3159">
        <v>33000</v>
      </c>
      <c r="G3159">
        <v>18000</v>
      </c>
      <c r="H3159">
        <f>Table1[[#This Row],[Qty]]*Table1[[#This Row],[SellingPrice]]</f>
        <v>66000</v>
      </c>
      <c r="I3159">
        <f>Table1[[#This Row],[Qty]]*Table1[[#This Row],[CostPrice]]</f>
        <v>36000</v>
      </c>
      <c r="J3159">
        <v>29790</v>
      </c>
      <c r="K3159">
        <v>209.99999999999997</v>
      </c>
      <c r="L3159" t="s">
        <v>8</v>
      </c>
      <c r="M3159" t="s">
        <v>29</v>
      </c>
      <c r="N3159">
        <f>MONTH(Table1[[#This Row],[SaleDate]])</f>
        <v>12</v>
      </c>
      <c r="O3159" t="str">
        <f>TEXT(Table1[[#This Row],[SaleDate]],"MMM")</f>
        <v>Dec</v>
      </c>
    </row>
    <row r="3160" spans="1:15">
      <c r="A3160" s="1">
        <v>45278</v>
      </c>
      <c r="B3160" t="s">
        <v>23</v>
      </c>
      <c r="C3160" t="s">
        <v>19</v>
      </c>
      <c r="D3160">
        <v>2</v>
      </c>
      <c r="E3160" t="s">
        <v>9</v>
      </c>
      <c r="F3160">
        <v>60000</v>
      </c>
      <c r="G3160">
        <v>31000</v>
      </c>
      <c r="H3160">
        <f>Table1[[#This Row],[Qty]]*Table1[[#This Row],[SellingPrice]]</f>
        <v>120000</v>
      </c>
      <c r="I3160">
        <f>Table1[[#This Row],[Qty]]*Table1[[#This Row],[CostPrice]]</f>
        <v>62000</v>
      </c>
      <c r="J3160">
        <v>57594</v>
      </c>
      <c r="K3160">
        <v>405.99999999999994</v>
      </c>
      <c r="L3160" t="s">
        <v>8</v>
      </c>
      <c r="M3160" t="s">
        <v>29</v>
      </c>
      <c r="N3160">
        <f>MONTH(Table1[[#This Row],[SaleDate]])</f>
        <v>12</v>
      </c>
      <c r="O3160" t="str">
        <f>TEXT(Table1[[#This Row],[SaleDate]],"MMM")</f>
        <v>Dec</v>
      </c>
    </row>
    <row r="3161" spans="1:15">
      <c r="A3161" s="1">
        <v>45278</v>
      </c>
      <c r="B3161" t="s">
        <v>23</v>
      </c>
      <c r="C3161" t="s">
        <v>19</v>
      </c>
      <c r="D3161">
        <v>2</v>
      </c>
      <c r="E3161" t="s">
        <v>10</v>
      </c>
      <c r="F3161">
        <v>89000</v>
      </c>
      <c r="G3161">
        <v>65000</v>
      </c>
      <c r="H3161">
        <f>Table1[[#This Row],[Qty]]*Table1[[#This Row],[SellingPrice]]</f>
        <v>178000</v>
      </c>
      <c r="I3161">
        <f>Table1[[#This Row],[Qty]]*Table1[[#This Row],[CostPrice]]</f>
        <v>130000</v>
      </c>
      <c r="J3161">
        <v>47664</v>
      </c>
      <c r="K3161">
        <v>335.99999999999994</v>
      </c>
      <c r="L3161" t="s">
        <v>8</v>
      </c>
      <c r="M3161" t="s">
        <v>30</v>
      </c>
      <c r="N3161">
        <f>MONTH(Table1[[#This Row],[SaleDate]])</f>
        <v>12</v>
      </c>
      <c r="O3161" t="str">
        <f>TEXT(Table1[[#This Row],[SaleDate]],"MMM")</f>
        <v>Dec</v>
      </c>
    </row>
    <row r="3162" spans="1:15">
      <c r="A3162" s="1">
        <v>45278</v>
      </c>
      <c r="B3162" t="s">
        <v>24</v>
      </c>
      <c r="C3162" t="s">
        <v>22</v>
      </c>
      <c r="D3162">
        <v>2</v>
      </c>
      <c r="E3162" t="s">
        <v>7</v>
      </c>
      <c r="F3162">
        <v>33000</v>
      </c>
      <c r="G3162">
        <v>18000</v>
      </c>
      <c r="H3162">
        <f>Table1[[#This Row],[Qty]]*Table1[[#This Row],[SellingPrice]]</f>
        <v>66000</v>
      </c>
      <c r="I3162">
        <f>Table1[[#This Row],[Qty]]*Table1[[#This Row],[CostPrice]]</f>
        <v>36000</v>
      </c>
      <c r="J3162">
        <v>29790</v>
      </c>
      <c r="K3162">
        <v>209.99999999999997</v>
      </c>
      <c r="L3162" t="s">
        <v>12</v>
      </c>
      <c r="M3162" t="s">
        <v>30</v>
      </c>
      <c r="N3162">
        <f>MONTH(Table1[[#This Row],[SaleDate]])</f>
        <v>12</v>
      </c>
      <c r="O3162" t="str">
        <f>TEXT(Table1[[#This Row],[SaleDate]],"MMM")</f>
        <v>Dec</v>
      </c>
    </row>
    <row r="3163" spans="1:15">
      <c r="A3163" s="1">
        <v>45278</v>
      </c>
      <c r="B3163" t="s">
        <v>24</v>
      </c>
      <c r="C3163" t="s">
        <v>22</v>
      </c>
      <c r="D3163">
        <v>2</v>
      </c>
      <c r="E3163" t="s">
        <v>9</v>
      </c>
      <c r="F3163">
        <v>60000</v>
      </c>
      <c r="G3163">
        <v>31000</v>
      </c>
      <c r="H3163">
        <f>Table1[[#This Row],[Qty]]*Table1[[#This Row],[SellingPrice]]</f>
        <v>120000</v>
      </c>
      <c r="I3163">
        <f>Table1[[#This Row],[Qty]]*Table1[[#This Row],[CostPrice]]</f>
        <v>62000</v>
      </c>
      <c r="J3163">
        <v>57594</v>
      </c>
      <c r="K3163">
        <v>405.99999999999994</v>
      </c>
      <c r="L3163" t="s">
        <v>12</v>
      </c>
      <c r="M3163" t="s">
        <v>27</v>
      </c>
      <c r="N3163">
        <f>MONTH(Table1[[#This Row],[SaleDate]])</f>
        <v>12</v>
      </c>
      <c r="O3163" t="str">
        <f>TEXT(Table1[[#This Row],[SaleDate]],"MMM")</f>
        <v>Dec</v>
      </c>
    </row>
    <row r="3164" spans="1:15">
      <c r="A3164" s="1">
        <v>45278</v>
      </c>
      <c r="B3164" t="s">
        <v>24</v>
      </c>
      <c r="C3164" t="s">
        <v>22</v>
      </c>
      <c r="D3164">
        <v>2</v>
      </c>
      <c r="E3164" t="s">
        <v>10</v>
      </c>
      <c r="F3164">
        <v>89000</v>
      </c>
      <c r="G3164">
        <v>65000</v>
      </c>
      <c r="H3164">
        <f>Table1[[#This Row],[Qty]]*Table1[[#This Row],[SellingPrice]]</f>
        <v>178000</v>
      </c>
      <c r="I3164">
        <f>Table1[[#This Row],[Qty]]*Table1[[#This Row],[CostPrice]]</f>
        <v>130000</v>
      </c>
      <c r="J3164">
        <v>47664</v>
      </c>
      <c r="K3164">
        <v>335.99999999999994</v>
      </c>
      <c r="L3164" t="s">
        <v>12</v>
      </c>
      <c r="M3164" t="s">
        <v>30</v>
      </c>
      <c r="N3164">
        <f>MONTH(Table1[[#This Row],[SaleDate]])</f>
        <v>12</v>
      </c>
      <c r="O3164" t="str">
        <f>TEXT(Table1[[#This Row],[SaleDate]],"MMM")</f>
        <v>Dec</v>
      </c>
    </row>
    <row r="3165" spans="1:15">
      <c r="A3165" s="1">
        <v>45278</v>
      </c>
      <c r="B3165" t="s">
        <v>25</v>
      </c>
      <c r="C3165" t="s">
        <v>21</v>
      </c>
      <c r="D3165">
        <v>2</v>
      </c>
      <c r="E3165" t="s">
        <v>7</v>
      </c>
      <c r="F3165">
        <v>33000</v>
      </c>
      <c r="G3165">
        <v>18000</v>
      </c>
      <c r="H3165">
        <f>Table1[[#This Row],[Qty]]*Table1[[#This Row],[SellingPrice]]</f>
        <v>66000</v>
      </c>
      <c r="I3165">
        <f>Table1[[#This Row],[Qty]]*Table1[[#This Row],[CostPrice]]</f>
        <v>36000</v>
      </c>
      <c r="J3165">
        <v>29790</v>
      </c>
      <c r="K3165">
        <v>209.99999999999997</v>
      </c>
      <c r="L3165" t="s">
        <v>13</v>
      </c>
      <c r="M3165" t="s">
        <v>29</v>
      </c>
      <c r="N3165">
        <f>MONTH(Table1[[#This Row],[SaleDate]])</f>
        <v>12</v>
      </c>
      <c r="O3165" t="str">
        <f>TEXT(Table1[[#This Row],[SaleDate]],"MMM")</f>
        <v>Dec</v>
      </c>
    </row>
    <row r="3166" spans="1:15">
      <c r="A3166" s="1">
        <v>45278</v>
      </c>
      <c r="B3166" t="s">
        <v>25</v>
      </c>
      <c r="C3166" t="s">
        <v>21</v>
      </c>
      <c r="D3166">
        <v>2</v>
      </c>
      <c r="E3166" t="s">
        <v>9</v>
      </c>
      <c r="F3166">
        <v>60000</v>
      </c>
      <c r="G3166">
        <v>31000</v>
      </c>
      <c r="H3166">
        <f>Table1[[#This Row],[Qty]]*Table1[[#This Row],[SellingPrice]]</f>
        <v>120000</v>
      </c>
      <c r="I3166">
        <f>Table1[[#This Row],[Qty]]*Table1[[#This Row],[CostPrice]]</f>
        <v>62000</v>
      </c>
      <c r="J3166">
        <v>57594</v>
      </c>
      <c r="K3166">
        <v>405.99999999999994</v>
      </c>
      <c r="L3166" t="s">
        <v>13</v>
      </c>
      <c r="M3166" t="s">
        <v>27</v>
      </c>
      <c r="N3166">
        <f>MONTH(Table1[[#This Row],[SaleDate]])</f>
        <v>12</v>
      </c>
      <c r="O3166" t="str">
        <f>TEXT(Table1[[#This Row],[SaleDate]],"MMM")</f>
        <v>Dec</v>
      </c>
    </row>
    <row r="3167" spans="1:15">
      <c r="A3167" s="1">
        <v>45278</v>
      </c>
      <c r="B3167" t="s">
        <v>25</v>
      </c>
      <c r="C3167" t="s">
        <v>21</v>
      </c>
      <c r="D3167">
        <v>2</v>
      </c>
      <c r="E3167" t="s">
        <v>10</v>
      </c>
      <c r="F3167">
        <v>89000</v>
      </c>
      <c r="G3167">
        <v>65000</v>
      </c>
      <c r="H3167">
        <f>Table1[[#This Row],[Qty]]*Table1[[#This Row],[SellingPrice]]</f>
        <v>178000</v>
      </c>
      <c r="I3167">
        <f>Table1[[#This Row],[Qty]]*Table1[[#This Row],[CostPrice]]</f>
        <v>130000</v>
      </c>
      <c r="J3167">
        <v>47664</v>
      </c>
      <c r="K3167">
        <v>335.99999999999994</v>
      </c>
      <c r="L3167" t="s">
        <v>13</v>
      </c>
      <c r="M3167" t="s">
        <v>27</v>
      </c>
      <c r="N3167">
        <f>MONTH(Table1[[#This Row],[SaleDate]])</f>
        <v>12</v>
      </c>
      <c r="O3167" t="str">
        <f>TEXT(Table1[[#This Row],[SaleDate]],"MMM")</f>
        <v>Dec</v>
      </c>
    </row>
    <row r="3168" spans="1:15">
      <c r="A3168" s="1">
        <v>45279</v>
      </c>
      <c r="B3168" t="s">
        <v>23</v>
      </c>
      <c r="C3168" t="s">
        <v>19</v>
      </c>
      <c r="D3168">
        <v>2</v>
      </c>
      <c r="E3168" t="s">
        <v>7</v>
      </c>
      <c r="F3168">
        <v>33000</v>
      </c>
      <c r="G3168">
        <v>18000</v>
      </c>
      <c r="H3168">
        <f>Table1[[#This Row],[Qty]]*Table1[[#This Row],[SellingPrice]]</f>
        <v>66000</v>
      </c>
      <c r="I3168">
        <f>Table1[[#This Row],[Qty]]*Table1[[#This Row],[CostPrice]]</f>
        <v>36000</v>
      </c>
      <c r="J3168">
        <v>29790</v>
      </c>
      <c r="K3168">
        <v>209.99999999999997</v>
      </c>
      <c r="L3168" t="s">
        <v>8</v>
      </c>
      <c r="M3168" t="s">
        <v>30</v>
      </c>
      <c r="N3168">
        <f>MONTH(Table1[[#This Row],[SaleDate]])</f>
        <v>12</v>
      </c>
      <c r="O3168" t="str">
        <f>TEXT(Table1[[#This Row],[SaleDate]],"MMM")</f>
        <v>Dec</v>
      </c>
    </row>
    <row r="3169" spans="1:15">
      <c r="A3169" s="1">
        <v>45279</v>
      </c>
      <c r="B3169" t="s">
        <v>23</v>
      </c>
      <c r="C3169" t="s">
        <v>19</v>
      </c>
      <c r="D3169">
        <v>2</v>
      </c>
      <c r="E3169" t="s">
        <v>9</v>
      </c>
      <c r="F3169">
        <v>60000</v>
      </c>
      <c r="G3169">
        <v>31000</v>
      </c>
      <c r="H3169">
        <f>Table1[[#This Row],[Qty]]*Table1[[#This Row],[SellingPrice]]</f>
        <v>120000</v>
      </c>
      <c r="I3169">
        <f>Table1[[#This Row],[Qty]]*Table1[[#This Row],[CostPrice]]</f>
        <v>62000</v>
      </c>
      <c r="J3169">
        <v>57594</v>
      </c>
      <c r="K3169">
        <v>405.99999999999994</v>
      </c>
      <c r="L3169" t="s">
        <v>8</v>
      </c>
      <c r="M3169" t="s">
        <v>27</v>
      </c>
      <c r="N3169">
        <f>MONTH(Table1[[#This Row],[SaleDate]])</f>
        <v>12</v>
      </c>
      <c r="O3169" t="str">
        <f>TEXT(Table1[[#This Row],[SaleDate]],"MMM")</f>
        <v>Dec</v>
      </c>
    </row>
    <row r="3170" spans="1:15">
      <c r="A3170" s="1">
        <v>45279</v>
      </c>
      <c r="B3170" t="s">
        <v>23</v>
      </c>
      <c r="C3170" t="s">
        <v>19</v>
      </c>
      <c r="D3170">
        <v>2</v>
      </c>
      <c r="E3170" t="s">
        <v>10</v>
      </c>
      <c r="F3170">
        <v>89000</v>
      </c>
      <c r="G3170">
        <v>65000</v>
      </c>
      <c r="H3170">
        <f>Table1[[#This Row],[Qty]]*Table1[[#This Row],[SellingPrice]]</f>
        <v>178000</v>
      </c>
      <c r="I3170">
        <f>Table1[[#This Row],[Qty]]*Table1[[#This Row],[CostPrice]]</f>
        <v>130000</v>
      </c>
      <c r="J3170">
        <v>47664</v>
      </c>
      <c r="K3170">
        <v>335.99999999999994</v>
      </c>
      <c r="L3170" t="s">
        <v>8</v>
      </c>
      <c r="M3170" t="s">
        <v>27</v>
      </c>
      <c r="N3170">
        <f>MONTH(Table1[[#This Row],[SaleDate]])</f>
        <v>12</v>
      </c>
      <c r="O3170" t="str">
        <f>TEXT(Table1[[#This Row],[SaleDate]],"MMM")</f>
        <v>Dec</v>
      </c>
    </row>
    <row r="3171" spans="1:15">
      <c r="A3171" s="1">
        <v>45279</v>
      </c>
      <c r="B3171" t="s">
        <v>24</v>
      </c>
      <c r="C3171" t="s">
        <v>22</v>
      </c>
      <c r="D3171">
        <v>2</v>
      </c>
      <c r="E3171" t="s">
        <v>7</v>
      </c>
      <c r="F3171">
        <v>33000</v>
      </c>
      <c r="G3171">
        <v>18000</v>
      </c>
      <c r="H3171">
        <f>Table1[[#This Row],[Qty]]*Table1[[#This Row],[SellingPrice]]</f>
        <v>66000</v>
      </c>
      <c r="I3171">
        <f>Table1[[#This Row],[Qty]]*Table1[[#This Row],[CostPrice]]</f>
        <v>36000</v>
      </c>
      <c r="J3171">
        <v>29790</v>
      </c>
      <c r="K3171">
        <v>209.99999999999997</v>
      </c>
      <c r="L3171" t="s">
        <v>12</v>
      </c>
      <c r="M3171" t="s">
        <v>28</v>
      </c>
      <c r="N3171">
        <f>MONTH(Table1[[#This Row],[SaleDate]])</f>
        <v>12</v>
      </c>
      <c r="O3171" t="str">
        <f>TEXT(Table1[[#This Row],[SaleDate]],"MMM")</f>
        <v>Dec</v>
      </c>
    </row>
    <row r="3172" spans="1:15">
      <c r="A3172" s="1">
        <v>45279</v>
      </c>
      <c r="B3172" t="s">
        <v>24</v>
      </c>
      <c r="C3172" t="s">
        <v>22</v>
      </c>
      <c r="D3172">
        <v>2</v>
      </c>
      <c r="E3172" t="s">
        <v>9</v>
      </c>
      <c r="F3172">
        <v>60000</v>
      </c>
      <c r="G3172">
        <v>31000</v>
      </c>
      <c r="H3172">
        <f>Table1[[#This Row],[Qty]]*Table1[[#This Row],[SellingPrice]]</f>
        <v>120000</v>
      </c>
      <c r="I3172">
        <f>Table1[[#This Row],[Qty]]*Table1[[#This Row],[CostPrice]]</f>
        <v>62000</v>
      </c>
      <c r="J3172">
        <v>57594</v>
      </c>
      <c r="K3172">
        <v>405.99999999999994</v>
      </c>
      <c r="L3172" t="s">
        <v>12</v>
      </c>
      <c r="M3172" t="s">
        <v>27</v>
      </c>
      <c r="N3172">
        <f>MONTH(Table1[[#This Row],[SaleDate]])</f>
        <v>12</v>
      </c>
      <c r="O3172" t="str">
        <f>TEXT(Table1[[#This Row],[SaleDate]],"MMM")</f>
        <v>Dec</v>
      </c>
    </row>
    <row r="3173" spans="1:15">
      <c r="A3173" s="1">
        <v>45279</v>
      </c>
      <c r="B3173" t="s">
        <v>24</v>
      </c>
      <c r="C3173" t="s">
        <v>22</v>
      </c>
      <c r="D3173">
        <v>2</v>
      </c>
      <c r="E3173" t="s">
        <v>10</v>
      </c>
      <c r="F3173">
        <v>89000</v>
      </c>
      <c r="G3173">
        <v>65000</v>
      </c>
      <c r="H3173">
        <f>Table1[[#This Row],[Qty]]*Table1[[#This Row],[SellingPrice]]</f>
        <v>178000</v>
      </c>
      <c r="I3173">
        <f>Table1[[#This Row],[Qty]]*Table1[[#This Row],[CostPrice]]</f>
        <v>130000</v>
      </c>
      <c r="J3173">
        <v>47664</v>
      </c>
      <c r="K3173">
        <v>335.99999999999994</v>
      </c>
      <c r="L3173" t="s">
        <v>12</v>
      </c>
      <c r="M3173" t="s">
        <v>28</v>
      </c>
      <c r="N3173">
        <f>MONTH(Table1[[#This Row],[SaleDate]])</f>
        <v>12</v>
      </c>
      <c r="O3173" t="str">
        <f>TEXT(Table1[[#This Row],[SaleDate]],"MMM")</f>
        <v>Dec</v>
      </c>
    </row>
    <row r="3174" spans="1:15">
      <c r="A3174" s="1">
        <v>45279</v>
      </c>
      <c r="B3174" t="s">
        <v>25</v>
      </c>
      <c r="C3174" t="s">
        <v>21</v>
      </c>
      <c r="D3174">
        <v>2</v>
      </c>
      <c r="E3174" t="s">
        <v>7</v>
      </c>
      <c r="F3174">
        <v>33000</v>
      </c>
      <c r="G3174">
        <v>18000</v>
      </c>
      <c r="H3174">
        <f>Table1[[#This Row],[Qty]]*Table1[[#This Row],[SellingPrice]]</f>
        <v>66000</v>
      </c>
      <c r="I3174">
        <f>Table1[[#This Row],[Qty]]*Table1[[#This Row],[CostPrice]]</f>
        <v>36000</v>
      </c>
      <c r="J3174">
        <v>29790</v>
      </c>
      <c r="K3174">
        <v>209.99999999999997</v>
      </c>
      <c r="L3174" t="s">
        <v>13</v>
      </c>
      <c r="M3174" t="s">
        <v>30</v>
      </c>
      <c r="N3174">
        <f>MONTH(Table1[[#This Row],[SaleDate]])</f>
        <v>12</v>
      </c>
      <c r="O3174" t="str">
        <f>TEXT(Table1[[#This Row],[SaleDate]],"MMM")</f>
        <v>Dec</v>
      </c>
    </row>
    <row r="3175" spans="1:15">
      <c r="A3175" s="1">
        <v>45279</v>
      </c>
      <c r="B3175" t="s">
        <v>25</v>
      </c>
      <c r="C3175" t="s">
        <v>21</v>
      </c>
      <c r="D3175">
        <v>2</v>
      </c>
      <c r="E3175" t="s">
        <v>9</v>
      </c>
      <c r="F3175">
        <v>60000</v>
      </c>
      <c r="G3175">
        <v>31000</v>
      </c>
      <c r="H3175">
        <f>Table1[[#This Row],[Qty]]*Table1[[#This Row],[SellingPrice]]</f>
        <v>120000</v>
      </c>
      <c r="I3175">
        <f>Table1[[#This Row],[Qty]]*Table1[[#This Row],[CostPrice]]</f>
        <v>62000</v>
      </c>
      <c r="J3175">
        <v>57594</v>
      </c>
      <c r="K3175">
        <v>405.99999999999994</v>
      </c>
      <c r="L3175" t="s">
        <v>13</v>
      </c>
      <c r="M3175" t="s">
        <v>30</v>
      </c>
      <c r="N3175">
        <f>MONTH(Table1[[#This Row],[SaleDate]])</f>
        <v>12</v>
      </c>
      <c r="O3175" t="str">
        <f>TEXT(Table1[[#This Row],[SaleDate]],"MMM")</f>
        <v>Dec</v>
      </c>
    </row>
    <row r="3176" spans="1:15">
      <c r="A3176" s="1">
        <v>45279</v>
      </c>
      <c r="B3176" t="s">
        <v>25</v>
      </c>
      <c r="C3176" t="s">
        <v>21</v>
      </c>
      <c r="D3176">
        <v>2</v>
      </c>
      <c r="E3176" t="s">
        <v>10</v>
      </c>
      <c r="F3176">
        <v>89000</v>
      </c>
      <c r="G3176">
        <v>65000</v>
      </c>
      <c r="H3176">
        <f>Table1[[#This Row],[Qty]]*Table1[[#This Row],[SellingPrice]]</f>
        <v>178000</v>
      </c>
      <c r="I3176">
        <f>Table1[[#This Row],[Qty]]*Table1[[#This Row],[CostPrice]]</f>
        <v>130000</v>
      </c>
      <c r="J3176">
        <v>47664</v>
      </c>
      <c r="K3176">
        <v>335.99999999999994</v>
      </c>
      <c r="L3176" t="s">
        <v>13</v>
      </c>
      <c r="M3176" t="s">
        <v>28</v>
      </c>
      <c r="N3176">
        <f>MONTH(Table1[[#This Row],[SaleDate]])</f>
        <v>12</v>
      </c>
      <c r="O3176" t="str">
        <f>TEXT(Table1[[#This Row],[SaleDate]],"MMM")</f>
        <v>Dec</v>
      </c>
    </row>
    <row r="3177" spans="1:15">
      <c r="A3177" s="1">
        <v>45280</v>
      </c>
      <c r="B3177" t="s">
        <v>23</v>
      </c>
      <c r="C3177" t="s">
        <v>19</v>
      </c>
      <c r="D3177">
        <v>2</v>
      </c>
      <c r="E3177" t="s">
        <v>7</v>
      </c>
      <c r="F3177">
        <v>33000</v>
      </c>
      <c r="G3177">
        <v>18000</v>
      </c>
      <c r="H3177">
        <f>Table1[[#This Row],[Qty]]*Table1[[#This Row],[SellingPrice]]</f>
        <v>66000</v>
      </c>
      <c r="I3177">
        <f>Table1[[#This Row],[Qty]]*Table1[[#This Row],[CostPrice]]</f>
        <v>36000</v>
      </c>
      <c r="J3177">
        <v>29790</v>
      </c>
      <c r="K3177">
        <v>209.99999999999997</v>
      </c>
      <c r="L3177" t="s">
        <v>8</v>
      </c>
      <c r="M3177" t="s">
        <v>30</v>
      </c>
      <c r="N3177">
        <f>MONTH(Table1[[#This Row],[SaleDate]])</f>
        <v>12</v>
      </c>
      <c r="O3177" t="str">
        <f>TEXT(Table1[[#This Row],[SaleDate]],"MMM")</f>
        <v>Dec</v>
      </c>
    </row>
    <row r="3178" spans="1:15">
      <c r="A3178" s="1">
        <v>45280</v>
      </c>
      <c r="B3178" t="s">
        <v>23</v>
      </c>
      <c r="C3178" t="s">
        <v>19</v>
      </c>
      <c r="D3178">
        <v>2</v>
      </c>
      <c r="E3178" t="s">
        <v>9</v>
      </c>
      <c r="F3178">
        <v>60000</v>
      </c>
      <c r="G3178">
        <v>31000</v>
      </c>
      <c r="H3178">
        <f>Table1[[#This Row],[Qty]]*Table1[[#This Row],[SellingPrice]]</f>
        <v>120000</v>
      </c>
      <c r="I3178">
        <f>Table1[[#This Row],[Qty]]*Table1[[#This Row],[CostPrice]]</f>
        <v>62000</v>
      </c>
      <c r="J3178">
        <v>57594</v>
      </c>
      <c r="K3178">
        <v>405.99999999999994</v>
      </c>
      <c r="L3178" t="s">
        <v>8</v>
      </c>
      <c r="M3178" t="s">
        <v>27</v>
      </c>
      <c r="N3178">
        <f>MONTH(Table1[[#This Row],[SaleDate]])</f>
        <v>12</v>
      </c>
      <c r="O3178" t="str">
        <f>TEXT(Table1[[#This Row],[SaleDate]],"MMM")</f>
        <v>Dec</v>
      </c>
    </row>
    <row r="3179" spans="1:15">
      <c r="A3179" s="1">
        <v>45280</v>
      </c>
      <c r="B3179" t="s">
        <v>23</v>
      </c>
      <c r="C3179" t="s">
        <v>19</v>
      </c>
      <c r="D3179">
        <v>2</v>
      </c>
      <c r="E3179" t="s">
        <v>10</v>
      </c>
      <c r="F3179">
        <v>89000</v>
      </c>
      <c r="G3179">
        <v>65000</v>
      </c>
      <c r="H3179">
        <f>Table1[[#This Row],[Qty]]*Table1[[#This Row],[SellingPrice]]</f>
        <v>178000</v>
      </c>
      <c r="I3179">
        <f>Table1[[#This Row],[Qty]]*Table1[[#This Row],[CostPrice]]</f>
        <v>130000</v>
      </c>
      <c r="J3179">
        <v>47664</v>
      </c>
      <c r="K3179">
        <v>335.99999999999994</v>
      </c>
      <c r="L3179" t="s">
        <v>8</v>
      </c>
      <c r="M3179" t="s">
        <v>30</v>
      </c>
      <c r="N3179">
        <f>MONTH(Table1[[#This Row],[SaleDate]])</f>
        <v>12</v>
      </c>
      <c r="O3179" t="str">
        <f>TEXT(Table1[[#This Row],[SaleDate]],"MMM")</f>
        <v>Dec</v>
      </c>
    </row>
    <row r="3180" spans="1:15">
      <c r="A3180" s="1">
        <v>45280</v>
      </c>
      <c r="B3180" t="s">
        <v>24</v>
      </c>
      <c r="C3180" t="s">
        <v>22</v>
      </c>
      <c r="D3180">
        <v>2</v>
      </c>
      <c r="E3180" t="s">
        <v>7</v>
      </c>
      <c r="F3180">
        <v>33000</v>
      </c>
      <c r="G3180">
        <v>18000</v>
      </c>
      <c r="H3180">
        <f>Table1[[#This Row],[Qty]]*Table1[[#This Row],[SellingPrice]]</f>
        <v>66000</v>
      </c>
      <c r="I3180">
        <f>Table1[[#This Row],[Qty]]*Table1[[#This Row],[CostPrice]]</f>
        <v>36000</v>
      </c>
      <c r="J3180">
        <v>29790</v>
      </c>
      <c r="K3180">
        <v>209.99999999999997</v>
      </c>
      <c r="L3180" t="s">
        <v>12</v>
      </c>
      <c r="M3180" t="s">
        <v>30</v>
      </c>
      <c r="N3180">
        <f>MONTH(Table1[[#This Row],[SaleDate]])</f>
        <v>12</v>
      </c>
      <c r="O3180" t="str">
        <f>TEXT(Table1[[#This Row],[SaleDate]],"MMM")</f>
        <v>Dec</v>
      </c>
    </row>
    <row r="3181" spans="1:15">
      <c r="A3181" s="1">
        <v>45280</v>
      </c>
      <c r="B3181" t="s">
        <v>24</v>
      </c>
      <c r="C3181" t="s">
        <v>22</v>
      </c>
      <c r="D3181">
        <v>2</v>
      </c>
      <c r="E3181" t="s">
        <v>9</v>
      </c>
      <c r="F3181">
        <v>60000</v>
      </c>
      <c r="G3181">
        <v>31000</v>
      </c>
      <c r="H3181">
        <f>Table1[[#This Row],[Qty]]*Table1[[#This Row],[SellingPrice]]</f>
        <v>120000</v>
      </c>
      <c r="I3181">
        <f>Table1[[#This Row],[Qty]]*Table1[[#This Row],[CostPrice]]</f>
        <v>62000</v>
      </c>
      <c r="J3181">
        <v>57594</v>
      </c>
      <c r="K3181">
        <v>405.99999999999994</v>
      </c>
      <c r="L3181" t="s">
        <v>12</v>
      </c>
      <c r="M3181" t="s">
        <v>27</v>
      </c>
      <c r="N3181">
        <f>MONTH(Table1[[#This Row],[SaleDate]])</f>
        <v>12</v>
      </c>
      <c r="O3181" t="str">
        <f>TEXT(Table1[[#This Row],[SaleDate]],"MMM")</f>
        <v>Dec</v>
      </c>
    </row>
    <row r="3182" spans="1:15">
      <c r="A3182" s="1">
        <v>45280</v>
      </c>
      <c r="B3182" t="s">
        <v>24</v>
      </c>
      <c r="C3182" t="s">
        <v>22</v>
      </c>
      <c r="D3182">
        <v>2</v>
      </c>
      <c r="E3182" t="s">
        <v>10</v>
      </c>
      <c r="F3182">
        <v>89000</v>
      </c>
      <c r="G3182">
        <v>65000</v>
      </c>
      <c r="H3182">
        <f>Table1[[#This Row],[Qty]]*Table1[[#This Row],[SellingPrice]]</f>
        <v>178000</v>
      </c>
      <c r="I3182">
        <f>Table1[[#This Row],[Qty]]*Table1[[#This Row],[CostPrice]]</f>
        <v>130000</v>
      </c>
      <c r="J3182">
        <v>47664</v>
      </c>
      <c r="K3182">
        <v>335.99999999999994</v>
      </c>
      <c r="L3182" t="s">
        <v>12</v>
      </c>
      <c r="M3182" t="s">
        <v>30</v>
      </c>
      <c r="N3182">
        <f>MONTH(Table1[[#This Row],[SaleDate]])</f>
        <v>12</v>
      </c>
      <c r="O3182" t="str">
        <f>TEXT(Table1[[#This Row],[SaleDate]],"MMM")</f>
        <v>Dec</v>
      </c>
    </row>
    <row r="3183" spans="1:15">
      <c r="A3183" s="1">
        <v>45280</v>
      </c>
      <c r="B3183" t="s">
        <v>25</v>
      </c>
      <c r="C3183" t="s">
        <v>21</v>
      </c>
      <c r="D3183">
        <v>2</v>
      </c>
      <c r="E3183" t="s">
        <v>7</v>
      </c>
      <c r="F3183">
        <v>33000</v>
      </c>
      <c r="G3183">
        <v>18000</v>
      </c>
      <c r="H3183">
        <f>Table1[[#This Row],[Qty]]*Table1[[#This Row],[SellingPrice]]</f>
        <v>66000</v>
      </c>
      <c r="I3183">
        <f>Table1[[#This Row],[Qty]]*Table1[[#This Row],[CostPrice]]</f>
        <v>36000</v>
      </c>
      <c r="J3183">
        <v>29790</v>
      </c>
      <c r="K3183">
        <v>209.99999999999997</v>
      </c>
      <c r="L3183" t="s">
        <v>13</v>
      </c>
      <c r="M3183" t="s">
        <v>29</v>
      </c>
      <c r="N3183">
        <f>MONTH(Table1[[#This Row],[SaleDate]])</f>
        <v>12</v>
      </c>
      <c r="O3183" t="str">
        <f>TEXT(Table1[[#This Row],[SaleDate]],"MMM")</f>
        <v>Dec</v>
      </c>
    </row>
    <row r="3184" spans="1:15">
      <c r="A3184" s="1">
        <v>45280</v>
      </c>
      <c r="B3184" t="s">
        <v>25</v>
      </c>
      <c r="C3184" t="s">
        <v>21</v>
      </c>
      <c r="D3184">
        <v>2</v>
      </c>
      <c r="E3184" t="s">
        <v>9</v>
      </c>
      <c r="F3184">
        <v>60000</v>
      </c>
      <c r="G3184">
        <v>31000</v>
      </c>
      <c r="H3184">
        <f>Table1[[#This Row],[Qty]]*Table1[[#This Row],[SellingPrice]]</f>
        <v>120000</v>
      </c>
      <c r="I3184">
        <f>Table1[[#This Row],[Qty]]*Table1[[#This Row],[CostPrice]]</f>
        <v>62000</v>
      </c>
      <c r="J3184">
        <v>57594</v>
      </c>
      <c r="K3184">
        <v>405.99999999999994</v>
      </c>
      <c r="L3184" t="s">
        <v>13</v>
      </c>
      <c r="M3184" t="s">
        <v>30</v>
      </c>
      <c r="N3184">
        <f>MONTH(Table1[[#This Row],[SaleDate]])</f>
        <v>12</v>
      </c>
      <c r="O3184" t="str">
        <f>TEXT(Table1[[#This Row],[SaleDate]],"MMM")</f>
        <v>Dec</v>
      </c>
    </row>
    <row r="3185" spans="1:15">
      <c r="A3185" s="1">
        <v>45280</v>
      </c>
      <c r="B3185" t="s">
        <v>25</v>
      </c>
      <c r="C3185" t="s">
        <v>21</v>
      </c>
      <c r="D3185">
        <v>2</v>
      </c>
      <c r="E3185" t="s">
        <v>10</v>
      </c>
      <c r="F3185">
        <v>89000</v>
      </c>
      <c r="G3185">
        <v>65000</v>
      </c>
      <c r="H3185">
        <f>Table1[[#This Row],[Qty]]*Table1[[#This Row],[SellingPrice]]</f>
        <v>178000</v>
      </c>
      <c r="I3185">
        <f>Table1[[#This Row],[Qty]]*Table1[[#This Row],[CostPrice]]</f>
        <v>130000</v>
      </c>
      <c r="J3185">
        <v>47664</v>
      </c>
      <c r="K3185">
        <v>335.99999999999994</v>
      </c>
      <c r="L3185" t="s">
        <v>13</v>
      </c>
      <c r="M3185" t="s">
        <v>30</v>
      </c>
      <c r="N3185">
        <f>MONTH(Table1[[#This Row],[SaleDate]])</f>
        <v>12</v>
      </c>
      <c r="O3185" t="str">
        <f>TEXT(Table1[[#This Row],[SaleDate]],"MMM")</f>
        <v>Dec</v>
      </c>
    </row>
    <row r="3186" spans="1:15">
      <c r="A3186" s="1">
        <v>45281</v>
      </c>
      <c r="B3186" t="s">
        <v>23</v>
      </c>
      <c r="C3186" t="s">
        <v>19</v>
      </c>
      <c r="D3186">
        <v>1</v>
      </c>
      <c r="E3186" t="s">
        <v>7</v>
      </c>
      <c r="F3186">
        <v>33000</v>
      </c>
      <c r="G3186">
        <v>18000</v>
      </c>
      <c r="H3186">
        <f>Table1[[#This Row],[Qty]]*Table1[[#This Row],[SellingPrice]]</f>
        <v>33000</v>
      </c>
      <c r="I3186">
        <f>Table1[[#This Row],[Qty]]*Table1[[#This Row],[CostPrice]]</f>
        <v>18000</v>
      </c>
      <c r="J3186">
        <v>14895</v>
      </c>
      <c r="K3186">
        <v>104.99999999999999</v>
      </c>
      <c r="L3186" t="s">
        <v>8</v>
      </c>
      <c r="M3186" t="s">
        <v>27</v>
      </c>
      <c r="N3186">
        <f>MONTH(Table1[[#This Row],[SaleDate]])</f>
        <v>12</v>
      </c>
      <c r="O3186" t="str">
        <f>TEXT(Table1[[#This Row],[SaleDate]],"MMM")</f>
        <v>Dec</v>
      </c>
    </row>
    <row r="3187" spans="1:15">
      <c r="A3187" s="1">
        <v>45281</v>
      </c>
      <c r="B3187" t="s">
        <v>23</v>
      </c>
      <c r="C3187" t="s">
        <v>19</v>
      </c>
      <c r="D3187">
        <v>1</v>
      </c>
      <c r="E3187" t="s">
        <v>9</v>
      </c>
      <c r="F3187">
        <v>60000</v>
      </c>
      <c r="G3187">
        <v>31000</v>
      </c>
      <c r="H3187">
        <f>Table1[[#This Row],[Qty]]*Table1[[#This Row],[SellingPrice]]</f>
        <v>60000</v>
      </c>
      <c r="I3187">
        <f>Table1[[#This Row],[Qty]]*Table1[[#This Row],[CostPrice]]</f>
        <v>31000</v>
      </c>
      <c r="J3187">
        <v>28797</v>
      </c>
      <c r="K3187">
        <v>202.99999999999997</v>
      </c>
      <c r="L3187" t="s">
        <v>8</v>
      </c>
      <c r="M3187" t="s">
        <v>30</v>
      </c>
      <c r="N3187">
        <f>MONTH(Table1[[#This Row],[SaleDate]])</f>
        <v>12</v>
      </c>
      <c r="O3187" t="str">
        <f>TEXT(Table1[[#This Row],[SaleDate]],"MMM")</f>
        <v>Dec</v>
      </c>
    </row>
    <row r="3188" spans="1:15">
      <c r="A3188" s="1">
        <v>45281</v>
      </c>
      <c r="B3188" t="s">
        <v>23</v>
      </c>
      <c r="C3188" t="s">
        <v>19</v>
      </c>
      <c r="D3188">
        <v>1</v>
      </c>
      <c r="E3188" t="s">
        <v>10</v>
      </c>
      <c r="F3188">
        <v>89000</v>
      </c>
      <c r="G3188">
        <v>65000</v>
      </c>
      <c r="H3188">
        <f>Table1[[#This Row],[Qty]]*Table1[[#This Row],[SellingPrice]]</f>
        <v>89000</v>
      </c>
      <c r="I3188">
        <f>Table1[[#This Row],[Qty]]*Table1[[#This Row],[CostPrice]]</f>
        <v>65000</v>
      </c>
      <c r="J3188">
        <v>23832</v>
      </c>
      <c r="K3188">
        <v>167.99999999999997</v>
      </c>
      <c r="L3188" t="s">
        <v>8</v>
      </c>
      <c r="M3188" t="s">
        <v>30</v>
      </c>
      <c r="N3188">
        <f>MONTH(Table1[[#This Row],[SaleDate]])</f>
        <v>12</v>
      </c>
      <c r="O3188" t="str">
        <f>TEXT(Table1[[#This Row],[SaleDate]],"MMM")</f>
        <v>Dec</v>
      </c>
    </row>
    <row r="3189" spans="1:15">
      <c r="A3189" s="1">
        <v>45281</v>
      </c>
      <c r="B3189" t="s">
        <v>24</v>
      </c>
      <c r="C3189" t="s">
        <v>22</v>
      </c>
      <c r="D3189">
        <v>1</v>
      </c>
      <c r="E3189" t="s">
        <v>7</v>
      </c>
      <c r="F3189">
        <v>33000</v>
      </c>
      <c r="G3189">
        <v>18000</v>
      </c>
      <c r="H3189">
        <f>Table1[[#This Row],[Qty]]*Table1[[#This Row],[SellingPrice]]</f>
        <v>33000</v>
      </c>
      <c r="I3189">
        <f>Table1[[#This Row],[Qty]]*Table1[[#This Row],[CostPrice]]</f>
        <v>18000</v>
      </c>
      <c r="J3189">
        <v>14895</v>
      </c>
      <c r="K3189">
        <v>104.99999999999999</v>
      </c>
      <c r="L3189" t="s">
        <v>12</v>
      </c>
      <c r="M3189" t="s">
        <v>29</v>
      </c>
      <c r="N3189">
        <f>MONTH(Table1[[#This Row],[SaleDate]])</f>
        <v>12</v>
      </c>
      <c r="O3189" t="str">
        <f>TEXT(Table1[[#This Row],[SaleDate]],"MMM")</f>
        <v>Dec</v>
      </c>
    </row>
    <row r="3190" spans="1:15">
      <c r="A3190" s="1">
        <v>45281</v>
      </c>
      <c r="B3190" t="s">
        <v>24</v>
      </c>
      <c r="C3190" t="s">
        <v>22</v>
      </c>
      <c r="D3190">
        <v>1</v>
      </c>
      <c r="E3190" t="s">
        <v>9</v>
      </c>
      <c r="F3190">
        <v>60000</v>
      </c>
      <c r="G3190">
        <v>31000</v>
      </c>
      <c r="H3190">
        <f>Table1[[#This Row],[Qty]]*Table1[[#This Row],[SellingPrice]]</f>
        <v>60000</v>
      </c>
      <c r="I3190">
        <f>Table1[[#This Row],[Qty]]*Table1[[#This Row],[CostPrice]]</f>
        <v>31000</v>
      </c>
      <c r="J3190">
        <v>28797</v>
      </c>
      <c r="K3190">
        <v>202.99999999999997</v>
      </c>
      <c r="L3190" t="s">
        <v>12</v>
      </c>
      <c r="M3190" t="s">
        <v>29</v>
      </c>
      <c r="N3190">
        <f>MONTH(Table1[[#This Row],[SaleDate]])</f>
        <v>12</v>
      </c>
      <c r="O3190" t="str">
        <f>TEXT(Table1[[#This Row],[SaleDate]],"MMM")</f>
        <v>Dec</v>
      </c>
    </row>
    <row r="3191" spans="1:15">
      <c r="A3191" s="1">
        <v>45281</v>
      </c>
      <c r="B3191" t="s">
        <v>24</v>
      </c>
      <c r="C3191" t="s">
        <v>22</v>
      </c>
      <c r="D3191">
        <v>1</v>
      </c>
      <c r="E3191" t="s">
        <v>10</v>
      </c>
      <c r="F3191">
        <v>89000</v>
      </c>
      <c r="G3191">
        <v>65000</v>
      </c>
      <c r="H3191">
        <f>Table1[[#This Row],[Qty]]*Table1[[#This Row],[SellingPrice]]</f>
        <v>89000</v>
      </c>
      <c r="I3191">
        <f>Table1[[#This Row],[Qty]]*Table1[[#This Row],[CostPrice]]</f>
        <v>65000</v>
      </c>
      <c r="J3191">
        <v>23832</v>
      </c>
      <c r="K3191">
        <v>167.99999999999997</v>
      </c>
      <c r="L3191" t="s">
        <v>12</v>
      </c>
      <c r="M3191" t="s">
        <v>29</v>
      </c>
      <c r="N3191">
        <f>MONTH(Table1[[#This Row],[SaleDate]])</f>
        <v>12</v>
      </c>
      <c r="O3191" t="str">
        <f>TEXT(Table1[[#This Row],[SaleDate]],"MMM")</f>
        <v>Dec</v>
      </c>
    </row>
    <row r="3192" spans="1:15">
      <c r="A3192" s="1">
        <v>45281</v>
      </c>
      <c r="B3192" t="s">
        <v>25</v>
      </c>
      <c r="C3192" t="s">
        <v>21</v>
      </c>
      <c r="D3192">
        <v>1</v>
      </c>
      <c r="E3192" t="s">
        <v>7</v>
      </c>
      <c r="F3192">
        <v>33000</v>
      </c>
      <c r="G3192">
        <v>18000</v>
      </c>
      <c r="H3192">
        <f>Table1[[#This Row],[Qty]]*Table1[[#This Row],[SellingPrice]]</f>
        <v>33000</v>
      </c>
      <c r="I3192">
        <f>Table1[[#This Row],[Qty]]*Table1[[#This Row],[CostPrice]]</f>
        <v>18000</v>
      </c>
      <c r="J3192">
        <v>14895</v>
      </c>
      <c r="K3192">
        <v>104.99999999999999</v>
      </c>
      <c r="L3192" t="s">
        <v>13</v>
      </c>
      <c r="M3192" t="s">
        <v>27</v>
      </c>
      <c r="N3192">
        <f>MONTH(Table1[[#This Row],[SaleDate]])</f>
        <v>12</v>
      </c>
      <c r="O3192" t="str">
        <f>TEXT(Table1[[#This Row],[SaleDate]],"MMM")</f>
        <v>Dec</v>
      </c>
    </row>
    <row r="3193" spans="1:15">
      <c r="A3193" s="1">
        <v>45281</v>
      </c>
      <c r="B3193" t="s">
        <v>25</v>
      </c>
      <c r="C3193" t="s">
        <v>21</v>
      </c>
      <c r="D3193">
        <v>1</v>
      </c>
      <c r="E3193" t="s">
        <v>9</v>
      </c>
      <c r="F3193">
        <v>60000</v>
      </c>
      <c r="G3193">
        <v>31000</v>
      </c>
      <c r="H3193">
        <f>Table1[[#This Row],[Qty]]*Table1[[#This Row],[SellingPrice]]</f>
        <v>60000</v>
      </c>
      <c r="I3193">
        <f>Table1[[#This Row],[Qty]]*Table1[[#This Row],[CostPrice]]</f>
        <v>31000</v>
      </c>
      <c r="J3193">
        <v>28797</v>
      </c>
      <c r="K3193">
        <v>202.99999999999997</v>
      </c>
      <c r="L3193" t="s">
        <v>13</v>
      </c>
      <c r="M3193" t="s">
        <v>29</v>
      </c>
      <c r="N3193">
        <f>MONTH(Table1[[#This Row],[SaleDate]])</f>
        <v>12</v>
      </c>
      <c r="O3193" t="str">
        <f>TEXT(Table1[[#This Row],[SaleDate]],"MMM")</f>
        <v>Dec</v>
      </c>
    </row>
    <row r="3194" spans="1:15">
      <c r="A3194" s="1">
        <v>45281</v>
      </c>
      <c r="B3194" t="s">
        <v>25</v>
      </c>
      <c r="C3194" t="s">
        <v>21</v>
      </c>
      <c r="D3194">
        <v>1</v>
      </c>
      <c r="E3194" t="s">
        <v>10</v>
      </c>
      <c r="F3194">
        <v>89000</v>
      </c>
      <c r="G3194">
        <v>65000</v>
      </c>
      <c r="H3194">
        <f>Table1[[#This Row],[Qty]]*Table1[[#This Row],[SellingPrice]]</f>
        <v>89000</v>
      </c>
      <c r="I3194">
        <f>Table1[[#This Row],[Qty]]*Table1[[#This Row],[CostPrice]]</f>
        <v>65000</v>
      </c>
      <c r="J3194">
        <v>23832</v>
      </c>
      <c r="K3194">
        <v>167.99999999999997</v>
      </c>
      <c r="L3194" t="s">
        <v>13</v>
      </c>
      <c r="M3194" t="s">
        <v>30</v>
      </c>
      <c r="N3194">
        <f>MONTH(Table1[[#This Row],[SaleDate]])</f>
        <v>12</v>
      </c>
      <c r="O3194" t="str">
        <f>TEXT(Table1[[#This Row],[SaleDate]],"MMM")</f>
        <v>Dec</v>
      </c>
    </row>
    <row r="3195" spans="1:15">
      <c r="A3195" s="1">
        <v>45282</v>
      </c>
      <c r="B3195" t="s">
        <v>23</v>
      </c>
      <c r="C3195" t="s">
        <v>19</v>
      </c>
      <c r="D3195">
        <v>1</v>
      </c>
      <c r="E3195" t="s">
        <v>7</v>
      </c>
      <c r="F3195">
        <v>33000</v>
      </c>
      <c r="G3195">
        <v>18000</v>
      </c>
      <c r="H3195">
        <f>Table1[[#This Row],[Qty]]*Table1[[#This Row],[SellingPrice]]</f>
        <v>33000</v>
      </c>
      <c r="I3195">
        <f>Table1[[#This Row],[Qty]]*Table1[[#This Row],[CostPrice]]</f>
        <v>18000</v>
      </c>
      <c r="J3195">
        <v>14895</v>
      </c>
      <c r="K3195">
        <v>104.99999999999999</v>
      </c>
      <c r="L3195" t="s">
        <v>8</v>
      </c>
      <c r="M3195" t="s">
        <v>29</v>
      </c>
      <c r="N3195">
        <f>MONTH(Table1[[#This Row],[SaleDate]])</f>
        <v>12</v>
      </c>
      <c r="O3195" t="str">
        <f>TEXT(Table1[[#This Row],[SaleDate]],"MMM")</f>
        <v>Dec</v>
      </c>
    </row>
    <row r="3196" spans="1:15">
      <c r="A3196" s="1">
        <v>45282</v>
      </c>
      <c r="B3196" t="s">
        <v>23</v>
      </c>
      <c r="C3196" t="s">
        <v>19</v>
      </c>
      <c r="D3196">
        <v>1</v>
      </c>
      <c r="E3196" t="s">
        <v>9</v>
      </c>
      <c r="F3196">
        <v>60000</v>
      </c>
      <c r="G3196">
        <v>31000</v>
      </c>
      <c r="H3196">
        <f>Table1[[#This Row],[Qty]]*Table1[[#This Row],[SellingPrice]]</f>
        <v>60000</v>
      </c>
      <c r="I3196">
        <f>Table1[[#This Row],[Qty]]*Table1[[#This Row],[CostPrice]]</f>
        <v>31000</v>
      </c>
      <c r="J3196">
        <v>28797</v>
      </c>
      <c r="K3196">
        <v>202.99999999999997</v>
      </c>
      <c r="L3196" t="s">
        <v>8</v>
      </c>
      <c r="M3196" t="s">
        <v>30</v>
      </c>
      <c r="N3196">
        <f>MONTH(Table1[[#This Row],[SaleDate]])</f>
        <v>12</v>
      </c>
      <c r="O3196" t="str">
        <f>TEXT(Table1[[#This Row],[SaleDate]],"MMM")</f>
        <v>Dec</v>
      </c>
    </row>
    <row r="3197" spans="1:15">
      <c r="A3197" s="1">
        <v>45282</v>
      </c>
      <c r="B3197" t="s">
        <v>23</v>
      </c>
      <c r="C3197" t="s">
        <v>19</v>
      </c>
      <c r="D3197">
        <v>1</v>
      </c>
      <c r="E3197" t="s">
        <v>10</v>
      </c>
      <c r="F3197">
        <v>89000</v>
      </c>
      <c r="G3197">
        <v>65000</v>
      </c>
      <c r="H3197">
        <f>Table1[[#This Row],[Qty]]*Table1[[#This Row],[SellingPrice]]</f>
        <v>89000</v>
      </c>
      <c r="I3197">
        <f>Table1[[#This Row],[Qty]]*Table1[[#This Row],[CostPrice]]</f>
        <v>65000</v>
      </c>
      <c r="J3197">
        <v>23832</v>
      </c>
      <c r="K3197">
        <v>167.99999999999997</v>
      </c>
      <c r="L3197" t="s">
        <v>8</v>
      </c>
      <c r="M3197" t="s">
        <v>29</v>
      </c>
      <c r="N3197">
        <f>MONTH(Table1[[#This Row],[SaleDate]])</f>
        <v>12</v>
      </c>
      <c r="O3197" t="str">
        <f>TEXT(Table1[[#This Row],[SaleDate]],"MMM")</f>
        <v>Dec</v>
      </c>
    </row>
    <row r="3198" spans="1:15">
      <c r="A3198" s="1">
        <v>45282</v>
      </c>
      <c r="B3198" t="s">
        <v>24</v>
      </c>
      <c r="C3198" t="s">
        <v>22</v>
      </c>
      <c r="D3198">
        <v>1</v>
      </c>
      <c r="E3198" t="s">
        <v>7</v>
      </c>
      <c r="F3198">
        <v>33000</v>
      </c>
      <c r="G3198">
        <v>18000</v>
      </c>
      <c r="H3198">
        <f>Table1[[#This Row],[Qty]]*Table1[[#This Row],[SellingPrice]]</f>
        <v>33000</v>
      </c>
      <c r="I3198">
        <f>Table1[[#This Row],[Qty]]*Table1[[#This Row],[CostPrice]]</f>
        <v>18000</v>
      </c>
      <c r="J3198">
        <v>14895</v>
      </c>
      <c r="K3198">
        <v>104.99999999999999</v>
      </c>
      <c r="L3198" t="s">
        <v>12</v>
      </c>
      <c r="M3198" t="s">
        <v>28</v>
      </c>
      <c r="N3198">
        <f>MONTH(Table1[[#This Row],[SaleDate]])</f>
        <v>12</v>
      </c>
      <c r="O3198" t="str">
        <f>TEXT(Table1[[#This Row],[SaleDate]],"MMM")</f>
        <v>Dec</v>
      </c>
    </row>
    <row r="3199" spans="1:15">
      <c r="A3199" s="1">
        <v>45282</v>
      </c>
      <c r="B3199" t="s">
        <v>24</v>
      </c>
      <c r="C3199" t="s">
        <v>22</v>
      </c>
      <c r="D3199">
        <v>1</v>
      </c>
      <c r="E3199" t="s">
        <v>9</v>
      </c>
      <c r="F3199">
        <v>60000</v>
      </c>
      <c r="G3199">
        <v>31000</v>
      </c>
      <c r="H3199">
        <f>Table1[[#This Row],[Qty]]*Table1[[#This Row],[SellingPrice]]</f>
        <v>60000</v>
      </c>
      <c r="I3199">
        <f>Table1[[#This Row],[Qty]]*Table1[[#This Row],[CostPrice]]</f>
        <v>31000</v>
      </c>
      <c r="J3199">
        <v>28797</v>
      </c>
      <c r="K3199">
        <v>202.99999999999997</v>
      </c>
      <c r="L3199" t="s">
        <v>12</v>
      </c>
      <c r="M3199" t="s">
        <v>29</v>
      </c>
      <c r="N3199">
        <f>MONTH(Table1[[#This Row],[SaleDate]])</f>
        <v>12</v>
      </c>
      <c r="O3199" t="str">
        <f>TEXT(Table1[[#This Row],[SaleDate]],"MMM")</f>
        <v>Dec</v>
      </c>
    </row>
    <row r="3200" spans="1:15">
      <c r="A3200" s="1">
        <v>45282</v>
      </c>
      <c r="B3200" t="s">
        <v>24</v>
      </c>
      <c r="C3200" t="s">
        <v>22</v>
      </c>
      <c r="D3200">
        <v>1</v>
      </c>
      <c r="E3200" t="s">
        <v>10</v>
      </c>
      <c r="F3200">
        <v>89000</v>
      </c>
      <c r="G3200">
        <v>65000</v>
      </c>
      <c r="H3200">
        <f>Table1[[#This Row],[Qty]]*Table1[[#This Row],[SellingPrice]]</f>
        <v>89000</v>
      </c>
      <c r="I3200">
        <f>Table1[[#This Row],[Qty]]*Table1[[#This Row],[CostPrice]]</f>
        <v>65000</v>
      </c>
      <c r="J3200">
        <v>23832</v>
      </c>
      <c r="K3200">
        <v>167.99999999999997</v>
      </c>
      <c r="L3200" t="s">
        <v>12</v>
      </c>
      <c r="M3200" t="s">
        <v>29</v>
      </c>
      <c r="N3200">
        <f>MONTH(Table1[[#This Row],[SaleDate]])</f>
        <v>12</v>
      </c>
      <c r="O3200" t="str">
        <f>TEXT(Table1[[#This Row],[SaleDate]],"MMM")</f>
        <v>Dec</v>
      </c>
    </row>
    <row r="3201" spans="1:15">
      <c r="A3201" s="1">
        <v>45282</v>
      </c>
      <c r="B3201" t="s">
        <v>25</v>
      </c>
      <c r="C3201" t="s">
        <v>21</v>
      </c>
      <c r="D3201">
        <v>1</v>
      </c>
      <c r="E3201" t="s">
        <v>7</v>
      </c>
      <c r="F3201">
        <v>33000</v>
      </c>
      <c r="G3201">
        <v>18000</v>
      </c>
      <c r="H3201">
        <f>Table1[[#This Row],[Qty]]*Table1[[#This Row],[SellingPrice]]</f>
        <v>33000</v>
      </c>
      <c r="I3201">
        <f>Table1[[#This Row],[Qty]]*Table1[[#This Row],[CostPrice]]</f>
        <v>18000</v>
      </c>
      <c r="J3201">
        <v>14895</v>
      </c>
      <c r="K3201">
        <v>104.99999999999999</v>
      </c>
      <c r="L3201" t="s">
        <v>13</v>
      </c>
      <c r="M3201" t="s">
        <v>29</v>
      </c>
      <c r="N3201">
        <f>MONTH(Table1[[#This Row],[SaleDate]])</f>
        <v>12</v>
      </c>
      <c r="O3201" t="str">
        <f>TEXT(Table1[[#This Row],[SaleDate]],"MMM")</f>
        <v>Dec</v>
      </c>
    </row>
    <row r="3202" spans="1:15">
      <c r="A3202" s="1">
        <v>45282</v>
      </c>
      <c r="B3202" t="s">
        <v>25</v>
      </c>
      <c r="C3202" t="s">
        <v>21</v>
      </c>
      <c r="D3202">
        <v>1</v>
      </c>
      <c r="E3202" t="s">
        <v>9</v>
      </c>
      <c r="F3202">
        <v>60000</v>
      </c>
      <c r="G3202">
        <v>31000</v>
      </c>
      <c r="H3202">
        <f>Table1[[#This Row],[Qty]]*Table1[[#This Row],[SellingPrice]]</f>
        <v>60000</v>
      </c>
      <c r="I3202">
        <f>Table1[[#This Row],[Qty]]*Table1[[#This Row],[CostPrice]]</f>
        <v>31000</v>
      </c>
      <c r="J3202">
        <v>28797</v>
      </c>
      <c r="K3202">
        <v>202.99999999999997</v>
      </c>
      <c r="L3202" t="s">
        <v>13</v>
      </c>
      <c r="M3202" t="s">
        <v>30</v>
      </c>
      <c r="N3202">
        <f>MONTH(Table1[[#This Row],[SaleDate]])</f>
        <v>12</v>
      </c>
      <c r="O3202" t="str">
        <f>TEXT(Table1[[#This Row],[SaleDate]],"MMM")</f>
        <v>Dec</v>
      </c>
    </row>
    <row r="3203" spans="1:15">
      <c r="A3203" s="1">
        <v>45282</v>
      </c>
      <c r="B3203" t="s">
        <v>25</v>
      </c>
      <c r="C3203" t="s">
        <v>21</v>
      </c>
      <c r="D3203">
        <v>1</v>
      </c>
      <c r="E3203" t="s">
        <v>10</v>
      </c>
      <c r="F3203">
        <v>89000</v>
      </c>
      <c r="G3203">
        <v>65000</v>
      </c>
      <c r="H3203">
        <f>Table1[[#This Row],[Qty]]*Table1[[#This Row],[SellingPrice]]</f>
        <v>89000</v>
      </c>
      <c r="I3203">
        <f>Table1[[#This Row],[Qty]]*Table1[[#This Row],[CostPrice]]</f>
        <v>65000</v>
      </c>
      <c r="J3203">
        <v>23832</v>
      </c>
      <c r="K3203">
        <v>167.99999999999997</v>
      </c>
      <c r="L3203" t="s">
        <v>13</v>
      </c>
      <c r="M3203" t="s">
        <v>27</v>
      </c>
      <c r="N3203">
        <f>MONTH(Table1[[#This Row],[SaleDate]])</f>
        <v>12</v>
      </c>
      <c r="O3203" t="str">
        <f>TEXT(Table1[[#This Row],[SaleDate]],"MMM")</f>
        <v>Dec</v>
      </c>
    </row>
    <row r="3204" spans="1:15">
      <c r="A3204" s="1">
        <v>45283</v>
      </c>
      <c r="B3204" t="s">
        <v>23</v>
      </c>
      <c r="C3204" t="s">
        <v>19</v>
      </c>
      <c r="D3204">
        <v>1</v>
      </c>
      <c r="E3204" t="s">
        <v>7</v>
      </c>
      <c r="F3204">
        <v>33000</v>
      </c>
      <c r="G3204">
        <v>18000</v>
      </c>
      <c r="H3204">
        <f>Table1[[#This Row],[Qty]]*Table1[[#This Row],[SellingPrice]]</f>
        <v>33000</v>
      </c>
      <c r="I3204">
        <f>Table1[[#This Row],[Qty]]*Table1[[#This Row],[CostPrice]]</f>
        <v>18000</v>
      </c>
      <c r="J3204">
        <v>14895</v>
      </c>
      <c r="K3204">
        <v>104.99999999999999</v>
      </c>
      <c r="L3204" t="s">
        <v>8</v>
      </c>
      <c r="M3204" t="s">
        <v>30</v>
      </c>
      <c r="N3204">
        <f>MONTH(Table1[[#This Row],[SaleDate]])</f>
        <v>12</v>
      </c>
      <c r="O3204" t="str">
        <f>TEXT(Table1[[#This Row],[SaleDate]],"MMM")</f>
        <v>Dec</v>
      </c>
    </row>
    <row r="3205" spans="1:15">
      <c r="A3205" s="1">
        <v>45283</v>
      </c>
      <c r="B3205" t="s">
        <v>23</v>
      </c>
      <c r="C3205" t="s">
        <v>19</v>
      </c>
      <c r="D3205">
        <v>1</v>
      </c>
      <c r="E3205" t="s">
        <v>9</v>
      </c>
      <c r="F3205">
        <v>60000</v>
      </c>
      <c r="G3205">
        <v>31000</v>
      </c>
      <c r="H3205">
        <f>Table1[[#This Row],[Qty]]*Table1[[#This Row],[SellingPrice]]</f>
        <v>60000</v>
      </c>
      <c r="I3205">
        <f>Table1[[#This Row],[Qty]]*Table1[[#This Row],[CostPrice]]</f>
        <v>31000</v>
      </c>
      <c r="J3205">
        <v>28797</v>
      </c>
      <c r="K3205">
        <v>202.99999999999997</v>
      </c>
      <c r="L3205" t="s">
        <v>8</v>
      </c>
      <c r="M3205" t="s">
        <v>29</v>
      </c>
      <c r="N3205">
        <f>MONTH(Table1[[#This Row],[SaleDate]])</f>
        <v>12</v>
      </c>
      <c r="O3205" t="str">
        <f>TEXT(Table1[[#This Row],[SaleDate]],"MMM")</f>
        <v>Dec</v>
      </c>
    </row>
    <row r="3206" spans="1:15">
      <c r="A3206" s="1">
        <v>45283</v>
      </c>
      <c r="B3206" t="s">
        <v>23</v>
      </c>
      <c r="C3206" t="s">
        <v>19</v>
      </c>
      <c r="D3206">
        <v>1</v>
      </c>
      <c r="E3206" t="s">
        <v>10</v>
      </c>
      <c r="F3206">
        <v>89000</v>
      </c>
      <c r="G3206">
        <v>65000</v>
      </c>
      <c r="H3206">
        <f>Table1[[#This Row],[Qty]]*Table1[[#This Row],[SellingPrice]]</f>
        <v>89000</v>
      </c>
      <c r="I3206">
        <f>Table1[[#This Row],[Qty]]*Table1[[#This Row],[CostPrice]]</f>
        <v>65000</v>
      </c>
      <c r="J3206">
        <v>23832</v>
      </c>
      <c r="K3206">
        <v>167.99999999999997</v>
      </c>
      <c r="L3206" t="s">
        <v>8</v>
      </c>
      <c r="M3206" t="s">
        <v>28</v>
      </c>
      <c r="N3206">
        <f>MONTH(Table1[[#This Row],[SaleDate]])</f>
        <v>12</v>
      </c>
      <c r="O3206" t="str">
        <f>TEXT(Table1[[#This Row],[SaleDate]],"MMM")</f>
        <v>Dec</v>
      </c>
    </row>
    <row r="3207" spans="1:15">
      <c r="A3207" s="1">
        <v>45283</v>
      </c>
      <c r="B3207" t="s">
        <v>24</v>
      </c>
      <c r="C3207" t="s">
        <v>22</v>
      </c>
      <c r="D3207">
        <v>1</v>
      </c>
      <c r="E3207" t="s">
        <v>7</v>
      </c>
      <c r="F3207">
        <v>33000</v>
      </c>
      <c r="G3207">
        <v>18000</v>
      </c>
      <c r="H3207">
        <f>Table1[[#This Row],[Qty]]*Table1[[#This Row],[SellingPrice]]</f>
        <v>33000</v>
      </c>
      <c r="I3207">
        <f>Table1[[#This Row],[Qty]]*Table1[[#This Row],[CostPrice]]</f>
        <v>18000</v>
      </c>
      <c r="J3207">
        <v>14895</v>
      </c>
      <c r="K3207">
        <v>104.99999999999999</v>
      </c>
      <c r="L3207" t="s">
        <v>12</v>
      </c>
      <c r="M3207" t="s">
        <v>30</v>
      </c>
      <c r="N3207">
        <f>MONTH(Table1[[#This Row],[SaleDate]])</f>
        <v>12</v>
      </c>
      <c r="O3207" t="str">
        <f>TEXT(Table1[[#This Row],[SaleDate]],"MMM")</f>
        <v>Dec</v>
      </c>
    </row>
    <row r="3208" spans="1:15">
      <c r="A3208" s="1">
        <v>45283</v>
      </c>
      <c r="B3208" t="s">
        <v>24</v>
      </c>
      <c r="C3208" t="s">
        <v>22</v>
      </c>
      <c r="D3208">
        <v>1</v>
      </c>
      <c r="E3208" t="s">
        <v>9</v>
      </c>
      <c r="F3208">
        <v>60000</v>
      </c>
      <c r="G3208">
        <v>31000</v>
      </c>
      <c r="H3208">
        <f>Table1[[#This Row],[Qty]]*Table1[[#This Row],[SellingPrice]]</f>
        <v>60000</v>
      </c>
      <c r="I3208">
        <f>Table1[[#This Row],[Qty]]*Table1[[#This Row],[CostPrice]]</f>
        <v>31000</v>
      </c>
      <c r="J3208">
        <v>28797</v>
      </c>
      <c r="K3208">
        <v>202.99999999999997</v>
      </c>
      <c r="L3208" t="s">
        <v>12</v>
      </c>
      <c r="M3208" t="s">
        <v>30</v>
      </c>
      <c r="N3208">
        <f>MONTH(Table1[[#This Row],[SaleDate]])</f>
        <v>12</v>
      </c>
      <c r="O3208" t="str">
        <f>TEXT(Table1[[#This Row],[SaleDate]],"MMM")</f>
        <v>Dec</v>
      </c>
    </row>
    <row r="3209" spans="1:15">
      <c r="A3209" s="1">
        <v>45283</v>
      </c>
      <c r="B3209" t="s">
        <v>24</v>
      </c>
      <c r="C3209" t="s">
        <v>22</v>
      </c>
      <c r="D3209">
        <v>1</v>
      </c>
      <c r="E3209" t="s">
        <v>10</v>
      </c>
      <c r="F3209">
        <v>89000</v>
      </c>
      <c r="G3209">
        <v>65000</v>
      </c>
      <c r="H3209">
        <f>Table1[[#This Row],[Qty]]*Table1[[#This Row],[SellingPrice]]</f>
        <v>89000</v>
      </c>
      <c r="I3209">
        <f>Table1[[#This Row],[Qty]]*Table1[[#This Row],[CostPrice]]</f>
        <v>65000</v>
      </c>
      <c r="J3209">
        <v>23832</v>
      </c>
      <c r="K3209">
        <v>167.99999999999997</v>
      </c>
      <c r="L3209" t="s">
        <v>12</v>
      </c>
      <c r="M3209" t="s">
        <v>30</v>
      </c>
      <c r="N3209">
        <f>MONTH(Table1[[#This Row],[SaleDate]])</f>
        <v>12</v>
      </c>
      <c r="O3209" t="str">
        <f>TEXT(Table1[[#This Row],[SaleDate]],"MMM")</f>
        <v>Dec</v>
      </c>
    </row>
    <row r="3210" spans="1:15">
      <c r="A3210" s="1">
        <v>45283</v>
      </c>
      <c r="B3210" t="s">
        <v>25</v>
      </c>
      <c r="C3210" t="s">
        <v>21</v>
      </c>
      <c r="D3210">
        <v>1</v>
      </c>
      <c r="E3210" t="s">
        <v>7</v>
      </c>
      <c r="F3210">
        <v>33000</v>
      </c>
      <c r="G3210">
        <v>18000</v>
      </c>
      <c r="H3210">
        <f>Table1[[#This Row],[Qty]]*Table1[[#This Row],[SellingPrice]]</f>
        <v>33000</v>
      </c>
      <c r="I3210">
        <f>Table1[[#This Row],[Qty]]*Table1[[#This Row],[CostPrice]]</f>
        <v>18000</v>
      </c>
      <c r="J3210">
        <v>14895</v>
      </c>
      <c r="K3210">
        <v>104.99999999999999</v>
      </c>
      <c r="L3210" t="s">
        <v>13</v>
      </c>
      <c r="M3210" t="s">
        <v>27</v>
      </c>
      <c r="N3210">
        <f>MONTH(Table1[[#This Row],[SaleDate]])</f>
        <v>12</v>
      </c>
      <c r="O3210" t="str">
        <f>TEXT(Table1[[#This Row],[SaleDate]],"MMM")</f>
        <v>Dec</v>
      </c>
    </row>
    <row r="3211" spans="1:15">
      <c r="A3211" s="1">
        <v>45283</v>
      </c>
      <c r="B3211" t="s">
        <v>25</v>
      </c>
      <c r="C3211" t="s">
        <v>21</v>
      </c>
      <c r="D3211">
        <v>1</v>
      </c>
      <c r="E3211" t="s">
        <v>9</v>
      </c>
      <c r="F3211">
        <v>60000</v>
      </c>
      <c r="G3211">
        <v>31000</v>
      </c>
      <c r="H3211">
        <f>Table1[[#This Row],[Qty]]*Table1[[#This Row],[SellingPrice]]</f>
        <v>60000</v>
      </c>
      <c r="I3211">
        <f>Table1[[#This Row],[Qty]]*Table1[[#This Row],[CostPrice]]</f>
        <v>31000</v>
      </c>
      <c r="J3211">
        <v>28797</v>
      </c>
      <c r="K3211">
        <v>202.99999999999997</v>
      </c>
      <c r="L3211" t="s">
        <v>13</v>
      </c>
      <c r="M3211" t="s">
        <v>30</v>
      </c>
      <c r="N3211">
        <f>MONTH(Table1[[#This Row],[SaleDate]])</f>
        <v>12</v>
      </c>
      <c r="O3211" t="str">
        <f>TEXT(Table1[[#This Row],[SaleDate]],"MMM")</f>
        <v>Dec</v>
      </c>
    </row>
    <row r="3212" spans="1:15">
      <c r="A3212" s="1">
        <v>45283</v>
      </c>
      <c r="B3212" t="s">
        <v>25</v>
      </c>
      <c r="C3212" t="s">
        <v>21</v>
      </c>
      <c r="D3212">
        <v>1</v>
      </c>
      <c r="E3212" t="s">
        <v>10</v>
      </c>
      <c r="F3212">
        <v>89000</v>
      </c>
      <c r="G3212">
        <v>65000</v>
      </c>
      <c r="H3212">
        <f>Table1[[#This Row],[Qty]]*Table1[[#This Row],[SellingPrice]]</f>
        <v>89000</v>
      </c>
      <c r="I3212">
        <f>Table1[[#This Row],[Qty]]*Table1[[#This Row],[CostPrice]]</f>
        <v>65000</v>
      </c>
      <c r="J3212">
        <v>23832</v>
      </c>
      <c r="K3212">
        <v>167.99999999999997</v>
      </c>
      <c r="L3212" t="s">
        <v>13</v>
      </c>
      <c r="M3212" t="s">
        <v>30</v>
      </c>
      <c r="N3212">
        <f>MONTH(Table1[[#This Row],[SaleDate]])</f>
        <v>12</v>
      </c>
      <c r="O3212" t="str">
        <f>TEXT(Table1[[#This Row],[SaleDate]],"MMM")</f>
        <v>Dec</v>
      </c>
    </row>
    <row r="3213" spans="1:15">
      <c r="A3213" s="1">
        <v>45284</v>
      </c>
      <c r="B3213" t="s">
        <v>23</v>
      </c>
      <c r="C3213" t="s">
        <v>19</v>
      </c>
      <c r="D3213">
        <v>2</v>
      </c>
      <c r="E3213" t="s">
        <v>7</v>
      </c>
      <c r="F3213">
        <v>33000</v>
      </c>
      <c r="G3213">
        <v>18000</v>
      </c>
      <c r="H3213">
        <f>Table1[[#This Row],[Qty]]*Table1[[#This Row],[SellingPrice]]</f>
        <v>66000</v>
      </c>
      <c r="I3213">
        <f>Table1[[#This Row],[Qty]]*Table1[[#This Row],[CostPrice]]</f>
        <v>36000</v>
      </c>
      <c r="J3213">
        <v>29790</v>
      </c>
      <c r="K3213">
        <v>209.99999999999997</v>
      </c>
      <c r="L3213" t="s">
        <v>8</v>
      </c>
      <c r="M3213" t="s">
        <v>30</v>
      </c>
      <c r="N3213">
        <f>MONTH(Table1[[#This Row],[SaleDate]])</f>
        <v>12</v>
      </c>
      <c r="O3213" t="str">
        <f>TEXT(Table1[[#This Row],[SaleDate]],"MMM")</f>
        <v>Dec</v>
      </c>
    </row>
    <row r="3214" spans="1:15">
      <c r="A3214" s="1">
        <v>45284</v>
      </c>
      <c r="B3214" t="s">
        <v>23</v>
      </c>
      <c r="C3214" t="s">
        <v>19</v>
      </c>
      <c r="D3214">
        <v>2</v>
      </c>
      <c r="E3214" t="s">
        <v>9</v>
      </c>
      <c r="F3214">
        <v>60000</v>
      </c>
      <c r="G3214">
        <v>31000</v>
      </c>
      <c r="H3214">
        <f>Table1[[#This Row],[Qty]]*Table1[[#This Row],[SellingPrice]]</f>
        <v>120000</v>
      </c>
      <c r="I3214">
        <f>Table1[[#This Row],[Qty]]*Table1[[#This Row],[CostPrice]]</f>
        <v>62000</v>
      </c>
      <c r="J3214">
        <v>57594</v>
      </c>
      <c r="K3214">
        <v>405.99999999999994</v>
      </c>
      <c r="L3214" t="s">
        <v>8</v>
      </c>
      <c r="M3214" t="s">
        <v>27</v>
      </c>
      <c r="N3214">
        <f>MONTH(Table1[[#This Row],[SaleDate]])</f>
        <v>12</v>
      </c>
      <c r="O3214" t="str">
        <f>TEXT(Table1[[#This Row],[SaleDate]],"MMM")</f>
        <v>Dec</v>
      </c>
    </row>
    <row r="3215" spans="1:15">
      <c r="A3215" s="1">
        <v>45284</v>
      </c>
      <c r="B3215" t="s">
        <v>23</v>
      </c>
      <c r="C3215" t="s">
        <v>19</v>
      </c>
      <c r="D3215">
        <v>2</v>
      </c>
      <c r="E3215" t="s">
        <v>10</v>
      </c>
      <c r="F3215">
        <v>89000</v>
      </c>
      <c r="G3215">
        <v>65000</v>
      </c>
      <c r="H3215">
        <f>Table1[[#This Row],[Qty]]*Table1[[#This Row],[SellingPrice]]</f>
        <v>178000</v>
      </c>
      <c r="I3215">
        <f>Table1[[#This Row],[Qty]]*Table1[[#This Row],[CostPrice]]</f>
        <v>130000</v>
      </c>
      <c r="J3215">
        <v>47664</v>
      </c>
      <c r="K3215">
        <v>335.99999999999994</v>
      </c>
      <c r="L3215" t="s">
        <v>8</v>
      </c>
      <c r="M3215" t="s">
        <v>30</v>
      </c>
      <c r="N3215">
        <f>MONTH(Table1[[#This Row],[SaleDate]])</f>
        <v>12</v>
      </c>
      <c r="O3215" t="str">
        <f>TEXT(Table1[[#This Row],[SaleDate]],"MMM")</f>
        <v>Dec</v>
      </c>
    </row>
    <row r="3216" spans="1:15">
      <c r="A3216" s="1">
        <v>45284</v>
      </c>
      <c r="B3216" t="s">
        <v>24</v>
      </c>
      <c r="C3216" t="s">
        <v>22</v>
      </c>
      <c r="D3216">
        <v>2</v>
      </c>
      <c r="E3216" t="s">
        <v>7</v>
      </c>
      <c r="F3216">
        <v>33000</v>
      </c>
      <c r="G3216">
        <v>18000</v>
      </c>
      <c r="H3216">
        <f>Table1[[#This Row],[Qty]]*Table1[[#This Row],[SellingPrice]]</f>
        <v>66000</v>
      </c>
      <c r="I3216">
        <f>Table1[[#This Row],[Qty]]*Table1[[#This Row],[CostPrice]]</f>
        <v>36000</v>
      </c>
      <c r="J3216">
        <v>29790</v>
      </c>
      <c r="K3216">
        <v>209.99999999999997</v>
      </c>
      <c r="L3216" t="s">
        <v>12</v>
      </c>
      <c r="M3216" t="s">
        <v>30</v>
      </c>
      <c r="N3216">
        <f>MONTH(Table1[[#This Row],[SaleDate]])</f>
        <v>12</v>
      </c>
      <c r="O3216" t="str">
        <f>TEXT(Table1[[#This Row],[SaleDate]],"MMM")</f>
        <v>Dec</v>
      </c>
    </row>
    <row r="3217" spans="1:15">
      <c r="A3217" s="1">
        <v>45284</v>
      </c>
      <c r="B3217" t="s">
        <v>24</v>
      </c>
      <c r="C3217" t="s">
        <v>22</v>
      </c>
      <c r="D3217">
        <v>2</v>
      </c>
      <c r="E3217" t="s">
        <v>9</v>
      </c>
      <c r="F3217">
        <v>60000</v>
      </c>
      <c r="G3217">
        <v>31000</v>
      </c>
      <c r="H3217">
        <f>Table1[[#This Row],[Qty]]*Table1[[#This Row],[SellingPrice]]</f>
        <v>120000</v>
      </c>
      <c r="I3217">
        <f>Table1[[#This Row],[Qty]]*Table1[[#This Row],[CostPrice]]</f>
        <v>62000</v>
      </c>
      <c r="J3217">
        <v>57594</v>
      </c>
      <c r="K3217">
        <v>405.99999999999994</v>
      </c>
      <c r="L3217" t="s">
        <v>12</v>
      </c>
      <c r="M3217" t="s">
        <v>30</v>
      </c>
      <c r="N3217">
        <f>MONTH(Table1[[#This Row],[SaleDate]])</f>
        <v>12</v>
      </c>
      <c r="O3217" t="str">
        <f>TEXT(Table1[[#This Row],[SaleDate]],"MMM")</f>
        <v>Dec</v>
      </c>
    </row>
    <row r="3218" spans="1:15">
      <c r="A3218" s="1">
        <v>45284</v>
      </c>
      <c r="B3218" t="s">
        <v>24</v>
      </c>
      <c r="C3218" t="s">
        <v>22</v>
      </c>
      <c r="D3218">
        <v>2</v>
      </c>
      <c r="E3218" t="s">
        <v>10</v>
      </c>
      <c r="F3218">
        <v>89000</v>
      </c>
      <c r="G3218">
        <v>65000</v>
      </c>
      <c r="H3218">
        <f>Table1[[#This Row],[Qty]]*Table1[[#This Row],[SellingPrice]]</f>
        <v>178000</v>
      </c>
      <c r="I3218">
        <f>Table1[[#This Row],[Qty]]*Table1[[#This Row],[CostPrice]]</f>
        <v>130000</v>
      </c>
      <c r="J3218">
        <v>47664</v>
      </c>
      <c r="K3218">
        <v>335.99999999999994</v>
      </c>
      <c r="L3218" t="s">
        <v>12</v>
      </c>
      <c r="M3218" t="s">
        <v>30</v>
      </c>
      <c r="N3218">
        <f>MONTH(Table1[[#This Row],[SaleDate]])</f>
        <v>12</v>
      </c>
      <c r="O3218" t="str">
        <f>TEXT(Table1[[#This Row],[SaleDate]],"MMM")</f>
        <v>Dec</v>
      </c>
    </row>
    <row r="3219" spans="1:15">
      <c r="A3219" s="1">
        <v>45284</v>
      </c>
      <c r="B3219" t="s">
        <v>25</v>
      </c>
      <c r="C3219" t="s">
        <v>21</v>
      </c>
      <c r="D3219">
        <v>2</v>
      </c>
      <c r="E3219" t="s">
        <v>7</v>
      </c>
      <c r="F3219">
        <v>33000</v>
      </c>
      <c r="G3219">
        <v>18000</v>
      </c>
      <c r="H3219">
        <f>Table1[[#This Row],[Qty]]*Table1[[#This Row],[SellingPrice]]</f>
        <v>66000</v>
      </c>
      <c r="I3219">
        <f>Table1[[#This Row],[Qty]]*Table1[[#This Row],[CostPrice]]</f>
        <v>36000</v>
      </c>
      <c r="J3219">
        <v>29790</v>
      </c>
      <c r="K3219">
        <v>209.99999999999997</v>
      </c>
      <c r="L3219" t="s">
        <v>13</v>
      </c>
      <c r="M3219" t="s">
        <v>27</v>
      </c>
      <c r="N3219">
        <f>MONTH(Table1[[#This Row],[SaleDate]])</f>
        <v>12</v>
      </c>
      <c r="O3219" t="str">
        <f>TEXT(Table1[[#This Row],[SaleDate]],"MMM")</f>
        <v>Dec</v>
      </c>
    </row>
    <row r="3220" spans="1:15">
      <c r="A3220" s="1">
        <v>45284</v>
      </c>
      <c r="B3220" t="s">
        <v>25</v>
      </c>
      <c r="C3220" t="s">
        <v>21</v>
      </c>
      <c r="D3220">
        <v>2</v>
      </c>
      <c r="E3220" t="s">
        <v>9</v>
      </c>
      <c r="F3220">
        <v>60000</v>
      </c>
      <c r="G3220">
        <v>31000</v>
      </c>
      <c r="H3220">
        <f>Table1[[#This Row],[Qty]]*Table1[[#This Row],[SellingPrice]]</f>
        <v>120000</v>
      </c>
      <c r="I3220">
        <f>Table1[[#This Row],[Qty]]*Table1[[#This Row],[CostPrice]]</f>
        <v>62000</v>
      </c>
      <c r="J3220">
        <v>57594</v>
      </c>
      <c r="K3220">
        <v>405.99999999999994</v>
      </c>
      <c r="L3220" t="s">
        <v>13</v>
      </c>
      <c r="M3220" t="s">
        <v>29</v>
      </c>
      <c r="N3220">
        <f>MONTH(Table1[[#This Row],[SaleDate]])</f>
        <v>12</v>
      </c>
      <c r="O3220" t="str">
        <f>TEXT(Table1[[#This Row],[SaleDate]],"MMM")</f>
        <v>Dec</v>
      </c>
    </row>
    <row r="3221" spans="1:15">
      <c r="A3221" s="1">
        <v>45284</v>
      </c>
      <c r="B3221" t="s">
        <v>25</v>
      </c>
      <c r="C3221" t="s">
        <v>21</v>
      </c>
      <c r="D3221">
        <v>2</v>
      </c>
      <c r="E3221" t="s">
        <v>10</v>
      </c>
      <c r="F3221">
        <v>89000</v>
      </c>
      <c r="G3221">
        <v>65000</v>
      </c>
      <c r="H3221">
        <f>Table1[[#This Row],[Qty]]*Table1[[#This Row],[SellingPrice]]</f>
        <v>178000</v>
      </c>
      <c r="I3221">
        <f>Table1[[#This Row],[Qty]]*Table1[[#This Row],[CostPrice]]</f>
        <v>130000</v>
      </c>
      <c r="J3221">
        <v>47664</v>
      </c>
      <c r="K3221">
        <v>335.99999999999994</v>
      </c>
      <c r="L3221" t="s">
        <v>13</v>
      </c>
      <c r="M3221" t="s">
        <v>27</v>
      </c>
      <c r="N3221">
        <f>MONTH(Table1[[#This Row],[SaleDate]])</f>
        <v>12</v>
      </c>
      <c r="O3221" t="str">
        <f>TEXT(Table1[[#This Row],[SaleDate]],"MMM")</f>
        <v>Dec</v>
      </c>
    </row>
    <row r="3222" spans="1:15">
      <c r="A3222" s="1">
        <v>45285</v>
      </c>
      <c r="B3222" t="s">
        <v>23</v>
      </c>
      <c r="C3222" t="s">
        <v>19</v>
      </c>
      <c r="D3222">
        <v>1</v>
      </c>
      <c r="E3222" t="s">
        <v>7</v>
      </c>
      <c r="F3222">
        <v>33000</v>
      </c>
      <c r="G3222">
        <v>18000</v>
      </c>
      <c r="H3222">
        <f>Table1[[#This Row],[Qty]]*Table1[[#This Row],[SellingPrice]]</f>
        <v>33000</v>
      </c>
      <c r="I3222">
        <f>Table1[[#This Row],[Qty]]*Table1[[#This Row],[CostPrice]]</f>
        <v>18000</v>
      </c>
      <c r="J3222">
        <v>14895</v>
      </c>
      <c r="K3222">
        <v>104.99999999999999</v>
      </c>
      <c r="L3222" t="s">
        <v>8</v>
      </c>
      <c r="M3222" t="s">
        <v>30</v>
      </c>
      <c r="N3222">
        <f>MONTH(Table1[[#This Row],[SaleDate]])</f>
        <v>12</v>
      </c>
      <c r="O3222" t="str">
        <f>TEXT(Table1[[#This Row],[SaleDate]],"MMM")</f>
        <v>Dec</v>
      </c>
    </row>
    <row r="3223" spans="1:15">
      <c r="A3223" s="1">
        <v>45285</v>
      </c>
      <c r="B3223" t="s">
        <v>23</v>
      </c>
      <c r="C3223" t="s">
        <v>19</v>
      </c>
      <c r="D3223">
        <v>1</v>
      </c>
      <c r="E3223" t="s">
        <v>9</v>
      </c>
      <c r="F3223">
        <v>60000</v>
      </c>
      <c r="G3223">
        <v>31000</v>
      </c>
      <c r="H3223">
        <f>Table1[[#This Row],[Qty]]*Table1[[#This Row],[SellingPrice]]</f>
        <v>60000</v>
      </c>
      <c r="I3223">
        <f>Table1[[#This Row],[Qty]]*Table1[[#This Row],[CostPrice]]</f>
        <v>31000</v>
      </c>
      <c r="J3223">
        <v>28797</v>
      </c>
      <c r="K3223">
        <v>202.99999999999997</v>
      </c>
      <c r="L3223" t="s">
        <v>8</v>
      </c>
      <c r="M3223" t="s">
        <v>27</v>
      </c>
      <c r="N3223">
        <f>MONTH(Table1[[#This Row],[SaleDate]])</f>
        <v>12</v>
      </c>
      <c r="O3223" t="str">
        <f>TEXT(Table1[[#This Row],[SaleDate]],"MMM")</f>
        <v>Dec</v>
      </c>
    </row>
    <row r="3224" spans="1:15">
      <c r="A3224" s="1">
        <v>45285</v>
      </c>
      <c r="B3224" t="s">
        <v>23</v>
      </c>
      <c r="C3224" t="s">
        <v>19</v>
      </c>
      <c r="D3224">
        <v>1</v>
      </c>
      <c r="E3224" t="s">
        <v>10</v>
      </c>
      <c r="F3224">
        <v>89000</v>
      </c>
      <c r="G3224">
        <v>65000</v>
      </c>
      <c r="H3224">
        <f>Table1[[#This Row],[Qty]]*Table1[[#This Row],[SellingPrice]]</f>
        <v>89000</v>
      </c>
      <c r="I3224">
        <f>Table1[[#This Row],[Qty]]*Table1[[#This Row],[CostPrice]]</f>
        <v>65000</v>
      </c>
      <c r="J3224">
        <v>23832</v>
      </c>
      <c r="K3224">
        <v>167.99999999999997</v>
      </c>
      <c r="L3224" t="s">
        <v>8</v>
      </c>
      <c r="M3224" t="s">
        <v>30</v>
      </c>
      <c r="N3224">
        <f>MONTH(Table1[[#This Row],[SaleDate]])</f>
        <v>12</v>
      </c>
      <c r="O3224" t="str">
        <f>TEXT(Table1[[#This Row],[SaleDate]],"MMM")</f>
        <v>Dec</v>
      </c>
    </row>
    <row r="3225" spans="1:15">
      <c r="A3225" s="1">
        <v>45285</v>
      </c>
      <c r="B3225" t="s">
        <v>24</v>
      </c>
      <c r="C3225" t="s">
        <v>22</v>
      </c>
      <c r="D3225">
        <v>1</v>
      </c>
      <c r="E3225" t="s">
        <v>7</v>
      </c>
      <c r="F3225">
        <v>33000</v>
      </c>
      <c r="G3225">
        <v>18000</v>
      </c>
      <c r="H3225">
        <f>Table1[[#This Row],[Qty]]*Table1[[#This Row],[SellingPrice]]</f>
        <v>33000</v>
      </c>
      <c r="I3225">
        <f>Table1[[#This Row],[Qty]]*Table1[[#This Row],[CostPrice]]</f>
        <v>18000</v>
      </c>
      <c r="J3225">
        <v>14895</v>
      </c>
      <c r="K3225">
        <v>104.99999999999999</v>
      </c>
      <c r="L3225" t="s">
        <v>12</v>
      </c>
      <c r="M3225" t="s">
        <v>30</v>
      </c>
      <c r="N3225">
        <f>MONTH(Table1[[#This Row],[SaleDate]])</f>
        <v>12</v>
      </c>
      <c r="O3225" t="str">
        <f>TEXT(Table1[[#This Row],[SaleDate]],"MMM")</f>
        <v>Dec</v>
      </c>
    </row>
    <row r="3226" spans="1:15">
      <c r="A3226" s="1">
        <v>45285</v>
      </c>
      <c r="B3226" t="s">
        <v>24</v>
      </c>
      <c r="C3226" t="s">
        <v>22</v>
      </c>
      <c r="D3226">
        <v>1</v>
      </c>
      <c r="E3226" t="s">
        <v>9</v>
      </c>
      <c r="F3226">
        <v>60000</v>
      </c>
      <c r="G3226">
        <v>31000</v>
      </c>
      <c r="H3226">
        <f>Table1[[#This Row],[Qty]]*Table1[[#This Row],[SellingPrice]]</f>
        <v>60000</v>
      </c>
      <c r="I3226">
        <f>Table1[[#This Row],[Qty]]*Table1[[#This Row],[CostPrice]]</f>
        <v>31000</v>
      </c>
      <c r="J3226">
        <v>28797</v>
      </c>
      <c r="K3226">
        <v>202.99999999999997</v>
      </c>
      <c r="L3226" t="s">
        <v>12</v>
      </c>
      <c r="M3226" t="s">
        <v>30</v>
      </c>
      <c r="N3226">
        <f>MONTH(Table1[[#This Row],[SaleDate]])</f>
        <v>12</v>
      </c>
      <c r="O3226" t="str">
        <f>TEXT(Table1[[#This Row],[SaleDate]],"MMM")</f>
        <v>Dec</v>
      </c>
    </row>
    <row r="3227" spans="1:15">
      <c r="A3227" s="1">
        <v>45285</v>
      </c>
      <c r="B3227" t="s">
        <v>24</v>
      </c>
      <c r="C3227" t="s">
        <v>22</v>
      </c>
      <c r="D3227">
        <v>1</v>
      </c>
      <c r="E3227" t="s">
        <v>10</v>
      </c>
      <c r="F3227">
        <v>89000</v>
      </c>
      <c r="G3227">
        <v>65000</v>
      </c>
      <c r="H3227">
        <f>Table1[[#This Row],[Qty]]*Table1[[#This Row],[SellingPrice]]</f>
        <v>89000</v>
      </c>
      <c r="I3227">
        <f>Table1[[#This Row],[Qty]]*Table1[[#This Row],[CostPrice]]</f>
        <v>65000</v>
      </c>
      <c r="J3227">
        <v>23832</v>
      </c>
      <c r="K3227">
        <v>167.99999999999997</v>
      </c>
      <c r="L3227" t="s">
        <v>12</v>
      </c>
      <c r="M3227" t="s">
        <v>29</v>
      </c>
      <c r="N3227">
        <f>MONTH(Table1[[#This Row],[SaleDate]])</f>
        <v>12</v>
      </c>
      <c r="O3227" t="str">
        <f>TEXT(Table1[[#This Row],[SaleDate]],"MMM")</f>
        <v>Dec</v>
      </c>
    </row>
    <row r="3228" spans="1:15">
      <c r="A3228" s="1">
        <v>45285</v>
      </c>
      <c r="B3228" t="s">
        <v>25</v>
      </c>
      <c r="C3228" t="s">
        <v>21</v>
      </c>
      <c r="D3228">
        <v>1</v>
      </c>
      <c r="E3228" t="s">
        <v>7</v>
      </c>
      <c r="F3228">
        <v>33000</v>
      </c>
      <c r="G3228">
        <v>18000</v>
      </c>
      <c r="H3228">
        <f>Table1[[#This Row],[Qty]]*Table1[[#This Row],[SellingPrice]]</f>
        <v>33000</v>
      </c>
      <c r="I3228">
        <f>Table1[[#This Row],[Qty]]*Table1[[#This Row],[CostPrice]]</f>
        <v>18000</v>
      </c>
      <c r="J3228">
        <v>14895</v>
      </c>
      <c r="K3228">
        <v>104.99999999999999</v>
      </c>
      <c r="L3228" t="s">
        <v>13</v>
      </c>
      <c r="M3228" t="s">
        <v>27</v>
      </c>
      <c r="N3228">
        <f>MONTH(Table1[[#This Row],[SaleDate]])</f>
        <v>12</v>
      </c>
      <c r="O3228" t="str">
        <f>TEXT(Table1[[#This Row],[SaleDate]],"MMM")</f>
        <v>Dec</v>
      </c>
    </row>
    <row r="3229" spans="1:15">
      <c r="A3229" s="1">
        <v>45285</v>
      </c>
      <c r="B3229" t="s">
        <v>25</v>
      </c>
      <c r="C3229" t="s">
        <v>21</v>
      </c>
      <c r="D3229">
        <v>1</v>
      </c>
      <c r="E3229" t="s">
        <v>9</v>
      </c>
      <c r="F3229">
        <v>60000</v>
      </c>
      <c r="G3229">
        <v>31000</v>
      </c>
      <c r="H3229">
        <f>Table1[[#This Row],[Qty]]*Table1[[#This Row],[SellingPrice]]</f>
        <v>60000</v>
      </c>
      <c r="I3229">
        <f>Table1[[#This Row],[Qty]]*Table1[[#This Row],[CostPrice]]</f>
        <v>31000</v>
      </c>
      <c r="J3229">
        <v>28797</v>
      </c>
      <c r="K3229">
        <v>202.99999999999997</v>
      </c>
      <c r="L3229" t="s">
        <v>13</v>
      </c>
      <c r="M3229" t="s">
        <v>29</v>
      </c>
      <c r="N3229">
        <f>MONTH(Table1[[#This Row],[SaleDate]])</f>
        <v>12</v>
      </c>
      <c r="O3229" t="str">
        <f>TEXT(Table1[[#This Row],[SaleDate]],"MMM")</f>
        <v>Dec</v>
      </c>
    </row>
    <row r="3230" spans="1:15">
      <c r="A3230" s="1">
        <v>45285</v>
      </c>
      <c r="B3230" t="s">
        <v>25</v>
      </c>
      <c r="C3230" t="s">
        <v>21</v>
      </c>
      <c r="D3230">
        <v>1</v>
      </c>
      <c r="E3230" t="s">
        <v>10</v>
      </c>
      <c r="F3230">
        <v>89000</v>
      </c>
      <c r="G3230">
        <v>65000</v>
      </c>
      <c r="H3230">
        <f>Table1[[#This Row],[Qty]]*Table1[[#This Row],[SellingPrice]]</f>
        <v>89000</v>
      </c>
      <c r="I3230">
        <f>Table1[[#This Row],[Qty]]*Table1[[#This Row],[CostPrice]]</f>
        <v>65000</v>
      </c>
      <c r="J3230">
        <v>23832</v>
      </c>
      <c r="K3230">
        <v>167.99999999999997</v>
      </c>
      <c r="L3230" t="s">
        <v>13</v>
      </c>
      <c r="M3230" t="s">
        <v>30</v>
      </c>
      <c r="N3230">
        <f>MONTH(Table1[[#This Row],[SaleDate]])</f>
        <v>12</v>
      </c>
      <c r="O3230" t="str">
        <f>TEXT(Table1[[#This Row],[SaleDate]],"MMM")</f>
        <v>Dec</v>
      </c>
    </row>
    <row r="3231" spans="1:15">
      <c r="A3231" s="1">
        <v>45286</v>
      </c>
      <c r="B3231" t="s">
        <v>23</v>
      </c>
      <c r="C3231" t="s">
        <v>19</v>
      </c>
      <c r="D3231">
        <v>2</v>
      </c>
      <c r="E3231" t="s">
        <v>7</v>
      </c>
      <c r="F3231">
        <v>33000</v>
      </c>
      <c r="G3231">
        <v>18000</v>
      </c>
      <c r="H3231">
        <f>Table1[[#This Row],[Qty]]*Table1[[#This Row],[SellingPrice]]</f>
        <v>66000</v>
      </c>
      <c r="I3231">
        <f>Table1[[#This Row],[Qty]]*Table1[[#This Row],[CostPrice]]</f>
        <v>36000</v>
      </c>
      <c r="J3231">
        <v>29790</v>
      </c>
      <c r="K3231">
        <v>209.99999999999997</v>
      </c>
      <c r="L3231" t="s">
        <v>8</v>
      </c>
      <c r="M3231" t="s">
        <v>27</v>
      </c>
      <c r="N3231">
        <f>MONTH(Table1[[#This Row],[SaleDate]])</f>
        <v>12</v>
      </c>
      <c r="O3231" t="str">
        <f>TEXT(Table1[[#This Row],[SaleDate]],"MMM")</f>
        <v>Dec</v>
      </c>
    </row>
    <row r="3232" spans="1:15">
      <c r="A3232" s="1">
        <v>45286</v>
      </c>
      <c r="B3232" t="s">
        <v>23</v>
      </c>
      <c r="C3232" t="s">
        <v>19</v>
      </c>
      <c r="D3232">
        <v>2</v>
      </c>
      <c r="E3232" t="s">
        <v>9</v>
      </c>
      <c r="F3232">
        <v>60000</v>
      </c>
      <c r="G3232">
        <v>31000</v>
      </c>
      <c r="H3232">
        <f>Table1[[#This Row],[Qty]]*Table1[[#This Row],[SellingPrice]]</f>
        <v>120000</v>
      </c>
      <c r="I3232">
        <f>Table1[[#This Row],[Qty]]*Table1[[#This Row],[CostPrice]]</f>
        <v>62000</v>
      </c>
      <c r="J3232">
        <v>57594</v>
      </c>
      <c r="K3232">
        <v>405.99999999999994</v>
      </c>
      <c r="L3232" t="s">
        <v>8</v>
      </c>
      <c r="M3232" t="s">
        <v>30</v>
      </c>
      <c r="N3232">
        <f>MONTH(Table1[[#This Row],[SaleDate]])</f>
        <v>12</v>
      </c>
      <c r="O3232" t="str">
        <f>TEXT(Table1[[#This Row],[SaleDate]],"MMM")</f>
        <v>Dec</v>
      </c>
    </row>
    <row r="3233" spans="1:15">
      <c r="A3233" s="1">
        <v>45286</v>
      </c>
      <c r="B3233" t="s">
        <v>23</v>
      </c>
      <c r="C3233" t="s">
        <v>19</v>
      </c>
      <c r="D3233">
        <v>2</v>
      </c>
      <c r="E3233" t="s">
        <v>10</v>
      </c>
      <c r="F3233">
        <v>89000</v>
      </c>
      <c r="G3233">
        <v>65000</v>
      </c>
      <c r="H3233">
        <f>Table1[[#This Row],[Qty]]*Table1[[#This Row],[SellingPrice]]</f>
        <v>178000</v>
      </c>
      <c r="I3233">
        <f>Table1[[#This Row],[Qty]]*Table1[[#This Row],[CostPrice]]</f>
        <v>130000</v>
      </c>
      <c r="J3233">
        <v>47664</v>
      </c>
      <c r="K3233">
        <v>335.99999999999994</v>
      </c>
      <c r="L3233" t="s">
        <v>8</v>
      </c>
      <c r="M3233" t="s">
        <v>27</v>
      </c>
      <c r="N3233">
        <f>MONTH(Table1[[#This Row],[SaleDate]])</f>
        <v>12</v>
      </c>
      <c r="O3233" t="str">
        <f>TEXT(Table1[[#This Row],[SaleDate]],"MMM")</f>
        <v>Dec</v>
      </c>
    </row>
    <row r="3234" spans="1:15">
      <c r="A3234" s="1">
        <v>45286</v>
      </c>
      <c r="B3234" t="s">
        <v>24</v>
      </c>
      <c r="C3234" t="s">
        <v>22</v>
      </c>
      <c r="D3234">
        <v>2</v>
      </c>
      <c r="E3234" t="s">
        <v>7</v>
      </c>
      <c r="F3234">
        <v>33000</v>
      </c>
      <c r="G3234">
        <v>18000</v>
      </c>
      <c r="H3234">
        <f>Table1[[#This Row],[Qty]]*Table1[[#This Row],[SellingPrice]]</f>
        <v>66000</v>
      </c>
      <c r="I3234">
        <f>Table1[[#This Row],[Qty]]*Table1[[#This Row],[CostPrice]]</f>
        <v>36000</v>
      </c>
      <c r="J3234">
        <v>29790</v>
      </c>
      <c r="K3234">
        <v>209.99999999999997</v>
      </c>
      <c r="L3234" t="s">
        <v>12</v>
      </c>
      <c r="M3234" t="s">
        <v>27</v>
      </c>
      <c r="N3234">
        <f>MONTH(Table1[[#This Row],[SaleDate]])</f>
        <v>12</v>
      </c>
      <c r="O3234" t="str">
        <f>TEXT(Table1[[#This Row],[SaleDate]],"MMM")</f>
        <v>Dec</v>
      </c>
    </row>
    <row r="3235" spans="1:15">
      <c r="A3235" s="1">
        <v>45286</v>
      </c>
      <c r="B3235" t="s">
        <v>24</v>
      </c>
      <c r="C3235" t="s">
        <v>22</v>
      </c>
      <c r="D3235">
        <v>2</v>
      </c>
      <c r="E3235" t="s">
        <v>9</v>
      </c>
      <c r="F3235">
        <v>60000</v>
      </c>
      <c r="G3235">
        <v>31000</v>
      </c>
      <c r="H3235">
        <f>Table1[[#This Row],[Qty]]*Table1[[#This Row],[SellingPrice]]</f>
        <v>120000</v>
      </c>
      <c r="I3235">
        <f>Table1[[#This Row],[Qty]]*Table1[[#This Row],[CostPrice]]</f>
        <v>62000</v>
      </c>
      <c r="J3235">
        <v>57594</v>
      </c>
      <c r="K3235">
        <v>405.99999999999994</v>
      </c>
      <c r="L3235" t="s">
        <v>12</v>
      </c>
      <c r="M3235" t="s">
        <v>27</v>
      </c>
      <c r="N3235">
        <f>MONTH(Table1[[#This Row],[SaleDate]])</f>
        <v>12</v>
      </c>
      <c r="O3235" t="str">
        <f>TEXT(Table1[[#This Row],[SaleDate]],"MMM")</f>
        <v>Dec</v>
      </c>
    </row>
    <row r="3236" spans="1:15">
      <c r="A3236" s="1">
        <v>45286</v>
      </c>
      <c r="B3236" t="s">
        <v>24</v>
      </c>
      <c r="C3236" t="s">
        <v>22</v>
      </c>
      <c r="D3236">
        <v>2</v>
      </c>
      <c r="E3236" t="s">
        <v>10</v>
      </c>
      <c r="F3236">
        <v>89000</v>
      </c>
      <c r="G3236">
        <v>65000</v>
      </c>
      <c r="H3236">
        <f>Table1[[#This Row],[Qty]]*Table1[[#This Row],[SellingPrice]]</f>
        <v>178000</v>
      </c>
      <c r="I3236">
        <f>Table1[[#This Row],[Qty]]*Table1[[#This Row],[CostPrice]]</f>
        <v>130000</v>
      </c>
      <c r="J3236">
        <v>47664</v>
      </c>
      <c r="K3236">
        <v>335.99999999999994</v>
      </c>
      <c r="L3236" t="s">
        <v>12</v>
      </c>
      <c r="M3236" t="s">
        <v>29</v>
      </c>
      <c r="N3236">
        <f>MONTH(Table1[[#This Row],[SaleDate]])</f>
        <v>12</v>
      </c>
      <c r="O3236" t="str">
        <f>TEXT(Table1[[#This Row],[SaleDate]],"MMM")</f>
        <v>Dec</v>
      </c>
    </row>
    <row r="3237" spans="1:15">
      <c r="A3237" s="1">
        <v>45286</v>
      </c>
      <c r="B3237" t="s">
        <v>25</v>
      </c>
      <c r="C3237" t="s">
        <v>21</v>
      </c>
      <c r="D3237">
        <v>2</v>
      </c>
      <c r="E3237" t="s">
        <v>7</v>
      </c>
      <c r="F3237">
        <v>33000</v>
      </c>
      <c r="G3237">
        <v>18000</v>
      </c>
      <c r="H3237">
        <f>Table1[[#This Row],[Qty]]*Table1[[#This Row],[SellingPrice]]</f>
        <v>66000</v>
      </c>
      <c r="I3237">
        <f>Table1[[#This Row],[Qty]]*Table1[[#This Row],[CostPrice]]</f>
        <v>36000</v>
      </c>
      <c r="J3237">
        <v>29790</v>
      </c>
      <c r="K3237">
        <v>209.99999999999997</v>
      </c>
      <c r="L3237" t="s">
        <v>13</v>
      </c>
      <c r="M3237" t="s">
        <v>30</v>
      </c>
      <c r="N3237">
        <f>MONTH(Table1[[#This Row],[SaleDate]])</f>
        <v>12</v>
      </c>
      <c r="O3237" t="str">
        <f>TEXT(Table1[[#This Row],[SaleDate]],"MMM")</f>
        <v>Dec</v>
      </c>
    </row>
    <row r="3238" spans="1:15">
      <c r="A3238" s="1">
        <v>45286</v>
      </c>
      <c r="B3238" t="s">
        <v>25</v>
      </c>
      <c r="C3238" t="s">
        <v>21</v>
      </c>
      <c r="D3238">
        <v>2</v>
      </c>
      <c r="E3238" t="s">
        <v>9</v>
      </c>
      <c r="F3238">
        <v>60000</v>
      </c>
      <c r="G3238">
        <v>31000</v>
      </c>
      <c r="H3238">
        <f>Table1[[#This Row],[Qty]]*Table1[[#This Row],[SellingPrice]]</f>
        <v>120000</v>
      </c>
      <c r="I3238">
        <f>Table1[[#This Row],[Qty]]*Table1[[#This Row],[CostPrice]]</f>
        <v>62000</v>
      </c>
      <c r="J3238">
        <v>57594</v>
      </c>
      <c r="K3238">
        <v>405.99999999999994</v>
      </c>
      <c r="L3238" t="s">
        <v>13</v>
      </c>
      <c r="M3238" t="s">
        <v>30</v>
      </c>
      <c r="N3238">
        <f>MONTH(Table1[[#This Row],[SaleDate]])</f>
        <v>12</v>
      </c>
      <c r="O3238" t="str">
        <f>TEXT(Table1[[#This Row],[SaleDate]],"MMM")</f>
        <v>Dec</v>
      </c>
    </row>
    <row r="3239" spans="1:15">
      <c r="A3239" s="1">
        <v>45286</v>
      </c>
      <c r="B3239" t="s">
        <v>25</v>
      </c>
      <c r="C3239" t="s">
        <v>21</v>
      </c>
      <c r="D3239">
        <v>2</v>
      </c>
      <c r="E3239" t="s">
        <v>10</v>
      </c>
      <c r="F3239">
        <v>89000</v>
      </c>
      <c r="G3239">
        <v>65000</v>
      </c>
      <c r="H3239">
        <f>Table1[[#This Row],[Qty]]*Table1[[#This Row],[SellingPrice]]</f>
        <v>178000</v>
      </c>
      <c r="I3239">
        <f>Table1[[#This Row],[Qty]]*Table1[[#This Row],[CostPrice]]</f>
        <v>130000</v>
      </c>
      <c r="J3239">
        <v>47664</v>
      </c>
      <c r="K3239">
        <v>335.99999999999994</v>
      </c>
      <c r="L3239" t="s">
        <v>13</v>
      </c>
      <c r="M3239" t="s">
        <v>30</v>
      </c>
      <c r="N3239">
        <f>MONTH(Table1[[#This Row],[SaleDate]])</f>
        <v>12</v>
      </c>
      <c r="O3239" t="str">
        <f>TEXT(Table1[[#This Row],[SaleDate]],"MMM")</f>
        <v>Dec</v>
      </c>
    </row>
    <row r="3240" spans="1:15">
      <c r="A3240" s="1">
        <v>45287</v>
      </c>
      <c r="B3240" t="s">
        <v>23</v>
      </c>
      <c r="C3240" t="s">
        <v>19</v>
      </c>
      <c r="D3240">
        <v>1</v>
      </c>
      <c r="E3240" t="s">
        <v>7</v>
      </c>
      <c r="F3240">
        <v>33000</v>
      </c>
      <c r="G3240">
        <v>18000</v>
      </c>
      <c r="H3240">
        <f>Table1[[#This Row],[Qty]]*Table1[[#This Row],[SellingPrice]]</f>
        <v>33000</v>
      </c>
      <c r="I3240">
        <f>Table1[[#This Row],[Qty]]*Table1[[#This Row],[CostPrice]]</f>
        <v>18000</v>
      </c>
      <c r="J3240">
        <v>14895</v>
      </c>
      <c r="K3240">
        <v>104.99999999999999</v>
      </c>
      <c r="L3240" t="s">
        <v>8</v>
      </c>
      <c r="M3240" t="s">
        <v>30</v>
      </c>
      <c r="N3240">
        <f>MONTH(Table1[[#This Row],[SaleDate]])</f>
        <v>12</v>
      </c>
      <c r="O3240" t="str">
        <f>TEXT(Table1[[#This Row],[SaleDate]],"MMM")</f>
        <v>Dec</v>
      </c>
    </row>
    <row r="3241" spans="1:15">
      <c r="A3241" s="1">
        <v>45287</v>
      </c>
      <c r="B3241" t="s">
        <v>23</v>
      </c>
      <c r="C3241" t="s">
        <v>19</v>
      </c>
      <c r="D3241">
        <v>1</v>
      </c>
      <c r="E3241" t="s">
        <v>9</v>
      </c>
      <c r="F3241">
        <v>60000</v>
      </c>
      <c r="G3241">
        <v>31000</v>
      </c>
      <c r="H3241">
        <f>Table1[[#This Row],[Qty]]*Table1[[#This Row],[SellingPrice]]</f>
        <v>60000</v>
      </c>
      <c r="I3241">
        <f>Table1[[#This Row],[Qty]]*Table1[[#This Row],[CostPrice]]</f>
        <v>31000</v>
      </c>
      <c r="J3241">
        <v>28797</v>
      </c>
      <c r="K3241">
        <v>202.99999999999997</v>
      </c>
      <c r="L3241" t="s">
        <v>8</v>
      </c>
      <c r="M3241" t="s">
        <v>29</v>
      </c>
      <c r="N3241">
        <f>MONTH(Table1[[#This Row],[SaleDate]])</f>
        <v>12</v>
      </c>
      <c r="O3241" t="str">
        <f>TEXT(Table1[[#This Row],[SaleDate]],"MMM")</f>
        <v>Dec</v>
      </c>
    </row>
    <row r="3242" spans="1:15">
      <c r="A3242" s="1">
        <v>45287</v>
      </c>
      <c r="B3242" t="s">
        <v>23</v>
      </c>
      <c r="C3242" t="s">
        <v>19</v>
      </c>
      <c r="D3242">
        <v>1</v>
      </c>
      <c r="E3242" t="s">
        <v>10</v>
      </c>
      <c r="F3242">
        <v>89000</v>
      </c>
      <c r="G3242">
        <v>65000</v>
      </c>
      <c r="H3242">
        <f>Table1[[#This Row],[Qty]]*Table1[[#This Row],[SellingPrice]]</f>
        <v>89000</v>
      </c>
      <c r="I3242">
        <f>Table1[[#This Row],[Qty]]*Table1[[#This Row],[CostPrice]]</f>
        <v>65000</v>
      </c>
      <c r="J3242">
        <v>23832</v>
      </c>
      <c r="K3242">
        <v>167.99999999999997</v>
      </c>
      <c r="L3242" t="s">
        <v>8</v>
      </c>
      <c r="M3242" t="s">
        <v>28</v>
      </c>
      <c r="N3242">
        <f>MONTH(Table1[[#This Row],[SaleDate]])</f>
        <v>12</v>
      </c>
      <c r="O3242" t="str">
        <f>TEXT(Table1[[#This Row],[SaleDate]],"MMM")</f>
        <v>Dec</v>
      </c>
    </row>
    <row r="3243" spans="1:15">
      <c r="A3243" s="1">
        <v>45287</v>
      </c>
      <c r="B3243" t="s">
        <v>26</v>
      </c>
      <c r="C3243" t="s">
        <v>20</v>
      </c>
      <c r="D3243">
        <v>1</v>
      </c>
      <c r="E3243" t="s">
        <v>9</v>
      </c>
      <c r="F3243">
        <v>60000</v>
      </c>
      <c r="G3243">
        <v>31000</v>
      </c>
      <c r="H3243">
        <f>Table1[[#This Row],[Qty]]*Table1[[#This Row],[SellingPrice]]</f>
        <v>60000</v>
      </c>
      <c r="I3243">
        <f>Table1[[#This Row],[Qty]]*Table1[[#This Row],[CostPrice]]</f>
        <v>31000</v>
      </c>
      <c r="J3243">
        <v>28797</v>
      </c>
      <c r="K3243">
        <v>202.99999999999997</v>
      </c>
      <c r="L3243" t="s">
        <v>11</v>
      </c>
      <c r="M3243" t="s">
        <v>29</v>
      </c>
      <c r="N3243">
        <f>MONTH(Table1[[#This Row],[SaleDate]])</f>
        <v>12</v>
      </c>
      <c r="O3243" t="str">
        <f>TEXT(Table1[[#This Row],[SaleDate]],"MMM")</f>
        <v>Dec</v>
      </c>
    </row>
    <row r="3244" spans="1:15">
      <c r="A3244" s="1">
        <v>45287</v>
      </c>
      <c r="B3244" t="s">
        <v>24</v>
      </c>
      <c r="C3244" t="s">
        <v>22</v>
      </c>
      <c r="D3244">
        <v>1</v>
      </c>
      <c r="E3244" t="s">
        <v>9</v>
      </c>
      <c r="F3244">
        <v>60000</v>
      </c>
      <c r="G3244">
        <v>31000</v>
      </c>
      <c r="H3244">
        <f>Table1[[#This Row],[Qty]]*Table1[[#This Row],[SellingPrice]]</f>
        <v>60000</v>
      </c>
      <c r="I3244">
        <f>Table1[[#This Row],[Qty]]*Table1[[#This Row],[CostPrice]]</f>
        <v>31000</v>
      </c>
      <c r="J3244">
        <v>28797</v>
      </c>
      <c r="K3244">
        <v>202.99999999999997</v>
      </c>
      <c r="L3244" t="s">
        <v>12</v>
      </c>
      <c r="M3244" t="s">
        <v>29</v>
      </c>
      <c r="N3244">
        <f>MONTH(Table1[[#This Row],[SaleDate]])</f>
        <v>12</v>
      </c>
      <c r="O3244" t="str">
        <f>TEXT(Table1[[#This Row],[SaleDate]],"MMM")</f>
        <v>Dec</v>
      </c>
    </row>
    <row r="3245" spans="1:15">
      <c r="A3245" s="1">
        <v>45287</v>
      </c>
      <c r="B3245" t="s">
        <v>24</v>
      </c>
      <c r="C3245" t="s">
        <v>22</v>
      </c>
      <c r="D3245">
        <v>1</v>
      </c>
      <c r="E3245" t="s">
        <v>10</v>
      </c>
      <c r="F3245">
        <v>89000</v>
      </c>
      <c r="G3245">
        <v>65000</v>
      </c>
      <c r="H3245">
        <f>Table1[[#This Row],[Qty]]*Table1[[#This Row],[SellingPrice]]</f>
        <v>89000</v>
      </c>
      <c r="I3245">
        <f>Table1[[#This Row],[Qty]]*Table1[[#This Row],[CostPrice]]</f>
        <v>65000</v>
      </c>
      <c r="J3245">
        <v>23832</v>
      </c>
      <c r="K3245">
        <v>167.99999999999997</v>
      </c>
      <c r="L3245" t="s">
        <v>12</v>
      </c>
      <c r="M3245" t="s">
        <v>30</v>
      </c>
      <c r="N3245">
        <f>MONTH(Table1[[#This Row],[SaleDate]])</f>
        <v>12</v>
      </c>
      <c r="O3245" t="str">
        <f>TEXT(Table1[[#This Row],[SaleDate]],"MMM")</f>
        <v>Dec</v>
      </c>
    </row>
    <row r="3246" spans="1:15">
      <c r="A3246" s="1">
        <v>45287</v>
      </c>
      <c r="B3246" t="s">
        <v>25</v>
      </c>
      <c r="C3246" t="s">
        <v>21</v>
      </c>
      <c r="D3246">
        <v>1</v>
      </c>
      <c r="E3246" t="s">
        <v>7</v>
      </c>
      <c r="F3246">
        <v>33000</v>
      </c>
      <c r="G3246">
        <v>18000</v>
      </c>
      <c r="H3246">
        <f>Table1[[#This Row],[Qty]]*Table1[[#This Row],[SellingPrice]]</f>
        <v>33000</v>
      </c>
      <c r="I3246">
        <f>Table1[[#This Row],[Qty]]*Table1[[#This Row],[CostPrice]]</f>
        <v>18000</v>
      </c>
      <c r="J3246">
        <v>14895</v>
      </c>
      <c r="K3246">
        <v>104.99999999999999</v>
      </c>
      <c r="L3246" t="s">
        <v>13</v>
      </c>
      <c r="M3246" t="s">
        <v>30</v>
      </c>
      <c r="N3246">
        <f>MONTH(Table1[[#This Row],[SaleDate]])</f>
        <v>12</v>
      </c>
      <c r="O3246" t="str">
        <f>TEXT(Table1[[#This Row],[SaleDate]],"MMM")</f>
        <v>Dec</v>
      </c>
    </row>
    <row r="3247" spans="1:15">
      <c r="A3247" s="1">
        <v>45287</v>
      </c>
      <c r="B3247" t="s">
        <v>25</v>
      </c>
      <c r="C3247" t="s">
        <v>21</v>
      </c>
      <c r="D3247">
        <v>1</v>
      </c>
      <c r="E3247" t="s">
        <v>9</v>
      </c>
      <c r="F3247">
        <v>60000</v>
      </c>
      <c r="G3247">
        <v>31000</v>
      </c>
      <c r="H3247">
        <f>Table1[[#This Row],[Qty]]*Table1[[#This Row],[SellingPrice]]</f>
        <v>60000</v>
      </c>
      <c r="I3247">
        <f>Table1[[#This Row],[Qty]]*Table1[[#This Row],[CostPrice]]</f>
        <v>31000</v>
      </c>
      <c r="J3247">
        <v>28797</v>
      </c>
      <c r="K3247">
        <v>202.99999999999997</v>
      </c>
      <c r="L3247" t="s">
        <v>13</v>
      </c>
      <c r="M3247" t="s">
        <v>27</v>
      </c>
      <c r="N3247">
        <f>MONTH(Table1[[#This Row],[SaleDate]])</f>
        <v>12</v>
      </c>
      <c r="O3247" t="str">
        <f>TEXT(Table1[[#This Row],[SaleDate]],"MMM")</f>
        <v>Dec</v>
      </c>
    </row>
    <row r="3248" spans="1:15">
      <c r="A3248" s="1">
        <v>45287</v>
      </c>
      <c r="B3248" t="s">
        <v>25</v>
      </c>
      <c r="C3248" t="s">
        <v>21</v>
      </c>
      <c r="D3248">
        <v>1</v>
      </c>
      <c r="E3248" t="s">
        <v>10</v>
      </c>
      <c r="F3248">
        <v>89000</v>
      </c>
      <c r="G3248">
        <v>65000</v>
      </c>
      <c r="H3248">
        <f>Table1[[#This Row],[Qty]]*Table1[[#This Row],[SellingPrice]]</f>
        <v>89000</v>
      </c>
      <c r="I3248">
        <f>Table1[[#This Row],[Qty]]*Table1[[#This Row],[CostPrice]]</f>
        <v>65000</v>
      </c>
      <c r="J3248">
        <v>23832</v>
      </c>
      <c r="K3248">
        <v>167.99999999999997</v>
      </c>
      <c r="L3248" t="s">
        <v>13</v>
      </c>
      <c r="M3248" t="s">
        <v>30</v>
      </c>
      <c r="N3248">
        <f>MONTH(Table1[[#This Row],[SaleDate]])</f>
        <v>12</v>
      </c>
      <c r="O3248" t="str">
        <f>TEXT(Table1[[#This Row],[SaleDate]],"MMM")</f>
        <v>Dec</v>
      </c>
    </row>
    <row r="3249" spans="1:15">
      <c r="A3249" s="1">
        <v>45288</v>
      </c>
      <c r="B3249" t="s">
        <v>23</v>
      </c>
      <c r="C3249" t="s">
        <v>19</v>
      </c>
      <c r="D3249">
        <v>1</v>
      </c>
      <c r="E3249" t="s">
        <v>7</v>
      </c>
      <c r="F3249">
        <v>33000</v>
      </c>
      <c r="G3249">
        <v>18000</v>
      </c>
      <c r="H3249">
        <f>Table1[[#This Row],[Qty]]*Table1[[#This Row],[SellingPrice]]</f>
        <v>33000</v>
      </c>
      <c r="I3249">
        <f>Table1[[#This Row],[Qty]]*Table1[[#This Row],[CostPrice]]</f>
        <v>18000</v>
      </c>
      <c r="J3249">
        <v>14895</v>
      </c>
      <c r="K3249">
        <v>104.99999999999999</v>
      </c>
      <c r="L3249" t="s">
        <v>8</v>
      </c>
      <c r="M3249" t="s">
        <v>30</v>
      </c>
      <c r="N3249">
        <f>MONTH(Table1[[#This Row],[SaleDate]])</f>
        <v>12</v>
      </c>
      <c r="O3249" t="str">
        <f>TEXT(Table1[[#This Row],[SaleDate]],"MMM")</f>
        <v>Dec</v>
      </c>
    </row>
    <row r="3250" spans="1:15">
      <c r="A3250" s="1">
        <v>45288</v>
      </c>
      <c r="B3250" t="s">
        <v>23</v>
      </c>
      <c r="C3250" t="s">
        <v>19</v>
      </c>
      <c r="D3250">
        <v>1</v>
      </c>
      <c r="E3250" t="s">
        <v>9</v>
      </c>
      <c r="F3250">
        <v>60000</v>
      </c>
      <c r="G3250">
        <v>31000</v>
      </c>
      <c r="H3250">
        <f>Table1[[#This Row],[Qty]]*Table1[[#This Row],[SellingPrice]]</f>
        <v>60000</v>
      </c>
      <c r="I3250">
        <f>Table1[[#This Row],[Qty]]*Table1[[#This Row],[CostPrice]]</f>
        <v>31000</v>
      </c>
      <c r="J3250">
        <v>28797</v>
      </c>
      <c r="K3250">
        <v>202.99999999999997</v>
      </c>
      <c r="L3250" t="s">
        <v>8</v>
      </c>
      <c r="M3250" t="s">
        <v>30</v>
      </c>
      <c r="N3250">
        <f>MONTH(Table1[[#This Row],[SaleDate]])</f>
        <v>12</v>
      </c>
      <c r="O3250" t="str">
        <f>TEXT(Table1[[#This Row],[SaleDate]],"MMM")</f>
        <v>Dec</v>
      </c>
    </row>
    <row r="3251" spans="1:15">
      <c r="A3251" s="1">
        <v>45288</v>
      </c>
      <c r="B3251" t="s">
        <v>23</v>
      </c>
      <c r="C3251" t="s">
        <v>19</v>
      </c>
      <c r="D3251">
        <v>1</v>
      </c>
      <c r="E3251" t="s">
        <v>10</v>
      </c>
      <c r="F3251">
        <v>89000</v>
      </c>
      <c r="G3251">
        <v>65000</v>
      </c>
      <c r="H3251">
        <f>Table1[[#This Row],[Qty]]*Table1[[#This Row],[SellingPrice]]</f>
        <v>89000</v>
      </c>
      <c r="I3251">
        <f>Table1[[#This Row],[Qty]]*Table1[[#This Row],[CostPrice]]</f>
        <v>65000</v>
      </c>
      <c r="J3251">
        <v>23832</v>
      </c>
      <c r="K3251">
        <v>167.99999999999997</v>
      </c>
      <c r="L3251" t="s">
        <v>8</v>
      </c>
      <c r="M3251" t="s">
        <v>29</v>
      </c>
      <c r="N3251">
        <f>MONTH(Table1[[#This Row],[SaleDate]])</f>
        <v>12</v>
      </c>
      <c r="O3251" t="str">
        <f>TEXT(Table1[[#This Row],[SaleDate]],"MMM")</f>
        <v>Dec</v>
      </c>
    </row>
    <row r="3252" spans="1:15">
      <c r="A3252" s="1">
        <v>45288</v>
      </c>
      <c r="B3252" t="s">
        <v>26</v>
      </c>
      <c r="C3252" t="s">
        <v>20</v>
      </c>
      <c r="D3252">
        <v>1</v>
      </c>
      <c r="E3252" t="s">
        <v>9</v>
      </c>
      <c r="F3252">
        <v>60000</v>
      </c>
      <c r="G3252">
        <v>31000</v>
      </c>
      <c r="H3252">
        <f>Table1[[#This Row],[Qty]]*Table1[[#This Row],[SellingPrice]]</f>
        <v>60000</v>
      </c>
      <c r="I3252">
        <f>Table1[[#This Row],[Qty]]*Table1[[#This Row],[CostPrice]]</f>
        <v>31000</v>
      </c>
      <c r="J3252">
        <v>28797</v>
      </c>
      <c r="K3252">
        <v>202.99999999999997</v>
      </c>
      <c r="L3252" t="s">
        <v>11</v>
      </c>
      <c r="M3252" t="s">
        <v>27</v>
      </c>
      <c r="N3252">
        <f>MONTH(Table1[[#This Row],[SaleDate]])</f>
        <v>12</v>
      </c>
      <c r="O3252" t="str">
        <f>TEXT(Table1[[#This Row],[SaleDate]],"MMM")</f>
        <v>Dec</v>
      </c>
    </row>
    <row r="3253" spans="1:15">
      <c r="A3253" s="1">
        <v>45288</v>
      </c>
      <c r="B3253" t="s">
        <v>24</v>
      </c>
      <c r="C3253" t="s">
        <v>22</v>
      </c>
      <c r="D3253">
        <v>1</v>
      </c>
      <c r="E3253" t="s">
        <v>7</v>
      </c>
      <c r="F3253">
        <v>33000</v>
      </c>
      <c r="G3253">
        <v>18000</v>
      </c>
      <c r="H3253">
        <f>Table1[[#This Row],[Qty]]*Table1[[#This Row],[SellingPrice]]</f>
        <v>33000</v>
      </c>
      <c r="I3253">
        <f>Table1[[#This Row],[Qty]]*Table1[[#This Row],[CostPrice]]</f>
        <v>18000</v>
      </c>
      <c r="J3253">
        <v>14895</v>
      </c>
      <c r="K3253">
        <v>104.99999999999999</v>
      </c>
      <c r="L3253" t="s">
        <v>12</v>
      </c>
      <c r="M3253" t="s">
        <v>27</v>
      </c>
      <c r="N3253">
        <f>MONTH(Table1[[#This Row],[SaleDate]])</f>
        <v>12</v>
      </c>
      <c r="O3253" t="str">
        <f>TEXT(Table1[[#This Row],[SaleDate]],"MMM")</f>
        <v>Dec</v>
      </c>
    </row>
    <row r="3254" spans="1:15">
      <c r="A3254" s="1">
        <v>45288</v>
      </c>
      <c r="B3254" t="s">
        <v>24</v>
      </c>
      <c r="C3254" t="s">
        <v>22</v>
      </c>
      <c r="D3254">
        <v>1</v>
      </c>
      <c r="E3254" t="s">
        <v>9</v>
      </c>
      <c r="F3254">
        <v>60000</v>
      </c>
      <c r="G3254">
        <v>31000</v>
      </c>
      <c r="H3254">
        <f>Table1[[#This Row],[Qty]]*Table1[[#This Row],[SellingPrice]]</f>
        <v>60000</v>
      </c>
      <c r="I3254">
        <f>Table1[[#This Row],[Qty]]*Table1[[#This Row],[CostPrice]]</f>
        <v>31000</v>
      </c>
      <c r="J3254">
        <v>28797</v>
      </c>
      <c r="K3254">
        <v>202.99999999999997</v>
      </c>
      <c r="L3254" t="s">
        <v>12</v>
      </c>
      <c r="M3254" t="s">
        <v>30</v>
      </c>
      <c r="N3254">
        <f>MONTH(Table1[[#This Row],[SaleDate]])</f>
        <v>12</v>
      </c>
      <c r="O3254" t="str">
        <f>TEXT(Table1[[#This Row],[SaleDate]],"MMM")</f>
        <v>Dec</v>
      </c>
    </row>
    <row r="3255" spans="1:15">
      <c r="A3255" s="1">
        <v>45288</v>
      </c>
      <c r="B3255" t="s">
        <v>24</v>
      </c>
      <c r="C3255" t="s">
        <v>22</v>
      </c>
      <c r="D3255">
        <v>1</v>
      </c>
      <c r="E3255" t="s">
        <v>10</v>
      </c>
      <c r="F3255">
        <v>89000</v>
      </c>
      <c r="G3255">
        <v>65000</v>
      </c>
      <c r="H3255">
        <f>Table1[[#This Row],[Qty]]*Table1[[#This Row],[SellingPrice]]</f>
        <v>89000</v>
      </c>
      <c r="I3255">
        <f>Table1[[#This Row],[Qty]]*Table1[[#This Row],[CostPrice]]</f>
        <v>65000</v>
      </c>
      <c r="J3255">
        <v>23832</v>
      </c>
      <c r="K3255">
        <v>167.99999999999997</v>
      </c>
      <c r="L3255" t="s">
        <v>12</v>
      </c>
      <c r="M3255" t="s">
        <v>30</v>
      </c>
      <c r="N3255">
        <f>MONTH(Table1[[#This Row],[SaleDate]])</f>
        <v>12</v>
      </c>
      <c r="O3255" t="str">
        <f>TEXT(Table1[[#This Row],[SaleDate]],"MMM")</f>
        <v>Dec</v>
      </c>
    </row>
    <row r="3256" spans="1:15">
      <c r="A3256" s="1">
        <v>45288</v>
      </c>
      <c r="B3256" t="s">
        <v>25</v>
      </c>
      <c r="C3256" t="s">
        <v>21</v>
      </c>
      <c r="D3256">
        <v>1</v>
      </c>
      <c r="E3256" t="s">
        <v>7</v>
      </c>
      <c r="F3256">
        <v>33000</v>
      </c>
      <c r="G3256">
        <v>18000</v>
      </c>
      <c r="H3256">
        <f>Table1[[#This Row],[Qty]]*Table1[[#This Row],[SellingPrice]]</f>
        <v>33000</v>
      </c>
      <c r="I3256">
        <f>Table1[[#This Row],[Qty]]*Table1[[#This Row],[CostPrice]]</f>
        <v>18000</v>
      </c>
      <c r="J3256">
        <v>14895</v>
      </c>
      <c r="K3256">
        <v>104.99999999999999</v>
      </c>
      <c r="L3256" t="s">
        <v>13</v>
      </c>
      <c r="M3256" t="s">
        <v>29</v>
      </c>
      <c r="N3256">
        <f>MONTH(Table1[[#This Row],[SaleDate]])</f>
        <v>12</v>
      </c>
      <c r="O3256" t="str">
        <f>TEXT(Table1[[#This Row],[SaleDate]],"MMM")</f>
        <v>Dec</v>
      </c>
    </row>
    <row r="3257" spans="1:15">
      <c r="A3257" s="1">
        <v>45288</v>
      </c>
      <c r="B3257" t="s">
        <v>25</v>
      </c>
      <c r="C3257" t="s">
        <v>21</v>
      </c>
      <c r="D3257">
        <v>1</v>
      </c>
      <c r="E3257" t="s">
        <v>9</v>
      </c>
      <c r="F3257">
        <v>60000</v>
      </c>
      <c r="G3257">
        <v>31000</v>
      </c>
      <c r="H3257">
        <f>Table1[[#This Row],[Qty]]*Table1[[#This Row],[SellingPrice]]</f>
        <v>60000</v>
      </c>
      <c r="I3257">
        <f>Table1[[#This Row],[Qty]]*Table1[[#This Row],[CostPrice]]</f>
        <v>31000</v>
      </c>
      <c r="J3257">
        <v>28797</v>
      </c>
      <c r="K3257">
        <v>202.99999999999997</v>
      </c>
      <c r="L3257" t="s">
        <v>13</v>
      </c>
      <c r="M3257" t="s">
        <v>27</v>
      </c>
      <c r="N3257">
        <f>MONTH(Table1[[#This Row],[SaleDate]])</f>
        <v>12</v>
      </c>
      <c r="O3257" t="str">
        <f>TEXT(Table1[[#This Row],[SaleDate]],"MMM")</f>
        <v>Dec</v>
      </c>
    </row>
    <row r="3258" spans="1:15">
      <c r="A3258" s="1">
        <v>45288</v>
      </c>
      <c r="B3258" t="s">
        <v>25</v>
      </c>
      <c r="C3258" t="s">
        <v>21</v>
      </c>
      <c r="D3258">
        <v>1</v>
      </c>
      <c r="E3258" t="s">
        <v>10</v>
      </c>
      <c r="F3258">
        <v>89000</v>
      </c>
      <c r="G3258">
        <v>65000</v>
      </c>
      <c r="H3258">
        <f>Table1[[#This Row],[Qty]]*Table1[[#This Row],[SellingPrice]]</f>
        <v>89000</v>
      </c>
      <c r="I3258">
        <f>Table1[[#This Row],[Qty]]*Table1[[#This Row],[CostPrice]]</f>
        <v>65000</v>
      </c>
      <c r="J3258">
        <v>23832</v>
      </c>
      <c r="K3258">
        <v>167.99999999999997</v>
      </c>
      <c r="L3258" t="s">
        <v>13</v>
      </c>
      <c r="M3258" t="s">
        <v>28</v>
      </c>
      <c r="N3258">
        <f>MONTH(Table1[[#This Row],[SaleDate]])</f>
        <v>12</v>
      </c>
      <c r="O3258" t="str">
        <f>TEXT(Table1[[#This Row],[SaleDate]],"MMM")</f>
        <v>Dec</v>
      </c>
    </row>
    <row r="3259" spans="1:15">
      <c r="A3259" s="1">
        <v>45289</v>
      </c>
      <c r="B3259" t="s">
        <v>23</v>
      </c>
      <c r="C3259" t="s">
        <v>19</v>
      </c>
      <c r="D3259">
        <v>1</v>
      </c>
      <c r="E3259" t="s">
        <v>7</v>
      </c>
      <c r="F3259">
        <v>33000</v>
      </c>
      <c r="G3259">
        <v>18000</v>
      </c>
      <c r="H3259">
        <f>Table1[[#This Row],[Qty]]*Table1[[#This Row],[SellingPrice]]</f>
        <v>33000</v>
      </c>
      <c r="I3259">
        <f>Table1[[#This Row],[Qty]]*Table1[[#This Row],[CostPrice]]</f>
        <v>18000</v>
      </c>
      <c r="J3259">
        <v>14895</v>
      </c>
      <c r="K3259">
        <v>104.99999999999999</v>
      </c>
      <c r="L3259" t="s">
        <v>8</v>
      </c>
      <c r="M3259" t="s">
        <v>30</v>
      </c>
      <c r="N3259">
        <f>MONTH(Table1[[#This Row],[SaleDate]])</f>
        <v>12</v>
      </c>
      <c r="O3259" t="str">
        <f>TEXT(Table1[[#This Row],[SaleDate]],"MMM")</f>
        <v>Dec</v>
      </c>
    </row>
    <row r="3260" spans="1:15">
      <c r="A3260" s="1">
        <v>45289</v>
      </c>
      <c r="B3260" t="s">
        <v>23</v>
      </c>
      <c r="C3260" t="s">
        <v>19</v>
      </c>
      <c r="D3260">
        <v>1</v>
      </c>
      <c r="E3260" t="s">
        <v>9</v>
      </c>
      <c r="F3260">
        <v>60000</v>
      </c>
      <c r="G3260">
        <v>31000</v>
      </c>
      <c r="H3260">
        <f>Table1[[#This Row],[Qty]]*Table1[[#This Row],[SellingPrice]]</f>
        <v>60000</v>
      </c>
      <c r="I3260">
        <f>Table1[[#This Row],[Qty]]*Table1[[#This Row],[CostPrice]]</f>
        <v>31000</v>
      </c>
      <c r="J3260">
        <v>28797</v>
      </c>
      <c r="K3260">
        <v>202.99999999999997</v>
      </c>
      <c r="L3260" t="s">
        <v>8</v>
      </c>
      <c r="M3260" t="s">
        <v>29</v>
      </c>
      <c r="N3260">
        <f>MONTH(Table1[[#This Row],[SaleDate]])</f>
        <v>12</v>
      </c>
      <c r="O3260" t="str">
        <f>TEXT(Table1[[#This Row],[SaleDate]],"MMM")</f>
        <v>Dec</v>
      </c>
    </row>
    <row r="3261" spans="1:15">
      <c r="A3261" s="1">
        <v>45289</v>
      </c>
      <c r="B3261" t="s">
        <v>23</v>
      </c>
      <c r="C3261" t="s">
        <v>19</v>
      </c>
      <c r="D3261">
        <v>1</v>
      </c>
      <c r="E3261" t="s">
        <v>10</v>
      </c>
      <c r="F3261">
        <v>89000</v>
      </c>
      <c r="G3261">
        <v>65000</v>
      </c>
      <c r="H3261">
        <f>Table1[[#This Row],[Qty]]*Table1[[#This Row],[SellingPrice]]</f>
        <v>89000</v>
      </c>
      <c r="I3261">
        <f>Table1[[#This Row],[Qty]]*Table1[[#This Row],[CostPrice]]</f>
        <v>65000</v>
      </c>
      <c r="J3261">
        <v>23832</v>
      </c>
      <c r="K3261">
        <v>167.99999999999997</v>
      </c>
      <c r="L3261" t="s">
        <v>8</v>
      </c>
      <c r="M3261" t="s">
        <v>30</v>
      </c>
      <c r="N3261">
        <f>MONTH(Table1[[#This Row],[SaleDate]])</f>
        <v>12</v>
      </c>
      <c r="O3261" t="str">
        <f>TEXT(Table1[[#This Row],[SaleDate]],"MMM")</f>
        <v>Dec</v>
      </c>
    </row>
    <row r="3262" spans="1:15">
      <c r="A3262" s="1">
        <v>45289</v>
      </c>
      <c r="B3262" t="s">
        <v>26</v>
      </c>
      <c r="C3262" t="s">
        <v>20</v>
      </c>
      <c r="D3262">
        <v>1</v>
      </c>
      <c r="E3262" t="s">
        <v>7</v>
      </c>
      <c r="F3262">
        <v>33000</v>
      </c>
      <c r="G3262">
        <v>18000</v>
      </c>
      <c r="H3262">
        <f>Table1[[#This Row],[Qty]]*Table1[[#This Row],[SellingPrice]]</f>
        <v>33000</v>
      </c>
      <c r="I3262">
        <f>Table1[[#This Row],[Qty]]*Table1[[#This Row],[CostPrice]]</f>
        <v>18000</v>
      </c>
      <c r="J3262">
        <v>14895</v>
      </c>
      <c r="K3262">
        <v>104.99999999999999</v>
      </c>
      <c r="L3262" t="s">
        <v>11</v>
      </c>
      <c r="M3262" t="s">
        <v>30</v>
      </c>
      <c r="N3262">
        <f>MONTH(Table1[[#This Row],[SaleDate]])</f>
        <v>12</v>
      </c>
      <c r="O3262" t="str">
        <f>TEXT(Table1[[#This Row],[SaleDate]],"MMM")</f>
        <v>Dec</v>
      </c>
    </row>
    <row r="3263" spans="1:15">
      <c r="A3263" s="1">
        <v>45289</v>
      </c>
      <c r="B3263" t="s">
        <v>26</v>
      </c>
      <c r="C3263" t="s">
        <v>20</v>
      </c>
      <c r="D3263">
        <v>1</v>
      </c>
      <c r="E3263" t="s">
        <v>9</v>
      </c>
      <c r="F3263">
        <v>60000</v>
      </c>
      <c r="G3263">
        <v>31000</v>
      </c>
      <c r="H3263">
        <f>Table1[[#This Row],[Qty]]*Table1[[#This Row],[SellingPrice]]</f>
        <v>60000</v>
      </c>
      <c r="I3263">
        <f>Table1[[#This Row],[Qty]]*Table1[[#This Row],[CostPrice]]</f>
        <v>31000</v>
      </c>
      <c r="J3263">
        <v>28797</v>
      </c>
      <c r="K3263">
        <v>202.99999999999997</v>
      </c>
      <c r="L3263" t="s">
        <v>11</v>
      </c>
      <c r="M3263" t="s">
        <v>30</v>
      </c>
      <c r="N3263">
        <f>MONTH(Table1[[#This Row],[SaleDate]])</f>
        <v>12</v>
      </c>
      <c r="O3263" t="str">
        <f>TEXT(Table1[[#This Row],[SaleDate]],"MMM")</f>
        <v>Dec</v>
      </c>
    </row>
    <row r="3264" spans="1:15">
      <c r="A3264" s="1">
        <v>45289</v>
      </c>
      <c r="B3264" t="s">
        <v>24</v>
      </c>
      <c r="C3264" t="s">
        <v>22</v>
      </c>
      <c r="D3264">
        <v>1</v>
      </c>
      <c r="E3264" t="s">
        <v>9</v>
      </c>
      <c r="F3264">
        <v>60000</v>
      </c>
      <c r="G3264">
        <v>31000</v>
      </c>
      <c r="H3264">
        <f>Table1[[#This Row],[Qty]]*Table1[[#This Row],[SellingPrice]]</f>
        <v>60000</v>
      </c>
      <c r="I3264">
        <f>Table1[[#This Row],[Qty]]*Table1[[#This Row],[CostPrice]]</f>
        <v>31000</v>
      </c>
      <c r="J3264">
        <v>28797</v>
      </c>
      <c r="K3264">
        <v>202.99999999999997</v>
      </c>
      <c r="L3264" t="s">
        <v>12</v>
      </c>
      <c r="M3264" t="s">
        <v>30</v>
      </c>
      <c r="N3264">
        <f>MONTH(Table1[[#This Row],[SaleDate]])</f>
        <v>12</v>
      </c>
      <c r="O3264" t="str">
        <f>TEXT(Table1[[#This Row],[SaleDate]],"MMM")</f>
        <v>Dec</v>
      </c>
    </row>
    <row r="3265" spans="1:15">
      <c r="A3265" s="1">
        <v>45289</v>
      </c>
      <c r="B3265" t="s">
        <v>24</v>
      </c>
      <c r="C3265" t="s">
        <v>22</v>
      </c>
      <c r="D3265">
        <v>1</v>
      </c>
      <c r="E3265" t="s">
        <v>10</v>
      </c>
      <c r="F3265">
        <v>89000</v>
      </c>
      <c r="G3265">
        <v>65000</v>
      </c>
      <c r="H3265">
        <f>Table1[[#This Row],[Qty]]*Table1[[#This Row],[SellingPrice]]</f>
        <v>89000</v>
      </c>
      <c r="I3265">
        <f>Table1[[#This Row],[Qty]]*Table1[[#This Row],[CostPrice]]</f>
        <v>65000</v>
      </c>
      <c r="J3265">
        <v>23832</v>
      </c>
      <c r="K3265">
        <v>167.99999999999997</v>
      </c>
      <c r="L3265" t="s">
        <v>12</v>
      </c>
      <c r="M3265" t="s">
        <v>27</v>
      </c>
      <c r="N3265">
        <f>MONTH(Table1[[#This Row],[SaleDate]])</f>
        <v>12</v>
      </c>
      <c r="O3265" t="str">
        <f>TEXT(Table1[[#This Row],[SaleDate]],"MMM")</f>
        <v>Dec</v>
      </c>
    </row>
    <row r="3266" spans="1:15">
      <c r="A3266" s="1">
        <v>45289</v>
      </c>
      <c r="B3266" t="s">
        <v>25</v>
      </c>
      <c r="C3266" t="s">
        <v>21</v>
      </c>
      <c r="D3266">
        <v>1</v>
      </c>
      <c r="E3266" t="s">
        <v>7</v>
      </c>
      <c r="F3266">
        <v>33000</v>
      </c>
      <c r="G3266">
        <v>18000</v>
      </c>
      <c r="H3266">
        <f>Table1[[#This Row],[Qty]]*Table1[[#This Row],[SellingPrice]]</f>
        <v>33000</v>
      </c>
      <c r="I3266">
        <f>Table1[[#This Row],[Qty]]*Table1[[#This Row],[CostPrice]]</f>
        <v>18000</v>
      </c>
      <c r="J3266">
        <v>14895</v>
      </c>
      <c r="K3266">
        <v>104.99999999999999</v>
      </c>
      <c r="L3266" t="s">
        <v>13</v>
      </c>
      <c r="M3266" t="s">
        <v>30</v>
      </c>
      <c r="N3266">
        <f>MONTH(Table1[[#This Row],[SaleDate]])</f>
        <v>12</v>
      </c>
      <c r="O3266" t="str">
        <f>TEXT(Table1[[#This Row],[SaleDate]],"MMM")</f>
        <v>Dec</v>
      </c>
    </row>
    <row r="3267" spans="1:15">
      <c r="A3267" s="1">
        <v>45289</v>
      </c>
      <c r="B3267" t="s">
        <v>25</v>
      </c>
      <c r="C3267" t="s">
        <v>21</v>
      </c>
      <c r="D3267">
        <v>1</v>
      </c>
      <c r="E3267" t="s">
        <v>9</v>
      </c>
      <c r="F3267">
        <v>60000</v>
      </c>
      <c r="G3267">
        <v>31000</v>
      </c>
      <c r="H3267">
        <f>Table1[[#This Row],[Qty]]*Table1[[#This Row],[SellingPrice]]</f>
        <v>60000</v>
      </c>
      <c r="I3267">
        <f>Table1[[#This Row],[Qty]]*Table1[[#This Row],[CostPrice]]</f>
        <v>31000</v>
      </c>
      <c r="J3267">
        <v>28797</v>
      </c>
      <c r="K3267">
        <v>202.99999999999997</v>
      </c>
      <c r="L3267" t="s">
        <v>13</v>
      </c>
      <c r="M3267" t="s">
        <v>29</v>
      </c>
      <c r="N3267">
        <f>MONTH(Table1[[#This Row],[SaleDate]])</f>
        <v>12</v>
      </c>
      <c r="O3267" t="str">
        <f>TEXT(Table1[[#This Row],[SaleDate]],"MMM")</f>
        <v>Dec</v>
      </c>
    </row>
    <row r="3268" spans="1:15">
      <c r="A3268" s="1">
        <v>45289</v>
      </c>
      <c r="B3268" t="s">
        <v>25</v>
      </c>
      <c r="C3268" t="s">
        <v>21</v>
      </c>
      <c r="D3268">
        <v>1</v>
      </c>
      <c r="E3268" t="s">
        <v>10</v>
      </c>
      <c r="F3268">
        <v>89000</v>
      </c>
      <c r="G3268">
        <v>65000</v>
      </c>
      <c r="H3268">
        <f>Table1[[#This Row],[Qty]]*Table1[[#This Row],[SellingPrice]]</f>
        <v>89000</v>
      </c>
      <c r="I3268">
        <f>Table1[[#This Row],[Qty]]*Table1[[#This Row],[CostPrice]]</f>
        <v>65000</v>
      </c>
      <c r="J3268">
        <v>23832</v>
      </c>
      <c r="K3268">
        <v>167.99999999999997</v>
      </c>
      <c r="L3268" t="s">
        <v>13</v>
      </c>
      <c r="M3268" t="s">
        <v>29</v>
      </c>
      <c r="N3268">
        <f>MONTH(Table1[[#This Row],[SaleDate]])</f>
        <v>12</v>
      </c>
      <c r="O3268" t="str">
        <f>TEXT(Table1[[#This Row],[SaleDate]],"MMM")</f>
        <v>Dec</v>
      </c>
    </row>
    <row r="3269" spans="1:15">
      <c r="A3269" s="1">
        <v>45290</v>
      </c>
      <c r="B3269" t="s">
        <v>23</v>
      </c>
      <c r="C3269" t="s">
        <v>19</v>
      </c>
      <c r="D3269">
        <v>2</v>
      </c>
      <c r="E3269" t="s">
        <v>7</v>
      </c>
      <c r="F3269">
        <v>33000</v>
      </c>
      <c r="G3269">
        <v>18000</v>
      </c>
      <c r="H3269">
        <f>Table1[[#This Row],[Qty]]*Table1[[#This Row],[SellingPrice]]</f>
        <v>66000</v>
      </c>
      <c r="I3269">
        <f>Table1[[#This Row],[Qty]]*Table1[[#This Row],[CostPrice]]</f>
        <v>36000</v>
      </c>
      <c r="J3269">
        <v>29790</v>
      </c>
      <c r="K3269">
        <v>209.99999999999997</v>
      </c>
      <c r="L3269" t="s">
        <v>8</v>
      </c>
      <c r="M3269" t="s">
        <v>30</v>
      </c>
      <c r="N3269">
        <f>MONTH(Table1[[#This Row],[SaleDate]])</f>
        <v>12</v>
      </c>
      <c r="O3269" t="str">
        <f>TEXT(Table1[[#This Row],[SaleDate]],"MMM")</f>
        <v>Dec</v>
      </c>
    </row>
    <row r="3270" spans="1:15">
      <c r="A3270" s="1">
        <v>45290</v>
      </c>
      <c r="B3270" t="s">
        <v>23</v>
      </c>
      <c r="C3270" t="s">
        <v>19</v>
      </c>
      <c r="D3270">
        <v>2</v>
      </c>
      <c r="E3270" t="s">
        <v>9</v>
      </c>
      <c r="F3270">
        <v>60000</v>
      </c>
      <c r="G3270">
        <v>31000</v>
      </c>
      <c r="H3270">
        <f>Table1[[#This Row],[Qty]]*Table1[[#This Row],[SellingPrice]]</f>
        <v>120000</v>
      </c>
      <c r="I3270">
        <f>Table1[[#This Row],[Qty]]*Table1[[#This Row],[CostPrice]]</f>
        <v>62000</v>
      </c>
      <c r="J3270">
        <v>57594</v>
      </c>
      <c r="K3270">
        <v>405.99999999999994</v>
      </c>
      <c r="L3270" t="s">
        <v>8</v>
      </c>
      <c r="M3270" t="s">
        <v>30</v>
      </c>
      <c r="N3270">
        <f>MONTH(Table1[[#This Row],[SaleDate]])</f>
        <v>12</v>
      </c>
      <c r="O3270" t="str">
        <f>TEXT(Table1[[#This Row],[SaleDate]],"MMM")</f>
        <v>Dec</v>
      </c>
    </row>
    <row r="3271" spans="1:15">
      <c r="A3271" s="1">
        <v>45290</v>
      </c>
      <c r="B3271" t="s">
        <v>23</v>
      </c>
      <c r="C3271" t="s">
        <v>19</v>
      </c>
      <c r="D3271">
        <v>2</v>
      </c>
      <c r="E3271" t="s">
        <v>10</v>
      </c>
      <c r="F3271">
        <v>89000</v>
      </c>
      <c r="G3271">
        <v>65000</v>
      </c>
      <c r="H3271">
        <f>Table1[[#This Row],[Qty]]*Table1[[#This Row],[SellingPrice]]</f>
        <v>178000</v>
      </c>
      <c r="I3271">
        <f>Table1[[#This Row],[Qty]]*Table1[[#This Row],[CostPrice]]</f>
        <v>130000</v>
      </c>
      <c r="J3271">
        <v>47664</v>
      </c>
      <c r="K3271">
        <v>335.99999999999994</v>
      </c>
      <c r="L3271" t="s">
        <v>8</v>
      </c>
      <c r="M3271" t="s">
        <v>29</v>
      </c>
      <c r="N3271">
        <f>MONTH(Table1[[#This Row],[SaleDate]])</f>
        <v>12</v>
      </c>
      <c r="O3271" t="str">
        <f>TEXT(Table1[[#This Row],[SaleDate]],"MMM")</f>
        <v>Dec</v>
      </c>
    </row>
    <row r="3272" spans="1:15">
      <c r="A3272" s="1">
        <v>45290</v>
      </c>
      <c r="B3272" t="s">
        <v>26</v>
      </c>
      <c r="C3272" t="s">
        <v>20</v>
      </c>
      <c r="D3272">
        <v>2</v>
      </c>
      <c r="E3272" t="s">
        <v>7</v>
      </c>
      <c r="F3272">
        <v>33000</v>
      </c>
      <c r="G3272">
        <v>18000</v>
      </c>
      <c r="H3272">
        <f>Table1[[#This Row],[Qty]]*Table1[[#This Row],[SellingPrice]]</f>
        <v>66000</v>
      </c>
      <c r="I3272">
        <f>Table1[[#This Row],[Qty]]*Table1[[#This Row],[CostPrice]]</f>
        <v>36000</v>
      </c>
      <c r="J3272">
        <v>29790</v>
      </c>
      <c r="K3272">
        <v>209.99999999999997</v>
      </c>
      <c r="L3272" t="s">
        <v>11</v>
      </c>
      <c r="M3272" t="s">
        <v>30</v>
      </c>
      <c r="N3272">
        <f>MONTH(Table1[[#This Row],[SaleDate]])</f>
        <v>12</v>
      </c>
      <c r="O3272" t="str">
        <f>TEXT(Table1[[#This Row],[SaleDate]],"MMM")</f>
        <v>Dec</v>
      </c>
    </row>
    <row r="3273" spans="1:15">
      <c r="A3273" s="1">
        <v>45290</v>
      </c>
      <c r="B3273" t="s">
        <v>26</v>
      </c>
      <c r="C3273" t="s">
        <v>20</v>
      </c>
      <c r="D3273">
        <v>2</v>
      </c>
      <c r="E3273" t="s">
        <v>9</v>
      </c>
      <c r="F3273">
        <v>60000</v>
      </c>
      <c r="G3273">
        <v>31000</v>
      </c>
      <c r="H3273">
        <f>Table1[[#This Row],[Qty]]*Table1[[#This Row],[SellingPrice]]</f>
        <v>120000</v>
      </c>
      <c r="I3273">
        <f>Table1[[#This Row],[Qty]]*Table1[[#This Row],[CostPrice]]</f>
        <v>62000</v>
      </c>
      <c r="J3273">
        <v>57594</v>
      </c>
      <c r="K3273">
        <v>405.99999999999994</v>
      </c>
      <c r="L3273" t="s">
        <v>11</v>
      </c>
      <c r="M3273" t="s">
        <v>29</v>
      </c>
      <c r="N3273">
        <f>MONTH(Table1[[#This Row],[SaleDate]])</f>
        <v>12</v>
      </c>
      <c r="O3273" t="str">
        <f>TEXT(Table1[[#This Row],[SaleDate]],"MMM")</f>
        <v>Dec</v>
      </c>
    </row>
    <row r="3274" spans="1:15">
      <c r="A3274" s="1">
        <v>45290</v>
      </c>
      <c r="B3274" t="s">
        <v>24</v>
      </c>
      <c r="C3274" t="s">
        <v>22</v>
      </c>
      <c r="D3274">
        <v>2</v>
      </c>
      <c r="E3274" t="s">
        <v>9</v>
      </c>
      <c r="F3274">
        <v>60000</v>
      </c>
      <c r="G3274">
        <v>31000</v>
      </c>
      <c r="H3274">
        <f>Table1[[#This Row],[Qty]]*Table1[[#This Row],[SellingPrice]]</f>
        <v>120000</v>
      </c>
      <c r="I3274">
        <f>Table1[[#This Row],[Qty]]*Table1[[#This Row],[CostPrice]]</f>
        <v>62000</v>
      </c>
      <c r="J3274">
        <v>57594</v>
      </c>
      <c r="K3274">
        <v>405.99999999999994</v>
      </c>
      <c r="L3274" t="s">
        <v>12</v>
      </c>
      <c r="M3274" t="s">
        <v>29</v>
      </c>
      <c r="N3274">
        <f>MONTH(Table1[[#This Row],[SaleDate]])</f>
        <v>12</v>
      </c>
      <c r="O3274" t="str">
        <f>TEXT(Table1[[#This Row],[SaleDate]],"MMM")</f>
        <v>Dec</v>
      </c>
    </row>
    <row r="3275" spans="1:15">
      <c r="A3275" s="1">
        <v>45290</v>
      </c>
      <c r="B3275" t="s">
        <v>24</v>
      </c>
      <c r="C3275" t="s">
        <v>22</v>
      </c>
      <c r="D3275">
        <v>2</v>
      </c>
      <c r="E3275" t="s">
        <v>10</v>
      </c>
      <c r="F3275">
        <v>89000</v>
      </c>
      <c r="G3275">
        <v>65000</v>
      </c>
      <c r="H3275">
        <f>Table1[[#This Row],[Qty]]*Table1[[#This Row],[SellingPrice]]</f>
        <v>178000</v>
      </c>
      <c r="I3275">
        <f>Table1[[#This Row],[Qty]]*Table1[[#This Row],[CostPrice]]</f>
        <v>130000</v>
      </c>
      <c r="J3275">
        <v>47664</v>
      </c>
      <c r="K3275">
        <v>335.99999999999994</v>
      </c>
      <c r="L3275" t="s">
        <v>12</v>
      </c>
      <c r="M3275" t="s">
        <v>29</v>
      </c>
      <c r="N3275">
        <f>MONTH(Table1[[#This Row],[SaleDate]])</f>
        <v>12</v>
      </c>
      <c r="O3275" t="str">
        <f>TEXT(Table1[[#This Row],[SaleDate]],"MMM")</f>
        <v>Dec</v>
      </c>
    </row>
    <row r="3276" spans="1:15">
      <c r="A3276" s="1">
        <v>45290</v>
      </c>
      <c r="B3276" t="s">
        <v>25</v>
      </c>
      <c r="C3276" t="s">
        <v>21</v>
      </c>
      <c r="D3276">
        <v>2</v>
      </c>
      <c r="E3276" t="s">
        <v>7</v>
      </c>
      <c r="F3276">
        <v>33000</v>
      </c>
      <c r="G3276">
        <v>18000</v>
      </c>
      <c r="H3276">
        <f>Table1[[#This Row],[Qty]]*Table1[[#This Row],[SellingPrice]]</f>
        <v>66000</v>
      </c>
      <c r="I3276">
        <f>Table1[[#This Row],[Qty]]*Table1[[#This Row],[CostPrice]]</f>
        <v>36000</v>
      </c>
      <c r="J3276">
        <v>29790</v>
      </c>
      <c r="K3276">
        <v>209.99999999999997</v>
      </c>
      <c r="L3276" t="s">
        <v>13</v>
      </c>
      <c r="M3276" t="s">
        <v>27</v>
      </c>
      <c r="N3276">
        <f>MONTH(Table1[[#This Row],[SaleDate]])</f>
        <v>12</v>
      </c>
      <c r="O3276" t="str">
        <f>TEXT(Table1[[#This Row],[SaleDate]],"MMM")</f>
        <v>Dec</v>
      </c>
    </row>
    <row r="3277" spans="1:15">
      <c r="A3277" s="1">
        <v>45290</v>
      </c>
      <c r="B3277" t="s">
        <v>25</v>
      </c>
      <c r="C3277" t="s">
        <v>21</v>
      </c>
      <c r="D3277">
        <v>2</v>
      </c>
      <c r="E3277" t="s">
        <v>9</v>
      </c>
      <c r="F3277">
        <v>60000</v>
      </c>
      <c r="G3277">
        <v>31000</v>
      </c>
      <c r="H3277">
        <f>Table1[[#This Row],[Qty]]*Table1[[#This Row],[SellingPrice]]</f>
        <v>120000</v>
      </c>
      <c r="I3277">
        <f>Table1[[#This Row],[Qty]]*Table1[[#This Row],[CostPrice]]</f>
        <v>62000</v>
      </c>
      <c r="J3277">
        <v>57594</v>
      </c>
      <c r="K3277">
        <v>405.99999999999994</v>
      </c>
      <c r="L3277" t="s">
        <v>13</v>
      </c>
      <c r="M3277" t="s">
        <v>27</v>
      </c>
      <c r="N3277">
        <f>MONTH(Table1[[#This Row],[SaleDate]])</f>
        <v>12</v>
      </c>
      <c r="O3277" t="str">
        <f>TEXT(Table1[[#This Row],[SaleDate]],"MMM")</f>
        <v>Dec</v>
      </c>
    </row>
    <row r="3278" spans="1:15">
      <c r="A3278" s="1">
        <v>45290</v>
      </c>
      <c r="B3278" t="s">
        <v>25</v>
      </c>
      <c r="C3278" t="s">
        <v>21</v>
      </c>
      <c r="D3278">
        <v>2</v>
      </c>
      <c r="E3278" t="s">
        <v>10</v>
      </c>
      <c r="F3278">
        <v>89000</v>
      </c>
      <c r="G3278">
        <v>65000</v>
      </c>
      <c r="H3278">
        <f>Table1[[#This Row],[Qty]]*Table1[[#This Row],[SellingPrice]]</f>
        <v>178000</v>
      </c>
      <c r="I3278">
        <f>Table1[[#This Row],[Qty]]*Table1[[#This Row],[CostPrice]]</f>
        <v>130000</v>
      </c>
      <c r="J3278">
        <v>47664</v>
      </c>
      <c r="K3278">
        <v>335.99999999999994</v>
      </c>
      <c r="L3278" t="s">
        <v>13</v>
      </c>
      <c r="M3278" t="s">
        <v>27</v>
      </c>
      <c r="N3278">
        <f>MONTH(Table1[[#This Row],[SaleDate]])</f>
        <v>12</v>
      </c>
      <c r="O3278" t="str">
        <f>TEXT(Table1[[#This Row],[SaleDate]],"MMM")</f>
        <v>Dec</v>
      </c>
    </row>
    <row r="3279" spans="1:15">
      <c r="A3279" s="1">
        <v>45291</v>
      </c>
      <c r="B3279" t="s">
        <v>23</v>
      </c>
      <c r="C3279" t="s">
        <v>19</v>
      </c>
      <c r="D3279">
        <v>2</v>
      </c>
      <c r="E3279" t="s">
        <v>7</v>
      </c>
      <c r="F3279">
        <v>33000</v>
      </c>
      <c r="G3279">
        <v>18000</v>
      </c>
      <c r="H3279">
        <f>Table1[[#This Row],[Qty]]*Table1[[#This Row],[SellingPrice]]</f>
        <v>66000</v>
      </c>
      <c r="I3279">
        <f>Table1[[#This Row],[Qty]]*Table1[[#This Row],[CostPrice]]</f>
        <v>36000</v>
      </c>
      <c r="J3279">
        <v>29790</v>
      </c>
      <c r="K3279">
        <v>209.99999999999997</v>
      </c>
      <c r="L3279" t="s">
        <v>8</v>
      </c>
      <c r="M3279" t="s">
        <v>30</v>
      </c>
      <c r="N3279">
        <f>MONTH(Table1[[#This Row],[SaleDate]])</f>
        <v>12</v>
      </c>
      <c r="O3279" t="str">
        <f>TEXT(Table1[[#This Row],[SaleDate]],"MMM")</f>
        <v>Dec</v>
      </c>
    </row>
    <row r="3280" spans="1:15">
      <c r="A3280" s="1">
        <v>45291</v>
      </c>
      <c r="B3280" t="s">
        <v>23</v>
      </c>
      <c r="C3280" t="s">
        <v>19</v>
      </c>
      <c r="D3280">
        <v>2</v>
      </c>
      <c r="E3280" t="s">
        <v>9</v>
      </c>
      <c r="F3280">
        <v>60000</v>
      </c>
      <c r="G3280">
        <v>31000</v>
      </c>
      <c r="H3280">
        <f>Table1[[#This Row],[Qty]]*Table1[[#This Row],[SellingPrice]]</f>
        <v>120000</v>
      </c>
      <c r="I3280">
        <f>Table1[[#This Row],[Qty]]*Table1[[#This Row],[CostPrice]]</f>
        <v>62000</v>
      </c>
      <c r="J3280">
        <v>57594</v>
      </c>
      <c r="K3280">
        <v>405.99999999999994</v>
      </c>
      <c r="L3280" t="s">
        <v>8</v>
      </c>
      <c r="M3280" t="s">
        <v>30</v>
      </c>
      <c r="N3280">
        <f>MONTH(Table1[[#This Row],[SaleDate]])</f>
        <v>12</v>
      </c>
      <c r="O3280" t="str">
        <f>TEXT(Table1[[#This Row],[SaleDate]],"MMM")</f>
        <v>Dec</v>
      </c>
    </row>
    <row r="3281" spans="1:15">
      <c r="A3281" s="1">
        <v>45291</v>
      </c>
      <c r="B3281" t="s">
        <v>23</v>
      </c>
      <c r="C3281" t="s">
        <v>19</v>
      </c>
      <c r="D3281">
        <v>2</v>
      </c>
      <c r="E3281" t="s">
        <v>10</v>
      </c>
      <c r="F3281">
        <v>89000</v>
      </c>
      <c r="G3281">
        <v>65000</v>
      </c>
      <c r="H3281">
        <f>Table1[[#This Row],[Qty]]*Table1[[#This Row],[SellingPrice]]</f>
        <v>178000</v>
      </c>
      <c r="I3281">
        <f>Table1[[#This Row],[Qty]]*Table1[[#This Row],[CostPrice]]</f>
        <v>130000</v>
      </c>
      <c r="J3281">
        <v>47664</v>
      </c>
      <c r="K3281">
        <v>335.99999999999994</v>
      </c>
      <c r="L3281" t="s">
        <v>8</v>
      </c>
      <c r="M3281" t="s">
        <v>27</v>
      </c>
      <c r="N3281">
        <f>MONTH(Table1[[#This Row],[SaleDate]])</f>
        <v>12</v>
      </c>
      <c r="O3281" t="str">
        <f>TEXT(Table1[[#This Row],[SaleDate]],"MMM")</f>
        <v>Dec</v>
      </c>
    </row>
    <row r="3282" spans="1:15">
      <c r="A3282" s="1">
        <v>45291</v>
      </c>
      <c r="B3282" t="s">
        <v>26</v>
      </c>
      <c r="C3282" t="s">
        <v>20</v>
      </c>
      <c r="D3282">
        <v>2</v>
      </c>
      <c r="E3282" t="s">
        <v>7</v>
      </c>
      <c r="F3282">
        <v>33000</v>
      </c>
      <c r="G3282">
        <v>18000</v>
      </c>
      <c r="H3282">
        <f>Table1[[#This Row],[Qty]]*Table1[[#This Row],[SellingPrice]]</f>
        <v>66000</v>
      </c>
      <c r="I3282">
        <f>Table1[[#This Row],[Qty]]*Table1[[#This Row],[CostPrice]]</f>
        <v>36000</v>
      </c>
      <c r="J3282">
        <v>29790</v>
      </c>
      <c r="K3282">
        <v>209.99999999999997</v>
      </c>
      <c r="L3282" t="s">
        <v>11</v>
      </c>
      <c r="M3282" t="s">
        <v>30</v>
      </c>
      <c r="N3282">
        <f>MONTH(Table1[[#This Row],[SaleDate]])</f>
        <v>12</v>
      </c>
      <c r="O3282" t="str">
        <f>TEXT(Table1[[#This Row],[SaleDate]],"MMM")</f>
        <v>Dec</v>
      </c>
    </row>
    <row r="3283" spans="1:15">
      <c r="A3283" s="1">
        <v>45291</v>
      </c>
      <c r="B3283" t="s">
        <v>26</v>
      </c>
      <c r="C3283" t="s">
        <v>20</v>
      </c>
      <c r="D3283">
        <v>2</v>
      </c>
      <c r="E3283" t="s">
        <v>9</v>
      </c>
      <c r="F3283">
        <v>60000</v>
      </c>
      <c r="G3283">
        <v>31000</v>
      </c>
      <c r="H3283">
        <f>Table1[[#This Row],[Qty]]*Table1[[#This Row],[SellingPrice]]</f>
        <v>120000</v>
      </c>
      <c r="I3283">
        <f>Table1[[#This Row],[Qty]]*Table1[[#This Row],[CostPrice]]</f>
        <v>62000</v>
      </c>
      <c r="J3283">
        <v>57594</v>
      </c>
      <c r="K3283">
        <v>405.99999999999994</v>
      </c>
      <c r="L3283" t="s">
        <v>11</v>
      </c>
      <c r="M3283" t="s">
        <v>30</v>
      </c>
      <c r="N3283">
        <f>MONTH(Table1[[#This Row],[SaleDate]])</f>
        <v>12</v>
      </c>
      <c r="O3283" t="str">
        <f>TEXT(Table1[[#This Row],[SaleDate]],"MMM")</f>
        <v>Dec</v>
      </c>
    </row>
    <row r="3284" spans="1:15">
      <c r="A3284" s="1">
        <v>45291</v>
      </c>
      <c r="B3284" t="s">
        <v>26</v>
      </c>
      <c r="C3284" t="s">
        <v>20</v>
      </c>
      <c r="D3284">
        <v>2</v>
      </c>
      <c r="E3284" t="s">
        <v>10</v>
      </c>
      <c r="F3284">
        <v>89000</v>
      </c>
      <c r="G3284">
        <v>65000</v>
      </c>
      <c r="H3284">
        <f>Table1[[#This Row],[Qty]]*Table1[[#This Row],[SellingPrice]]</f>
        <v>178000</v>
      </c>
      <c r="I3284">
        <f>Table1[[#This Row],[Qty]]*Table1[[#This Row],[CostPrice]]</f>
        <v>130000</v>
      </c>
      <c r="J3284">
        <v>47664</v>
      </c>
      <c r="K3284">
        <v>335.99999999999994</v>
      </c>
      <c r="L3284" t="s">
        <v>11</v>
      </c>
      <c r="M3284" t="s">
        <v>27</v>
      </c>
      <c r="N3284">
        <f>MONTH(Table1[[#This Row],[SaleDate]])</f>
        <v>12</v>
      </c>
      <c r="O3284" t="str">
        <f>TEXT(Table1[[#This Row],[SaleDate]],"MMM")</f>
        <v>Dec</v>
      </c>
    </row>
    <row r="3285" spans="1:15">
      <c r="A3285" s="1">
        <v>45291</v>
      </c>
      <c r="B3285" t="s">
        <v>24</v>
      </c>
      <c r="C3285" t="s">
        <v>22</v>
      </c>
      <c r="D3285">
        <v>2</v>
      </c>
      <c r="E3285" t="s">
        <v>7</v>
      </c>
      <c r="F3285">
        <v>33000</v>
      </c>
      <c r="G3285">
        <v>18000</v>
      </c>
      <c r="H3285">
        <f>Table1[[#This Row],[Qty]]*Table1[[#This Row],[SellingPrice]]</f>
        <v>66000</v>
      </c>
      <c r="I3285">
        <f>Table1[[#This Row],[Qty]]*Table1[[#This Row],[CostPrice]]</f>
        <v>36000</v>
      </c>
      <c r="J3285">
        <v>29790</v>
      </c>
      <c r="K3285">
        <v>209.99999999999997</v>
      </c>
      <c r="L3285" t="s">
        <v>12</v>
      </c>
      <c r="M3285" t="s">
        <v>27</v>
      </c>
      <c r="N3285">
        <f>MONTH(Table1[[#This Row],[SaleDate]])</f>
        <v>12</v>
      </c>
      <c r="O3285" t="str">
        <f>TEXT(Table1[[#This Row],[SaleDate]],"MMM")</f>
        <v>Dec</v>
      </c>
    </row>
    <row r="3286" spans="1:15">
      <c r="A3286" s="1">
        <v>45291</v>
      </c>
      <c r="B3286" t="s">
        <v>24</v>
      </c>
      <c r="C3286" t="s">
        <v>22</v>
      </c>
      <c r="D3286">
        <v>2</v>
      </c>
      <c r="E3286" t="s">
        <v>9</v>
      </c>
      <c r="F3286">
        <v>60000</v>
      </c>
      <c r="G3286">
        <v>31000</v>
      </c>
      <c r="H3286">
        <f>Table1[[#This Row],[Qty]]*Table1[[#This Row],[SellingPrice]]</f>
        <v>120000</v>
      </c>
      <c r="I3286">
        <f>Table1[[#This Row],[Qty]]*Table1[[#This Row],[CostPrice]]</f>
        <v>62000</v>
      </c>
      <c r="J3286">
        <v>57594</v>
      </c>
      <c r="K3286">
        <v>405.99999999999994</v>
      </c>
      <c r="L3286" t="s">
        <v>12</v>
      </c>
      <c r="M3286" t="s">
        <v>30</v>
      </c>
      <c r="N3286">
        <f>MONTH(Table1[[#This Row],[SaleDate]])</f>
        <v>12</v>
      </c>
      <c r="O3286" t="str">
        <f>TEXT(Table1[[#This Row],[SaleDate]],"MMM")</f>
        <v>Dec</v>
      </c>
    </row>
    <row r="3287" spans="1:15">
      <c r="A3287" s="1">
        <v>45291</v>
      </c>
      <c r="B3287" t="s">
        <v>24</v>
      </c>
      <c r="C3287" t="s">
        <v>22</v>
      </c>
      <c r="D3287">
        <v>2</v>
      </c>
      <c r="E3287" t="s">
        <v>10</v>
      </c>
      <c r="F3287">
        <v>89000</v>
      </c>
      <c r="G3287">
        <v>65000</v>
      </c>
      <c r="H3287">
        <f>Table1[[#This Row],[Qty]]*Table1[[#This Row],[SellingPrice]]</f>
        <v>178000</v>
      </c>
      <c r="I3287">
        <f>Table1[[#This Row],[Qty]]*Table1[[#This Row],[CostPrice]]</f>
        <v>130000</v>
      </c>
      <c r="J3287">
        <v>47664</v>
      </c>
      <c r="K3287">
        <v>335.99999999999994</v>
      </c>
      <c r="L3287" t="s">
        <v>12</v>
      </c>
      <c r="M3287" t="s">
        <v>27</v>
      </c>
      <c r="N3287">
        <f>MONTH(Table1[[#This Row],[SaleDate]])</f>
        <v>12</v>
      </c>
      <c r="O3287" t="str">
        <f>TEXT(Table1[[#This Row],[SaleDate]],"MMM")</f>
        <v>Dec</v>
      </c>
    </row>
    <row r="3288" spans="1:15">
      <c r="A3288" s="1">
        <v>45291</v>
      </c>
      <c r="B3288" t="s">
        <v>25</v>
      </c>
      <c r="C3288" t="s">
        <v>21</v>
      </c>
      <c r="D3288">
        <v>2</v>
      </c>
      <c r="E3288" t="s">
        <v>7</v>
      </c>
      <c r="F3288">
        <v>33000</v>
      </c>
      <c r="G3288">
        <v>18000</v>
      </c>
      <c r="H3288">
        <f>Table1[[#This Row],[Qty]]*Table1[[#This Row],[SellingPrice]]</f>
        <v>66000</v>
      </c>
      <c r="I3288">
        <f>Table1[[#This Row],[Qty]]*Table1[[#This Row],[CostPrice]]</f>
        <v>36000</v>
      </c>
      <c r="J3288">
        <v>29790</v>
      </c>
      <c r="K3288">
        <v>209.99999999999997</v>
      </c>
      <c r="L3288" t="s">
        <v>13</v>
      </c>
      <c r="M3288" t="s">
        <v>30</v>
      </c>
      <c r="N3288">
        <f>MONTH(Table1[[#This Row],[SaleDate]])</f>
        <v>12</v>
      </c>
      <c r="O3288" t="str">
        <f>TEXT(Table1[[#This Row],[SaleDate]],"MMM")</f>
        <v>Dec</v>
      </c>
    </row>
    <row r="3289" spans="1:15">
      <c r="A3289" s="1">
        <v>45291</v>
      </c>
      <c r="B3289" t="s">
        <v>25</v>
      </c>
      <c r="C3289" t="s">
        <v>21</v>
      </c>
      <c r="D3289">
        <v>2</v>
      </c>
      <c r="E3289" t="s">
        <v>9</v>
      </c>
      <c r="F3289">
        <v>60000</v>
      </c>
      <c r="G3289">
        <v>31000</v>
      </c>
      <c r="H3289">
        <f>Table1[[#This Row],[Qty]]*Table1[[#This Row],[SellingPrice]]</f>
        <v>120000</v>
      </c>
      <c r="I3289">
        <f>Table1[[#This Row],[Qty]]*Table1[[#This Row],[CostPrice]]</f>
        <v>62000</v>
      </c>
      <c r="J3289">
        <v>57594</v>
      </c>
      <c r="K3289">
        <v>405.99999999999994</v>
      </c>
      <c r="L3289" t="s">
        <v>13</v>
      </c>
      <c r="M3289" t="s">
        <v>29</v>
      </c>
      <c r="N3289">
        <f>MONTH(Table1[[#This Row],[SaleDate]])</f>
        <v>12</v>
      </c>
      <c r="O3289" t="str">
        <f>TEXT(Table1[[#This Row],[SaleDate]],"MMM")</f>
        <v>Dec</v>
      </c>
    </row>
    <row r="3290" spans="1:15">
      <c r="A3290" s="1">
        <v>45291</v>
      </c>
      <c r="B3290" t="s">
        <v>25</v>
      </c>
      <c r="C3290" t="s">
        <v>21</v>
      </c>
      <c r="D3290">
        <v>2</v>
      </c>
      <c r="E3290" t="s">
        <v>10</v>
      </c>
      <c r="F3290">
        <v>89000</v>
      </c>
      <c r="G3290">
        <v>65000</v>
      </c>
      <c r="H3290">
        <f>Table1[[#This Row],[Qty]]*Table1[[#This Row],[SellingPrice]]</f>
        <v>178000</v>
      </c>
      <c r="I3290">
        <f>Table1[[#This Row],[Qty]]*Table1[[#This Row],[CostPrice]]</f>
        <v>130000</v>
      </c>
      <c r="J3290">
        <v>47664</v>
      </c>
      <c r="K3290">
        <v>335.99999999999994</v>
      </c>
      <c r="L3290" t="s">
        <v>13</v>
      </c>
      <c r="M3290" t="s">
        <v>27</v>
      </c>
      <c r="N3290">
        <f>MONTH(Table1[[#This Row],[SaleDate]])</f>
        <v>12</v>
      </c>
      <c r="O3290" t="str">
        <f>TEXT(Table1[[#This Row],[SaleDate]],"MMM")</f>
        <v>Dec</v>
      </c>
    </row>
  </sheetData>
  <sortState ref="A2:H3290">
    <sortCondition ref="A2"/>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Real Estate Analysis</vt:lpstr>
      <vt:lpstr>Real Estate Report Key Insight</vt:lpstr>
      <vt:lpstr>Real Estate Report</vt:lpstr>
      <vt:lpstr>Real Estate Data</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Ayaan Sharma</dc:creator>
  <cp:lastModifiedBy>Ayaan Sharma</cp:lastModifiedBy>
  <dcterms:created xsi:type="dcterms:W3CDTF">2024-07-09T09:39:11Z</dcterms:created>
  <dcterms:modified xsi:type="dcterms:W3CDTF">2026-05-07T11:36:41Z</dcterms:modified>
</cp:coreProperties>
</file>